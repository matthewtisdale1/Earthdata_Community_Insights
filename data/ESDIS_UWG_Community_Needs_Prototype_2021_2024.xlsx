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27128e40f74f4f" /></Relationships>
</file>

<file path=xl/workbook.xml><?xml version="1.0" encoding="utf-8"?>
<x:workbook xmlns:x="http://schemas.openxmlformats.org/spreadsheetml/2006/main">
  <x:sheets>
    <x:sheet xmlns:r="http://schemas.openxmlformats.org/officeDocument/2006/relationships" name="Dashboard" sheetId="1" r:id="Rbcebd5e6d7124888"/>
    <x:sheet xmlns:r="http://schemas.openxmlformats.org/officeDocument/2006/relationships" name="Needs" sheetId="2" r:id="R13862507eed84450"/>
    <x:sheet xmlns:r="http://schemas.openxmlformats.org/officeDocument/2006/relationships" name="Evidence" sheetId="3" r:id="Rda65f5a4672b4c3b"/>
    <x:sheet xmlns:r="http://schemas.openxmlformats.org/officeDocument/2006/relationships" name="Sources" sheetId="4" r:id="R30da864310fa4fb0"/>
    <x:sheet xmlns:r="http://schemas.openxmlformats.org/officeDocument/2006/relationships" name="Communities" sheetId="5" r:id="R1dbfff43e6544824"/>
    <x:sheet xmlns:r="http://schemas.openxmlformats.org/officeDocument/2006/relationships" name="Need_Community" sheetId="6" r:id="R8a813bb46d334371"/>
    <x:sheet xmlns:r="http://schemas.openxmlformats.org/officeDocument/2006/relationships" name="Capabilities" sheetId="7" r:id="Re60fe6f485ca4eac"/>
    <x:sheet xmlns:r="http://schemas.openxmlformats.org/officeDocument/2006/relationships" name="Need_Capability" sheetId="8" r:id="R61f7d9df949f4538"/>
    <x:sheet xmlns:r="http://schemas.openxmlformats.org/officeDocument/2006/relationships" name="Responses" sheetId="9" r:id="R0d98115317934f53"/>
    <x:sheet xmlns:r="http://schemas.openxmlformats.org/officeDocument/2006/relationships" name="Need_Response" sheetId="10" r:id="R01ad88c205f24d57"/>
    <x:sheet xmlns:r="http://schemas.openxmlformats.org/officeDocument/2006/relationships" name="Taxonomy &amp; Guidance" sheetId="11" r:id="Rff9ac64a15974ac0"/>
    <x:sheet xmlns:r="http://schemas.openxmlformats.org/officeDocument/2006/relationships" name="Lists" sheetId="12" r:id="R88860c0f46dd4eb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3">
    <x:font>
      <x:sz val="11"/>
      <x:name val="Carlito"/>
    </x:font>
    <x:font>
      <x:b/>
      <x:sz val="11"/>
      <x:color rgb="FFFFFFFF"/>
      <x:name val="Carlito"/>
    </x:font>
    <x:font>
      <x:b/>
      <x:sz val="16"/>
      <x:color rgb="FFFFFFFF"/>
      <x:name val="Carlito"/>
    </x:font>
  </x:fonts>
  <x:fills count="4">
    <x:fill>
      <x:patternFill patternType="none"/>
    </x:fill>
    <x:fill>
      <x:patternFill patternType="gray125"/>
    </x:fill>
    <x:fill>
      <x:patternFill patternType="solid">
        <x:fgColor rgb="FF0B3D91"/>
      </x:patternFill>
    </x:fill>
    <x:fill>
      <x:patternFill patternType="solid">
        <x:fgColor rgb="FF5B8CCB"/>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ef75a1b1024b9a" /><Relationship Type="http://schemas.openxmlformats.org/officeDocument/2006/relationships/theme" Target="/xl/theme/theme1.xml" Id="R12d8f0b22b9c4d2c" /><Relationship Type="http://schemas.openxmlformats.org/officeDocument/2006/relationships/sharedStrings" Target="/xl/sharedStrings.xml" Id="R0516f9fb5580443c" /><Relationship Type="http://schemas.openxmlformats.org/officeDocument/2006/relationships/worksheet" Target="/xl/worksheets/sheet1.xml" Id="Rbcebd5e6d7124888" /><Relationship Type="http://schemas.openxmlformats.org/officeDocument/2006/relationships/worksheet" Target="/xl/worksheets/sheet2.xml" Id="R13862507eed84450" /><Relationship Type="http://schemas.openxmlformats.org/officeDocument/2006/relationships/worksheet" Target="/xl/worksheets/sheet3.xml" Id="Rda65f5a4672b4c3b" /><Relationship Type="http://schemas.openxmlformats.org/officeDocument/2006/relationships/worksheet" Target="/xl/worksheets/sheet4.xml" Id="R30da864310fa4fb0" /><Relationship Type="http://schemas.openxmlformats.org/officeDocument/2006/relationships/worksheet" Target="/xl/worksheets/sheet5.xml" Id="R1dbfff43e6544824" /><Relationship Type="http://schemas.openxmlformats.org/officeDocument/2006/relationships/worksheet" Target="/xl/worksheets/sheet6.xml" Id="R8a813bb46d334371" /><Relationship Type="http://schemas.openxmlformats.org/officeDocument/2006/relationships/worksheet" Target="/xl/worksheets/sheet7.xml" Id="Re60fe6f485ca4eac" /><Relationship Type="http://schemas.openxmlformats.org/officeDocument/2006/relationships/worksheet" Target="/xl/worksheets/sheet8.xml" Id="R61f7d9df949f4538" /><Relationship Type="http://schemas.openxmlformats.org/officeDocument/2006/relationships/worksheet" Target="/xl/worksheets/sheet9.xml" Id="R0d98115317934f53" /><Relationship Type="http://schemas.openxmlformats.org/officeDocument/2006/relationships/worksheet" Target="/xl/worksheets/sheet10.xml" Id="R01ad88c205f24d57" /><Relationship Type="http://schemas.openxmlformats.org/officeDocument/2006/relationships/worksheet" Target="/xl/worksheets/sheet11.xml" Id="Rff9ac64a15974ac0" /><Relationship Type="http://schemas.openxmlformats.org/officeDocument/2006/relationships/worksheet" Target="/xl/worksheets/sheet12.xml" Id="R88860c0f46dd4eb2" /></Relationships>
</file>

<file path=xl/drawings/_rels/drawing1.xml.rels>&#65279;<?xml version="1.0" encoding="utf-8"?><Relationships xmlns="http://schemas.openxmlformats.org/package/2006/relationships"><Relationship Type="http://schemas.openxmlformats.org/officeDocument/2006/relationships/chart" Target="/xl/drawings/charts/chart1.xml" Id="R0fc57c538e44421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Needs and Evidence by Topic</a:t>
            </a:r>
          </a:p>
        </c:rich>
      </c:tx>
      <c:overlay val="0"/>
    </c:title>
    <c:autoTitleDeleted val="0"/>
    <c:plotArea>
      <c:layout/>
      <c:barChart>
        <c:barDir val="col"/>
        <c:varyColors val="0"/>
        <c:ser>
          <c:idx val="0"/>
          <c:order val="0"/>
          <c:tx>
            <c:v>Needs</c:v>
          </c:tx>
          <c:cat>
            <c:strRef>
              <c:f>'Dashboard'!$F$4:$F$17</c:f>
              <c:strCache>
                <c:ptCount val="0"/>
              </c:strCache>
            </c:strRef>
          </c:cat>
          <c:val>
            <c:numRef>
              <c:f>'Dashboard'!$G$4:$G$17</c:f>
              <c:numCache>
                <c:formatCode>General</c:formatCode>
                <c:ptCount val="0"/>
              </c:numCache>
            </c:numRef>
          </c:val>
        </c:ser>
        <c:ser>
          <c:idx val="1"/>
          <c:order val="1"/>
          <c:tx>
            <c:v>Evidence</c:v>
          </c:tx>
          <c:cat>
            <c:strRef>
              <c:f>'Dashboard'!$F$4:$F$17</c:f>
              <c:strCache>
                <c:ptCount val="0"/>
              </c:strCache>
            </c:strRef>
          </c:cat>
          <c:val>
            <c:numRef>
              <c:f>'Dashboard'!$H$4:$H$17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19</xdr:row>
      <xdr:rowOff>0</xdr:rowOff>
    </xdr:from>
    <xdr:to>
      <xdr:col>14</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c57c538e44421d"/>
        </a:graphicData>
      </a:graphic>
    </xdr:graphicFrame>
    <xdr:clientData/>
  </xdr:twoCellAnchor>
</xdr:wsDr>
</file>

<file path=xl/tables/table1.xml><?xml version="1.0" encoding="utf-8"?>
<x:table xmlns:x="http://schemas.openxmlformats.org/spreadsheetml/2006/main" id="1" name="NeedsTable" displayName="NeedsTable" ref="A1:U221" headerRowCount="1">
  <x:tableColumns count="21">
    <x:tableColumn id="1" name="Need ID"/>
    <x:tableColumn id="2" name="Canonical Need (Draft)"/>
    <x:tableColumn id="3" name="Need Summary"/>
    <x:tableColumn id="4" name="Need Category"/>
    <x:tableColumn id="5" name="Desired Outcome"/>
    <x:tableColumn id="6" name="Lifecycle Status"/>
    <x:tableColumn id="7" name="Priority"/>
    <x:tableColumn id="8" name="First Seen"/>
    <x:tableColumn id="9" name="Last Seen"/>
    <x:tableColumn id="10" name="Evidence Count"/>
    <x:tableColumn id="11" name="Source Count"/>
    <x:tableColumn id="12" name="Organization Count"/>
    <x:tableColumn id="13" name="Community Count"/>
    <x:tableColumn id="14" name="Capability Count"/>
    <x:tableColumn id="15" name="Trend"/>
    <x:tableColumn id="16" name="Signal Score"/>
    <x:tableColumn id="17" name="Human Reviewed"/>
    <x:tableColumn id="18" name="Reviewer"/>
    <x:tableColumn id="19" name="Review Date"/>
    <x:tableColumn id="20" name="Duplicate Of"/>
    <x:tableColumn id="21" name="Notes"/>
  </x:tableColumns>
  <x:tableStyleInfo name="TableStyleMedium2" showRowStripes="1"/>
</x:table>
</file>

<file path=xl/tables/table2.xml><?xml version="1.0" encoding="utf-8"?>
<x:table xmlns:x="http://schemas.openxmlformats.org/spreadsheetml/2006/main" id="2" name="EvidenceTable" displayName="EvidenceTable" ref="A1:R1026" headerRowCount="1">
  <x:tableColumns count="18">
    <x:tableColumn id="1" name="Evidence ID"/>
    <x:tableColumn id="2" name="Need ID"/>
    <x:tableColumn id="3" name="Source ID"/>
    <x:tableColumn id="4" name="Original Statement"/>
    <x:tableColumn id="5" name="Normalized Statement"/>
    <x:tableColumn id="6" name="Evidence Type"/>
    <x:tableColumn id="7" name="Organization"/>
    <x:tableColumn id="8" name="Event Year"/>
    <x:tableColumn id="9" name="User Community"/>
    <x:tableColumn id="10" name="Evidence Strength"/>
    <x:tableColumn id="11" name="Match Confidence"/>
    <x:tableColumn id="12" name="Match Method"/>
    <x:tableColumn id="13" name="Source Location"/>
    <x:tableColumn id="14" name="Page"/>
    <x:tableColumn id="15" name="Human Reviewed"/>
    <x:tableColumn id="16" name="Duplicate Evidence"/>
    <x:tableColumn id="17" name="Context / Rationale"/>
    <x:tableColumn id="18" name="Source Status"/>
  </x:tableColumns>
  <x:tableStyleInfo name="TableStyleMedium2" showRowStripes="1"/>
</x:table>
</file>

<file path=xl/tables/table3.xml><?xml version="1.0" encoding="utf-8"?>
<x:table xmlns:x="http://schemas.openxmlformats.org/spreadsheetml/2006/main" id="3" name="SourcesTable" displayName="SourcesTable" ref="A1:K5" headerRowCount="1">
  <x:tableColumns count="11">
    <x:tableColumn id="1" name="Source ID"/>
    <x:tableColumn id="2" name="Source Title"/>
    <x:tableColumn id="3" name="Source Type"/>
    <x:tableColumn id="4" name="Source Year"/>
    <x:tableColumn id="5" name="Organization"/>
    <x:tableColumn id="6" name="Meeting / Event"/>
    <x:tableColumn id="7" name="Publication Date"/>
    <x:tableColumn id="8" name="File Name"/>
    <x:tableColumn id="9" name="Collection Method"/>
    <x:tableColumn id="10" name="Source Reliability"/>
    <x:tableColumn id="11" name="Notes"/>
  </x:tableColumns>
  <x:tableStyleInfo name="TableStyleMedium2" showRowStripes="1"/>
</x:table>
</file>

<file path=xl/tables/table4.xml><?xml version="1.0" encoding="utf-8"?>
<x:table xmlns:x="http://schemas.openxmlformats.org/spreadsheetml/2006/main" id="4" name="CommunitiesTable" displayName="CommunitiesTable" ref="A1:F12" headerRowCount="1">
  <x:tableColumns count="6">
    <x:tableColumn id="1" name="Community ID"/>
    <x:tableColumn id="2" name="Community Name"/>
    <x:tableColumn id="3" name="Community Type"/>
    <x:tableColumn id="4" name="Parent Community"/>
    <x:tableColumn id="5" name="Description"/>
    <x:tableColumn id="6" name="Active"/>
  </x:tableColumns>
  <x:tableStyleInfo name="TableStyleMedium2" showRowStripes="1"/>
</x:table>
</file>

<file path=xl/tables/table5.xml><?xml version="1.0" encoding="utf-8"?>
<x:table xmlns:x="http://schemas.openxmlformats.org/spreadsheetml/2006/main" id="5" name="NeedCommunityTable" displayName="NeedCommunityTable" ref="A1:D449" headerRowCount="1">
  <x:tableColumns count="4">
    <x:tableColumn id="1" name="Need ID"/>
    <x:tableColumn id="2" name="Community ID"/>
    <x:tableColumn id="3" name="Relationship"/>
    <x:tableColumn id="4" name="Evidence Count"/>
  </x:tableColumns>
  <x:tableStyleInfo name="TableStyleMedium2" showRowStripes="1"/>
</x:table>
</file>

<file path=xl/tables/table6.xml><?xml version="1.0" encoding="utf-8"?>
<x:table xmlns:x="http://schemas.openxmlformats.org/spreadsheetml/2006/main" id="6" name="CapabilitiesTable" displayName="CapabilitiesTable" ref="A1:G23" headerRowCount="1">
  <x:tableColumns count="7">
    <x:tableColumn id="1" name="Capability ID"/>
    <x:tableColumn id="2" name="Capability Name"/>
    <x:tableColumn id="3" name="Capability Category"/>
    <x:tableColumn id="4" name="Product / System"/>
    <x:tableColumn id="5" name="Capability Owner"/>
    <x:tableColumn id="6" name="Description"/>
    <x:tableColumn id="7" name="Active"/>
  </x:tableColumns>
  <x:tableStyleInfo name="TableStyleMedium2" showRowStripes="1"/>
</x:table>
</file>

<file path=xl/tables/table7.xml><?xml version="1.0" encoding="utf-8"?>
<x:table xmlns:x="http://schemas.openxmlformats.org/spreadsheetml/2006/main" id="7" name="NeedCapabilityTable" displayName="NeedCapabilityTable" ref="A1:D558" headerRowCount="1">
  <x:tableColumns count="4">
    <x:tableColumn id="1" name="Need ID"/>
    <x:tableColumn id="2" name="Capability ID"/>
    <x:tableColumn id="3" name="Relationship"/>
    <x:tableColumn id="4" name="Relevance"/>
  </x:tableColumns>
  <x:tableStyleInfo name="TableStyleMedium2" showRowStripes="1"/>
</x:table>
</file>

<file path=xl/tables/table8.xml><?xml version="1.0" encoding="utf-8"?>
<x:table xmlns:x="http://schemas.openxmlformats.org/spreadsheetml/2006/main" id="8" name="ResponsesTable" displayName="ResponsesTable" ref="A1:K561" headerRowCount="1">
  <x:tableColumns count="11">
    <x:tableColumn id="1" name="Response ID"/>
    <x:tableColumn id="2" name="Response Title"/>
    <x:tableColumn id="3" name="Response Type"/>
    <x:tableColumn id="4" name="Owner"/>
    <x:tableColumn id="5" name="Status"/>
    <x:tableColumn id="6" name="Start Date"/>
    <x:tableColumn id="7" name="Release Date"/>
    <x:tableColumn id="8" name="Description"/>
    <x:tableColumn id="9" name="Evidence of Impact"/>
    <x:tableColumn id="10" name="Source ID"/>
    <x:tableColumn id="11" name="Source Location"/>
  </x:tableColumns>
  <x:tableStyleInfo name="TableStyleMedium2" showRowStripes="1"/>
</x:table>
</file>

<file path=xl/tables/table9.xml><?xml version="1.0" encoding="utf-8"?>
<x:table xmlns:x="http://schemas.openxmlformats.org/spreadsheetml/2006/main" id="9" name="NeedResponseTable" displayName="NeedResponseTable" ref="A1:D561" headerRowCount="1">
  <x:tableColumns count="4">
    <x:tableColumn id="1" name="Need ID"/>
    <x:tableColumn id="2" name="Response ID"/>
    <x:tableColumn id="3" name="Relationship"/>
    <x:tableColumn id="4" name="Cover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68acac0216b4f07" /></Relationships>
</file>

<file path=xl/worksheets/_rels/sheet2.xml.rels>&#65279;<?xml version="1.0" encoding="utf-8"?><Relationships xmlns="http://schemas.openxmlformats.org/package/2006/relationships"><Relationship Type="http://schemas.openxmlformats.org/officeDocument/2006/relationships/table" Target="/xl/tables/table1.xml" Id="R73bc28c22e394d36" /></Relationships>
</file>

<file path=xl/worksheets/_rels/sheet3.xml.rels>&#65279;<?xml version="1.0" encoding="utf-8"?><Relationships xmlns="http://schemas.openxmlformats.org/package/2006/relationships"><Relationship Type="http://schemas.openxmlformats.org/officeDocument/2006/relationships/table" Target="/xl/tables/table2.xml" Id="R2824fa1d1c3e4312" /></Relationships>
</file>

<file path=xl/worksheets/_rels/sheet4.xml.rels>&#65279;<?xml version="1.0" encoding="utf-8"?><Relationships xmlns="http://schemas.openxmlformats.org/package/2006/relationships"><Relationship Type="http://schemas.openxmlformats.org/officeDocument/2006/relationships/table" Target="/xl/tables/table3.xml" Id="Rf9e712f5c3b74c41" /></Relationships>
</file>

<file path=xl/worksheets/_rels/sheet5.xml.rels>&#65279;<?xml version="1.0" encoding="utf-8"?><Relationships xmlns="http://schemas.openxmlformats.org/package/2006/relationships"><Relationship Type="http://schemas.openxmlformats.org/officeDocument/2006/relationships/table" Target="/xl/tables/table4.xml" Id="Rfdeb122984e24091" /></Relationships>
</file>

<file path=xl/worksheets/_rels/sheet6.xml.rels>&#65279;<?xml version="1.0" encoding="utf-8"?><Relationships xmlns="http://schemas.openxmlformats.org/package/2006/relationships"><Relationship Type="http://schemas.openxmlformats.org/officeDocument/2006/relationships/table" Target="/xl/tables/table5.xml" Id="R60f1ad73e6454f75" /></Relationships>
</file>

<file path=xl/worksheets/_rels/sheet7.xml.rels>&#65279;<?xml version="1.0" encoding="utf-8"?><Relationships xmlns="http://schemas.openxmlformats.org/package/2006/relationships"><Relationship Type="http://schemas.openxmlformats.org/officeDocument/2006/relationships/table" Target="/xl/tables/table6.xml" Id="R2c6f55577cc842a8" /></Relationships>
</file>

<file path=xl/worksheets/_rels/sheet8.xml.rels>&#65279;<?xml version="1.0" encoding="utf-8"?><Relationships xmlns="http://schemas.openxmlformats.org/package/2006/relationships"><Relationship Type="http://schemas.openxmlformats.org/officeDocument/2006/relationships/table" Target="/xl/tables/table7.xml" Id="Radb6a2e73e474e89" /></Relationships>
</file>

<file path=xl/worksheets/_rels/sheet9.xml.rels>&#65279;<?xml version="1.0" encoding="utf-8"?><Relationships xmlns="http://schemas.openxmlformats.org/package/2006/relationships"><Relationship Type="http://schemas.openxmlformats.org/officeDocument/2006/relationships/table" Target="/xl/tables/table8.xml" Id="Rb0198a7f95b24bca" /></Relationships>
</file>

<file path=xl/worksheets/_rels/sheet10.xml.rels>&#65279;<?xml version="1.0" encoding="utf-8"?><Relationships xmlns="http://schemas.openxmlformats.org/package/2006/relationships"><Relationship Type="http://schemas.openxmlformats.org/officeDocument/2006/relationships/table" Target="/xl/tables/table9.xml" Id="R6b493d9ea14c42be" /></Relationships>
</file>

<file path=xl/worksheets/sheet1.xml><?xml version="1.0" encoding="utf-8"?>
<x:worksheet xmlns:x="http://schemas.openxmlformats.org/spreadsheetml/2006/main">
  <x:sheetFormatPr defaultRowHeight="15"/>
  <x:cols>
    <x:col min="1" max="1" width="32" hidden="0" customWidth="1"/>
    <x:col min="2" max="2" width="72" hidden="0" customWidth="1"/>
    <x:col min="3" max="3" width="15" hidden="0" customWidth="1"/>
    <x:col min="4" max="4" width="15" hidden="0" customWidth="1"/>
    <x:col min="6" max="6" width="32" hidden="0" customWidth="1"/>
    <x:col min="7" max="7" width="12" hidden="0" customWidth="1"/>
    <x:col min="8" max="8" width="12" hidden="0" customWidth="1"/>
  </x:cols>
  <x:sheetData>
    <x:row r="1">
      <x:c r="A1" s="20" t="str">
        <x:v>UWG Community Needs Prototype Dashboard</x:v>
      </x:c>
      <x:c r="B1" s="20"/>
      <x:c r="C1" s="20"/>
      <x:c r="D1" s="20"/>
      <x:c r="E1" s="20"/>
      <x:c r="F1" s="20"/>
      <x:c r="G1" s="20"/>
      <x:c r="H1" s="20"/>
    </x:row>
    <x:row r="3">
      <x:c r="A3" s="6" t="str">
        <x:v>Metric</x:v>
      </x:c>
      <x:c r="B3" s="6" t="str">
        <x:v>Value</x:v>
      </x:c>
      <x:c r="F3" s="6" t="str">
        <x:v>Topic</x:v>
      </x:c>
      <x:c r="G3" s="6" t="str">
        <x:v>Needs</x:v>
      </x:c>
      <x:c r="H3" s="6" t="str">
        <x:v>Evidence</x:v>
      </x:c>
    </x:row>
    <x:row r="4">
      <x:c r="A4" t="str">
        <x:v>Draft canonical needs</x:v>
      </x:c>
      <x:c r="B4" t="n">
        <x:v>220</x:v>
      </x:c>
      <x:c r="F4" t="str">
        <x:v>Cloud &amp; Compute</x:v>
      </x:c>
      <x:c r="G4" t="n">
        <x:v>19</x:v>
      </x:c>
      <x:c r="H4" t="n">
        <x:v>133</x:v>
      </x:c>
    </x:row>
    <x:row r="5">
      <x:c r="A5" t="str">
        <x:v>Evidence statements</x:v>
      </x:c>
      <x:c r="B5" t="n">
        <x:v>1025</x:v>
      </x:c>
      <x:c r="F5" t="str">
        <x:v>Data Access &amp; Distribution</x:v>
      </x:c>
      <x:c r="G5" t="n">
        <x:v>27</x:v>
      </x:c>
      <x:c r="H5" t="n">
        <x:v>86</x:v>
      </x:c>
    </x:row>
    <x:row r="6">
      <x:c r="A6" t="str">
        <x:v>Annual reports</x:v>
      </x:c>
      <x:c r="B6" t="n">
        <x:v>4</x:v>
      </x:c>
      <x:c r="F6" t="str">
        <x:v>Data Discovery &amp; Search</x:v>
      </x:c>
      <x:c r="G6" t="n">
        <x:v>24</x:v>
      </x:c>
      <x:c r="H6" t="n">
        <x:v>84</x:v>
      </x:c>
    </x:row>
    <x:row r="7">
      <x:c r="A7" t="str">
        <x:v>Communities</x:v>
      </x:c>
      <x:c r="B7" t="n">
        <x:v>11</x:v>
      </x:c>
      <x:c r="F7" t="str">
        <x:v>Data Products &amp; Formats</x:v>
      </x:c>
      <x:c r="G7" t="n">
        <x:v>22</x:v>
      </x:c>
      <x:c r="H7" t="n">
        <x:v>114</x:v>
      </x:c>
    </x:row>
    <x:row r="8">
      <x:c r="A8" t="str">
        <x:v>Capabilities</x:v>
      </x:c>
      <x:c r="B8" t="n">
        <x:v>22</x:v>
      </x:c>
      <x:c r="F8" t="str">
        <x:v>Equity &amp; Accessibility</x:v>
      </x:c>
      <x:c r="G8" t="n">
        <x:v>3</x:v>
      </x:c>
      <x:c r="H8" t="n">
        <x:v>5</x:v>
      </x:c>
    </x:row>
    <x:row r="9">
      <x:c r="F9" t="str">
        <x:v>Governance &amp; Coordination</x:v>
      </x:c>
      <x:c r="G9" t="n">
        <x:v>7</x:v>
      </x:c>
      <x:c r="H9" t="n">
        <x:v>16</x:v>
      </x:c>
    </x:row>
    <x:row r="10">
      <x:c r="A10" s="28" t="str">
        <x:v>Largest Draft Clusters — Review Before Interpreting as Community Priorities</x:v>
      </x:c>
      <x:c r="B10" s="28"/>
      <x:c r="C10" s="28"/>
      <x:c r="D10" s="28"/>
      <x:c r="F10" t="str">
        <x:v>Interoperability &amp; Standards</x:v>
      </x:c>
      <x:c r="G10" t="n">
        <x:v>10</x:v>
      </x:c>
      <x:c r="H10" t="n">
        <x:v>23</x:v>
      </x:c>
    </x:row>
    <x:row r="11">
      <x:c r="A11" s="6" t="str">
        <x:v>Need ID</x:v>
      </x:c>
      <x:c r="B11" s="6" t="str">
        <x:v>Draft Canonical Need</x:v>
      </x:c>
      <x:c r="C11" s="6" t="str">
        <x:v>Evidence Count</x:v>
      </x:c>
      <x:c r="D11" s="6" t="str">
        <x:v>Signal Score</x:v>
      </x:c>
      <x:c r="F11" t="str">
        <x:v>Near Real-Time &amp; Operations</x:v>
      </x:c>
      <x:c r="G11" t="n">
        <x:v>6</x:v>
      </x:c>
      <x:c r="H11" t="n">
        <x:v>12</x:v>
      </x:c>
    </x:row>
    <x:row r="12">
      <x:c r="A12" s="12" t="str">
        <x:v>NEED-0127</x:v>
      </x:c>
      <x:c r="B12" s="12" t="str">
        <x:v>Earthdata users need was a suggestion to make the code available to increase the usefulness of the data, and another to include a question on EJ issues in the data submission form, which could eventually be used as a metric of SEDAC holdings in the field of EJ.</x:v>
      </x:c>
      <x:c r="C12" s="12" t="n">
        <x:f>Needs!J128</x:f>
        <x:v>15</x:v>
      </x:c>
      <x:c r="D12" s="12" t="n">
        <x:f>Needs!P128</x:f>
        <x:v>100</x:v>
      </x:c>
      <x:c r="F12" t="str">
        <x:v>Other</x:v>
      </x:c>
      <x:c r="G12" t="n">
        <x:v>24</x:v>
      </x:c>
      <x:c r="H12" t="n">
        <x:v>326</x:v>
      </x:c>
    </x:row>
    <x:row r="13">
      <x:c r="A13" s="12" t="str">
        <x:v>NEED-0126</x:v>
      </x:c>
      <x:c r="B13" s="12" t="str">
        <x:v>Earthdata users need suggestions to Karen on how data from event-based monitoring from DR should be made available to users.</x:v>
      </x:c>
      <x:c r="C13" s="12" t="n">
        <x:f>Needs!J127</x:f>
        <x:v>25</x:v>
      </x:c>
      <x:c r="D13" s="12" t="n">
        <x:f>Needs!P127</x:f>
        <x:v>100</x:v>
      </x:c>
      <x:c r="F13" t="str">
        <x:v>Outreach &amp; Communication</x:v>
      </x:c>
      <x:c r="G13" t="n">
        <x:v>17</x:v>
      </x:c>
      <x:c r="H13" t="n">
        <x:v>37</x:v>
      </x:c>
    </x:row>
    <x:row r="14">
      <x:c r="A14" s="12" t="str">
        <x:v>NEED-0125</x:v>
      </x:c>
      <x:c r="B14" s="12" t="str">
        <x:v>Earthdata users need recommend creating a one-page data submission guide that includes the procedure and task list for first-time data providers. This will help these new users quickly understand the process, find the necessary resources, and know when and who to ask for help.</x:v>
      </x:c>
      <x:c r="C14" s="12" t="n">
        <x:f>Needs!J126</x:f>
        <x:v>20</x:v>
      </x:c>
      <x:c r="D14" s="12" t="n">
        <x:f>Needs!P126</x:f>
        <x:v>100</x:v>
      </x:c>
      <x:c r="F14" t="str">
        <x:v>Performance &amp; Reliability</x:v>
      </x:c>
      <x:c r="G14" t="n">
        <x:v>5</x:v>
      </x:c>
      <x:c r="H14" t="n">
        <x:v>7</x:v>
      </x:c>
    </x:row>
    <x:row r="15">
      <x:c r="A15" s="12" t="str">
        <x:v>NEED-0124</x:v>
      </x:c>
      <x:c r="B15" s="12" t="str">
        <x:v>Earthdata users need uWG membership to stay in line with stakeholder needs.</x:v>
      </x:c>
      <x:c r="C15" s="12" t="n">
        <x:f>Needs!J125</x:f>
        <x:v>21</x:v>
      </x:c>
      <x:c r="D15" s="12" t="n">
        <x:f>Needs!P125</x:f>
        <x:v>100</x:v>
      </x:c>
      <x:c r="F15" t="str">
        <x:v>Tools &amp; Services</x:v>
      </x:c>
      <x:c r="G15" t="n">
        <x:v>27</x:v>
      </x:c>
      <x:c r="H15" t="n">
        <x:v>93</x:v>
      </x:c>
    </x:row>
    <x:row r="16">
      <x:c r="A16" s="12" t="str">
        <x:v>NEED-0123</x:v>
      </x:c>
      <x:c r="B16" s="12" t="str">
        <x:v>Earthdata users need guidance on how UWG members should review the community data.</x:v>
      </x:c>
      <x:c r="C16" s="12" t="n">
        <x:f>Needs!J124</x:f>
        <x:v>20</x:v>
      </x:c>
      <x:c r="D16" s="12" t="n">
        <x:f>Needs!P124</x:f>
        <x:v>100</x:v>
      </x:c>
      <x:c r="F16" t="str">
        <x:v>Training &amp; Documentation</x:v>
      </x:c>
      <x:c r="G16" t="n">
        <x:v>15</x:v>
      </x:c>
      <x:c r="H16" t="n">
        <x:v>43</x:v>
      </x:c>
    </x:row>
    <x:row r="17">
      <x:c r="A17" s="12" t="str">
        <x:v>NEED-0122</x:v>
      </x:c>
      <x:c r="B17" s="12" t="str">
        <x:v>Earthdata users need effort to better understand SEDAC’s community of users.</x:v>
      </x:c>
      <x:c r="C17" s="12" t="n">
        <x:f>Needs!J123</x:f>
        <x:v>18</x:v>
      </x:c>
      <x:c r="D17" s="12" t="n">
        <x:f>Needs!P123</x:f>
        <x:v>100</x:v>
      </x:c>
      <x:c r="F17" t="str">
        <x:v>User Support &amp; Feedback</x:v>
      </x:c>
      <x:c r="G17" t="n">
        <x:v>14</x:v>
      </x:c>
      <x:c r="H17" t="n">
        <x:v>46</x:v>
      </x:c>
    </x:row>
    <x:row r="18">
      <x:c r="A18" s="12" t="str">
        <x:v>NEED-0121</x:v>
      </x:c>
      <x:c r="B18" s="12" t="str">
        <x:v>Earthdata users need uWG has submitted a list of hydrologists candidates for the new UWG member. The UWG recommended PO.DAAC to approach the SWOT Hydrology Science Lead Tamlin Pavelsky for further suggestions.</x:v>
      </x:c>
      <x:c r="C18" s="12" t="n">
        <x:f>Needs!J122</x:f>
        <x:v>22</x:v>
      </x:c>
      <x:c r="D18" s="12" t="n">
        <x:f>Needs!P122</x:f>
        <x:v>100</x:v>
      </x:c>
    </x:row>
    <x:row r="19">
      <x:c r="A19" s="12" t="str">
        <x:v>NEED-0120</x:v>
      </x:c>
      <x:c r="B19" s="12" t="str">
        <x:v>Earthdata users need recommend that ESDIS develops a short white paper defining and describing the vision for a “Science Enabling Center”. At present, the boundaries between “IT and Archive” (i.e., the traditional DAAC role), “Science Enabling”, and “Science” are unclear.</x:v>
      </x:c>
      <x:c r="C19" s="12" t="n">
        <x:f>Needs!J121</x:f>
        <x:v>25</x:v>
      </x:c>
      <x:c r="D19" s="12" t="n">
        <x:f>Needs!P121</x:f>
        <x:v>100</x:v>
      </x:c>
    </x:row>
    <x:row r="20">
      <x:c r="A20" s="12" t="str">
        <x:v>NEED-0119</x:v>
      </x:c>
      <x:c r="B20" s="12" t="str">
        <x:v>Earthdata users need on the long-term consistency of PM sea ice data is very important as they should be considered the authoritative data. Inter-sensor calibrations and land masks should be well-documented and well-understood, so users who are not remote sensing scientists can use them. Getting this right is very important, so no one can argue against their validity.</x:v>
      </x:c>
      <x:c r="C20" s="12" t="n">
        <x:f>Needs!J120</x:f>
        <x:v>16</x:v>
      </x:c>
      <x:c r="D20" s="12" t="n">
        <x:f>Needs!P120</x:f>
        <x:v>100</x:v>
      </x:c>
    </x:row>
    <x:row r="21">
      <x:c r="A21" s="12" t="str">
        <x:v>NEED-0074</x:v>
      </x:c>
      <x:c r="B21" s="12" t="str">
        <x:v>Earthdata users need recommend taking the following basic steps to ensure that new data providers are aware of the resources and information needed for efficient data publication.</x:v>
      </x:c>
      <x:c r="C21" s="12" t="n">
        <x:f>Needs!J75</x:f>
        <x:v>17</x:v>
      </x:c>
      <x:c r="D21" s="12" t="n">
        <x:f>Needs!P75</x:f>
        <x:v>100</x:v>
      </x:c>
    </x:row>
    <x:row r="22">
      <x:c r="A22" s="12" t="str">
        <x:v>NEED-0049</x:v>
      </x:c>
      <x:c r="B22" s="12" t="str">
        <x:v>Earthdata users need suggested including announcement about where and how to access data from Earthdata. The Earthdata browser uses the same search tool, and users can contact ESDIS for any problems they met, and ESDIS will work with us to solve the issues. OB.DAAC may need to work with “search and discovery tool” team to make our data more accessible to users. (May 8).</x:v>
      </x:c>
      <x:c r="C22" s="12" t="n">
        <x:f>Needs!J50</x:f>
        <x:v>13</x:v>
      </x:c>
      <x:c r="D22" s="12" t="n">
        <x:f>Needs!P50</x:f>
        <x:v>100</x:v>
      </x:c>
    </x:row>
    <x:row r="23">
      <x:c r="A23" s="12" t="str">
        <x:v>NEED-0129</x:v>
      </x:c>
      <x:c r="B23" s="12" t="str">
        <x:v>Earthdata users need ways for ASF to allow users to take advantage of NISAR S-band data, and exploit dual-frequency.</x:v>
      </x:c>
      <x:c r="C23" s="12" t="n">
        <x:f>Needs!J130</x:f>
        <x:v>17</x:v>
      </x:c>
      <x:c r="D23" s="12" t="n">
        <x:f>Needs!P130</x:f>
        <x:v>98</x:v>
      </x:c>
    </x:row>
    <x:row r="24">
      <x:c r="A24" s="12" t="str">
        <x:v>NEED-0134</x:v>
      </x:c>
      <x:c r="B24" s="12" t="str">
        <x:v>Earthdata users need common platform where Principal Investigators and Subject Matter Experts can interact with each other and with the users. Earthdata Forum was suggested as a potential platform.</x:v>
      </x:c>
      <x:c r="C24" s="12" t="n">
        <x:f>Needs!J135</x:f>
        <x:v>15</x:v>
      </x:c>
      <x:c r="D24" s="12" t="n">
        <x:f>Needs!P135</x:f>
        <x:v>97</x:v>
      </x:c>
    </x:row>
    <x:row r="25">
      <x:c r="A25" s="12" t="str">
        <x:v>NEED-0133</x:v>
      </x:c>
      <x:c r="B25" s="12" t="str">
        <x:v>Earthdata users need dAAC will work with ESDIS and the EOSDIS User Needs group to address the question of should there be centralized repositories for DAAC/ESDIS resources.</x:v>
      </x:c>
      <x:c r="C25" s="12" t="n">
        <x:f>Needs!J134</x:f>
        <x:v>14</x:v>
      </x:c>
      <x:c r="D25" s="12" t="n">
        <x:f>Needs!P134</x:f>
        <x:v>94</x:v>
      </x:c>
    </x:row>
    <x:row r="26">
      <x:c r="A26" s="12" t="str">
        <x:v>NEED-0141</x:v>
      </x:c>
      <x:c r="B26" s="12" t="str">
        <x:v>Earthdata users need to use and what users can do with the data.</x:v>
      </x:c>
      <x:c r="C26" s="12" t="n">
        <x:f>Needs!J142</x:f>
        <x:v>13</x:v>
      </x:c>
      <x:c r="D26" s="12" t="n">
        <x:f>Needs!P142</x:f>
        <x:v>93</x:v>
      </x:c>
    </x:row>
  </x:sheetData>
  <x:mergeCells>
    <x:mergeCell ref="A1:H1"/>
    <x:mergeCell ref="A10:D10"/>
  </x:mergeCells>
  <x:pageMargins left="0.7" right="0.7" top="0.75" bottom="0.75" header="0.3" footer="0.3"/>
  <x:drawing xmlns:r="http://schemas.openxmlformats.org/officeDocument/2006/relationships" r:id="R868acac0216b4f07"/>
</x:worksheet>
</file>

<file path=xl/worksheets/sheet2.xml><?xml version="1.0" encoding="utf-8"?>
<x:worksheet xmlns:x="http://schemas.openxmlformats.org/spreadsheetml/2006/main">
  <x:sheetFormatPr defaultRowHeight="15"/>
  <x:cols>
    <x:col min="1" max="1" width="16" hidden="0" customWidth="1"/>
    <x:col min="2" max="2" width="58" hidden="0" customWidth="1"/>
    <x:col min="3" max="3" width="42" hidden="0" customWidth="1"/>
    <x:col min="4" max="4" width="28" hidden="0" customWidth="1"/>
    <x:col min="5" max="5" width="36" hidden="0" customWidth="1"/>
    <x:col min="6" max="6" width="18" hidden="0" customWidth="1"/>
    <x:col min="7" max="7" width="14" hidden="0" customWidth="1"/>
    <x:col min="8" max="8" width="12" hidden="0" customWidth="1"/>
    <x:col min="9" max="9" width="12" hidden="0" customWidth="1"/>
    <x:col min="10" max="10" width="14" hidden="0" customWidth="1"/>
    <x:col min="11" max="11" width="13" hidden="0" customWidth="1"/>
    <x:col min="12" max="12" width="16" hidden="0" customWidth="1"/>
    <x:col min="13" max="13" width="15" hidden="0" customWidth="1"/>
    <x:col min="14" max="14" width="15" hidden="0" customWidth="1"/>
    <x:col min="15" max="15" width="18" hidden="0" customWidth="1"/>
    <x:col min="16" max="16" width="13" hidden="0" customWidth="1"/>
    <x:col min="17" max="17" width="15" hidden="0" customWidth="1"/>
    <x:col min="18" max="18" width="20" hidden="0" customWidth="1"/>
    <x:col min="19" max="19" width="15" hidden="0" customWidth="1"/>
    <x:col min="20" max="20" width="16" hidden="0" customWidth="1"/>
    <x:col min="21" max="21" width="34" hidden="0" customWidth="1"/>
  </x:cols>
  <x:sheetData>
    <x:row r="1">
      <x:c r="A1" s="6" t="str">
        <x:v>Need ID</x:v>
      </x:c>
      <x:c r="B1" s="6" t="str">
        <x:v>Canonical Need (Draft)</x:v>
      </x:c>
      <x:c r="C1" s="6" t="str">
        <x:v>Need Summary</x:v>
      </x:c>
      <x:c r="D1" s="6" t="str">
        <x:v>Need Category</x:v>
      </x:c>
      <x:c r="E1" s="6" t="str">
        <x:v>Desired Outcome</x:v>
      </x:c>
      <x:c r="F1" s="6" t="str">
        <x:v>Lifecycle Status</x:v>
      </x:c>
      <x:c r="G1" s="6" t="str">
        <x:v>Priority</x:v>
      </x:c>
      <x:c r="H1" s="6" t="str">
        <x:v>First Seen</x:v>
      </x:c>
      <x:c r="I1" s="6" t="str">
        <x:v>Last Seen</x:v>
      </x:c>
      <x:c r="J1" s="6" t="str">
        <x:v>Evidence Count</x:v>
      </x:c>
      <x:c r="K1" s="6" t="str">
        <x:v>Source Count</x:v>
      </x:c>
      <x:c r="L1" s="6" t="str">
        <x:v>Organization Count</x:v>
      </x:c>
      <x:c r="M1" s="6" t="str">
        <x:v>Community Count</x:v>
      </x:c>
      <x:c r="N1" s="6" t="str">
        <x:v>Capability Count</x:v>
      </x:c>
      <x:c r="O1" s="6" t="str">
        <x:v>Trend</x:v>
      </x:c>
      <x:c r="P1" s="6" t="str">
        <x:v>Signal Score</x:v>
      </x:c>
      <x:c r="Q1" s="6" t="str">
        <x:v>Human Reviewed</x:v>
      </x:c>
      <x:c r="R1" s="6" t="str">
        <x:v>Reviewer</x:v>
      </x:c>
      <x:c r="S1" s="6" t="str">
        <x:v>Review Date</x:v>
      </x:c>
      <x:c r="T1" s="6" t="str">
        <x:v>Duplicate Of</x:v>
      </x:c>
      <x:c r="U1" s="6" t="str">
        <x:v>Notes</x:v>
      </x:c>
    </x:row>
    <x:row r="2">
      <x:c r="A2" s="12" t="str">
        <x:v>NEED-0001</x:v>
      </x:c>
      <x:c r="B2" s="12" t="str">
        <x:v>Earthdata users need training opportunities. It could even be recording existing training. Meet with ARSET or NISAR ST. Systematic look of SAR Training needs. Need a coherent SAR Training approach. Specifically need more cloud training. Make them short? (work with others in OpenScapes, ARSET, on methods and distribution).</x:v>
      </x:c>
      <x:c r="C2" s="12" t="str">
        <x:v>Increase training opportunities. It could even be recording existing training. Meet with ARSET or NISAR ST. Systematic look of SAR Training needs. Need a coherent SAR Training appr</x:v>
      </x:c>
      <x:c r="D2" s="12" t="str">
        <x:v>Cloud &amp; Compute</x:v>
      </x:c>
      <x:c r="E2" s="12" t="str"/>
      <x:c r="F2" s="12" t="str">
        <x:v>Candidate</x:v>
      </x:c>
      <x:c r="G2" s="12" t="str">
        <x:v>Unassigned</x:v>
      </x:c>
      <x:c r="H2" s="14" t="n">
        <x:f>MINIFS(Evidence!$H$2:$H$1026,Evidence!$B$2:$B$1026,A2)</x:f>
        <x:v>2021</x:v>
      </x:c>
      <x:c r="I2" s="14" t="n">
        <x:f>MAXIFS(Evidence!$H$2:$H$1026,Evidence!$B$2:$B$1026,A2)</x:f>
        <x:v>2023</x:v>
      </x:c>
      <x:c r="J2" s="12" t="n">
        <x:f>COUNTIF(Evidence!$B$2:$B$1026,A2)</x:f>
        <x:v>6</x:v>
      </x:c>
      <x:c r="K2" s="12" t="n">
        <x:v>3</x:v>
      </x:c>
      <x:c r="L2" s="12" t="n">
        <x:v>5</x:v>
      </x:c>
      <x:c r="M2" s="12" t="n">
        <x:v>3</x:v>
      </x:c>
      <x:c r="N2" s="12" t="n">
        <x:v>6</x:v>
      </x:c>
      <x:c r="O2" s="12" t="str">
        <x:v>Recurring</x:v>
      </x:c>
      <x:c r="P2" s="12" t="n">
        <x:f>ROUND(MIN(100,(J2*1.5)+(K2*8)+(L2*4)+(M2*3)+((I2-H2+1)*3)),0)</x:f>
        <x:v>71</x:v>
      </x:c>
      <x:c r="Q2" s="12" t="str">
        <x:v>No</x:v>
      </x:c>
      <x:c r="R2" s="12" t="str"/>
      <x:c r="S2" s="12" t="str"/>
      <x:c r="T2" s="12" t="str"/>
      <x:c r="U2" s="12" t="str">
        <x:v>AI-assisted draft cluster; human review required.</x:v>
      </x:c>
    </x:row>
    <x:row r="3">
      <x:c r="A3" s="12" t="str">
        <x:v>NEED-0002</x:v>
      </x:c>
      <x:c r="B3" s="12" t="str">
        <x:v>Earthdata users need is critical to the user community for its ability to present an automatic, aggregated view of data. For that reason, UWG recommend that PO.DAAC explore working with Unidata to develop and maintain a cloud version of THREDDS. (2022.1.1).</x:v>
      </x:c>
      <x:c r="C3" s="12" t="str">
        <x:v>THREDDS is critical to the user community for its ability to present an automatic, aggregated view of data. For that reason, UWG recommend that PO.DAAC explore working with Unidata</x:v>
      </x:c>
      <x:c r="D3" s="12" t="str">
        <x:v>Cloud &amp; Compute</x:v>
      </x:c>
      <x:c r="E3" s="12" t="str"/>
      <x:c r="F3" s="12" t="str">
        <x:v>Candidate</x:v>
      </x:c>
      <x:c r="G3" s="12" t="str">
        <x:v>Unassigned</x:v>
      </x:c>
      <x:c r="H3" s="14" t="n">
        <x:f>MINIFS(Evidence!$H$2:$H$1026,Evidence!$B$2:$B$1026,A3)</x:f>
        <x:v>2021</x:v>
      </x:c>
      <x:c r="I3" s="14" t="n">
        <x:f>MAXIFS(Evidence!$H$2:$H$1026,Evidence!$B$2:$B$1026,A3)</x:f>
        <x:v>2024</x:v>
      </x:c>
      <x:c r="J3" s="12" t="n">
        <x:f>COUNTIF(Evidence!$B$2:$B$1026,A3)</x:f>
        <x:v>7</x:v>
      </x:c>
      <x:c r="K3" s="12" t="n">
        <x:v>4</x:v>
      </x:c>
      <x:c r="L3" s="12" t="n">
        <x:v>6</x:v>
      </x:c>
      <x:c r="M3" s="12" t="n">
        <x:v>2</x:v>
      </x:c>
      <x:c r="N3" s="12" t="n">
        <x:v>3</x:v>
      </x:c>
      <x:c r="O3" s="12" t="str">
        <x:v>Recurring</x:v>
      </x:c>
      <x:c r="P3" s="12" t="n">
        <x:f>ROUND(MIN(100,(J3*1.5)+(K3*8)+(L3*4)+(M3*3)+((I3-H3+1)*3)),0)</x:f>
        <x:v>85</x:v>
      </x:c>
      <x:c r="Q3" s="12" t="str">
        <x:v>No</x:v>
      </x:c>
      <x:c r="R3" s="12" t="str"/>
      <x:c r="S3" s="12" t="str"/>
      <x:c r="T3" s="12" t="str"/>
      <x:c r="U3" s="12" t="str">
        <x:v>AI-assisted draft cluster; human review required.</x:v>
      </x:c>
    </x:row>
    <x:row r="4">
      <x:c r="A4" s="12" t="str">
        <x:v>NEED-0003</x:v>
      </x:c>
      <x:c r="B4" s="12" t="str">
        <x:v>Earthdata users need thank the ASDC for hosting a productive UWG meeting and for their critical work making data available to the community. Since the 2021 UWG meeting, ASDC had been running meetings of three sub-groups, which were focused on giving updates on some of the recommendations. We felt that this was a productive activity and we also recognize the effort put into running these meetings by ASDC and are appreciative of that time. The UWG sees this time as one of evolution in NASA data delivery and recommends that ASDC continue to work with the UWG in this time of change. The UWG felt that preparations for TEMPO data delivery, accessibility of airborne data, and continued improvements in metadata so that ASDC products are well represented in Earthdata searches were of high priority. At medium priority, the UWG also recommends moving data products and tools to the cloud for more efficient processing and delivery, increasing accessibility of ASDC data via EOSDIS Worldview, and providing leadership for Science Enabling Centers (SECs). The UWG also recommends providing quarterly updates, evolving UWG membership to be in line with stakeholders, and assisting users to process data in the cloud. We also recommend that ESDS evaluate the pros and cons of Earthdata Login and consider AMP-type data searching and download.</x:v>
      </x:c>
      <x:c r="C4" s="12" t="str">
        <x:v>We thank the ASDC for hosting a productive UWG meeting and for their critical work making data available to the community. Since the 2021 UWG meeting, ASDC had been running meeting</x:v>
      </x:c>
      <x:c r="D4" s="12" t="str">
        <x:v>Cloud &amp; Compute</x:v>
      </x:c>
      <x:c r="E4" s="12" t="str"/>
      <x:c r="F4" s="12" t="str">
        <x:v>Candidate</x:v>
      </x:c>
      <x:c r="G4" s="12" t="str">
        <x:v>Unassigned</x:v>
      </x:c>
      <x:c r="H4" s="14" t="n">
        <x:f>MINIFS(Evidence!$H$2:$H$1026,Evidence!$B$2:$B$1026,A4)</x:f>
        <x:v>2021</x:v>
      </x:c>
      <x:c r="I4" s="14" t="n">
        <x:f>MAXIFS(Evidence!$H$2:$H$1026,Evidence!$B$2:$B$1026,A4)</x:f>
        <x:v>2023</x:v>
      </x:c>
      <x:c r="J4" s="12" t="n">
        <x:f>COUNTIF(Evidence!$B$2:$B$1026,A4)</x:f>
        <x:v>15</x:v>
      </x:c>
      <x:c r="K4" s="12" t="n">
        <x:v>3</x:v>
      </x:c>
      <x:c r="L4" s="12" t="n">
        <x:v>3</x:v>
      </x:c>
      <x:c r="M4" s="12" t="n">
        <x:v>6</x:v>
      </x:c>
      <x:c r="N4" s="12" t="n">
        <x:v>12</x:v>
      </x:c>
      <x:c r="O4" s="12" t="str">
        <x:v>Recurring</x:v>
      </x:c>
      <x:c r="P4" s="12" t="n">
        <x:f>ROUND(MIN(100,(J4*1.5)+(K4*8)+(L4*4)+(M4*3)+((I4-H4+1)*3)),0)</x:f>
        <x:v>86</x:v>
      </x:c>
      <x:c r="Q4" s="12" t="str">
        <x:v>No</x:v>
      </x:c>
      <x:c r="R4" s="12" t="str"/>
      <x:c r="S4" s="12" t="str"/>
      <x:c r="T4" s="12" t="str"/>
      <x:c r="U4" s="12" t="str">
        <x:v>AI-assisted draft cluster; human review required.</x:v>
      </x:c>
    </x:row>
    <x:row r="5">
      <x:c r="A5" s="12" t="str">
        <x:v>NEED-0004</x:v>
      </x:c>
      <x:c r="B5" s="12" t="str">
        <x:v>Earthdata users need session provided some comfort to know it is not all or nothing when it comes to cloud adoption; it can and will be a gradual transition for most.</x:v>
      </x:c>
      <x:c r="C5" s="12" t="str">
        <x:v>The session provided some comfort to know it is not all or nothing when it comes to cloud adoption; it can and will be a gradual transition for most.</x:v>
      </x:c>
      <x:c r="D5" s="12" t="str">
        <x:v>Cloud &amp; Compute</x:v>
      </x:c>
      <x:c r="E5" s="12" t="str"/>
      <x:c r="F5" s="12" t="str">
        <x:v>Candidate</x:v>
      </x:c>
      <x:c r="G5" s="12" t="str">
        <x:v>Unassigned</x:v>
      </x:c>
      <x:c r="H5" s="14" t="n">
        <x:f>MINIFS(Evidence!$H$2:$H$1026,Evidence!$B$2:$B$1026,A5)</x:f>
        <x:v>2022</x:v>
      </x:c>
      <x:c r="I5" s="14" t="n">
        <x:f>MAXIFS(Evidence!$H$2:$H$1026,Evidence!$B$2:$B$1026,A5)</x:f>
        <x:v>2024</x:v>
      </x:c>
      <x:c r="J5" s="12" t="n">
        <x:f>COUNTIF(Evidence!$B$2:$B$1026,A5)</x:f>
        <x:v>3</x:v>
      </x:c>
      <x:c r="K5" s="12" t="n">
        <x:v>2</x:v>
      </x:c>
      <x:c r="L5" s="12" t="n">
        <x:v>2</x:v>
      </x:c>
      <x:c r="M5" s="12" t="n">
        <x:v>1</x:v>
      </x:c>
      <x:c r="N5" s="12" t="n">
        <x:v>1</x:v>
      </x:c>
      <x:c r="O5" s="12" t="str">
        <x:v>Recurring</x:v>
      </x:c>
      <x:c r="P5" s="12" t="n">
        <x:f>ROUND(MIN(100,(J5*1.5)+(K5*8)+(L5*4)+(M5*3)+((I5-H5+1)*3)),0)</x:f>
        <x:v>41</x:v>
      </x:c>
      <x:c r="Q5" s="12" t="str">
        <x:v>No</x:v>
      </x:c>
      <x:c r="R5" s="12" t="str"/>
      <x:c r="S5" s="12" t="str"/>
      <x:c r="T5" s="12" t="str"/>
      <x:c r="U5" s="12" t="str">
        <x:v>AI-assisted draft cluster; human review required.</x:v>
      </x:c>
    </x:row>
    <x:row r="6">
      <x:c r="A6" s="12" t="str">
        <x:v>NEED-0005</x:v>
      </x:c>
      <x:c r="B6" s="12" t="str">
        <x:v>Earthdata users need [UWG21-S03] Help data users understand how to use cloud resources and create efficiencies in their own work. Provide guidance on additional costs they should expect. Involve data users in the testing of new functions and tools on the cloud.</x:v>
      </x:c>
      <x:c r="C6" s="12" t="str">
        <x:v>[UWG21-S03] Help data users understand how to use cloud resources and create efficiencies in their own work. Provide guidance on additional costs they should expect. Involve data u</x:v>
      </x:c>
      <x:c r="D6" s="12" t="str">
        <x:v>Cloud &amp; Compute</x:v>
      </x:c>
      <x:c r="E6" s="12" t="str"/>
      <x:c r="F6" s="12" t="str">
        <x:v>Candidate</x:v>
      </x:c>
      <x:c r="G6" s="12" t="str">
        <x:v>Unassigned</x:v>
      </x:c>
      <x:c r="H6" s="14" t="n">
        <x:f>MINIFS(Evidence!$H$2:$H$1026,Evidence!$B$2:$B$1026,A6)</x:f>
        <x:v>2021</x:v>
      </x:c>
      <x:c r="I6" s="14" t="n">
        <x:f>MAXIFS(Evidence!$H$2:$H$1026,Evidence!$B$2:$B$1026,A6)</x:f>
        <x:v>2024</x:v>
      </x:c>
      <x:c r="J6" s="12" t="n">
        <x:f>COUNTIF(Evidence!$B$2:$B$1026,A6)</x:f>
        <x:v>11</x:v>
      </x:c>
      <x:c r="K6" s="12" t="n">
        <x:v>3</x:v>
      </x:c>
      <x:c r="L6" s="12" t="n">
        <x:v>5</x:v>
      </x:c>
      <x:c r="M6" s="12" t="n">
        <x:v>4</x:v>
      </x:c>
      <x:c r="N6" s="12" t="n">
        <x:v>6</x:v>
      </x:c>
      <x:c r="O6" s="12" t="str">
        <x:v>Recurring</x:v>
      </x:c>
      <x:c r="P6" s="12" t="n">
        <x:f>ROUND(MIN(100,(J6*1.5)+(K6*8)+(L6*4)+(M6*3)+((I6-H6+1)*3)),0)</x:f>
        <x:v>85</x:v>
      </x:c>
      <x:c r="Q6" s="12" t="str">
        <x:v>No</x:v>
      </x:c>
      <x:c r="R6" s="12" t="str"/>
      <x:c r="S6" s="12" t="str"/>
      <x:c r="T6" s="12" t="str"/>
      <x:c r="U6" s="12" t="str">
        <x:v>AI-assisted draft cluster; human review required.</x:v>
      </x:c>
    </x:row>
    <x:row r="7">
      <x:c r="A7" s="12" t="str">
        <x:v>NEED-0006</x:v>
      </x:c>
      <x:c r="B7" s="12" t="str">
        <x:v>Earthdata users need to process the data in cloud, such as MATLAB scripts, Python, IDL etc. It will be helpful to show users how to use different scripts in cloud. (May 8, September 22).</x:v>
      </x:c>
      <x:c r="C7" s="12" t="str">
        <x:v>Tools to process the data in cloud, such as MATLAB scripts, Python, IDL etc. It will be helpful to show users how to use different scripts in cloud. (May 8, September 22)</x:v>
      </x:c>
      <x:c r="D7" s="12" t="str">
        <x:v>Cloud &amp; Compute</x:v>
      </x:c>
      <x:c r="E7" s="12" t="str"/>
      <x:c r="F7" s="12" t="str">
        <x:v>Candidate</x:v>
      </x:c>
      <x:c r="G7" s="12" t="str">
        <x:v>Unassigned</x:v>
      </x:c>
      <x:c r="H7" s="14" t="n">
        <x:f>MINIFS(Evidence!$H$2:$H$1026,Evidence!$B$2:$B$1026,A7)</x:f>
        <x:v>2022</x:v>
      </x:c>
      <x:c r="I7" s="14" t="n">
        <x:f>MAXIFS(Evidence!$H$2:$H$1026,Evidence!$B$2:$B$1026,A7)</x:f>
        <x:v>2023</x:v>
      </x:c>
      <x:c r="J7" s="12" t="n">
        <x:f>COUNTIF(Evidence!$B$2:$B$1026,A7)</x:f>
        <x:v>4</x:v>
      </x:c>
      <x:c r="K7" s="12" t="n">
        <x:v>2</x:v>
      </x:c>
      <x:c r="L7" s="12" t="n">
        <x:v>2</x:v>
      </x:c>
      <x:c r="M7" s="12" t="n">
        <x:v>3</x:v>
      </x:c>
      <x:c r="N7" s="12" t="n">
        <x:v>4</x:v>
      </x:c>
      <x:c r="O7" s="12" t="str">
        <x:v>Recurring</x:v>
      </x:c>
      <x:c r="P7" s="12" t="n">
        <x:f>ROUND(MIN(100,(J7*1.5)+(K7*8)+(L7*4)+(M7*3)+((I7-H7+1)*3)),0)</x:f>
        <x:v>45</x:v>
      </x:c>
      <x:c r="Q7" s="12" t="str">
        <x:v>No</x:v>
      </x:c>
      <x:c r="R7" s="12" t="str"/>
      <x:c r="S7" s="12" t="str"/>
      <x:c r="T7" s="12" t="str"/>
      <x:c r="U7" s="12" t="str">
        <x:v>AI-assisted draft cluster; human review required.</x:v>
      </x:c>
    </x:row>
    <x:row r="8">
      <x:c r="A8" s="12" t="str">
        <x:v>NEED-0007</x:v>
      </x:c>
      <x:c r="B8" s="12" t="str">
        <x:v>Earthdata users need transition can be much easier if we supported public bucket access (i.e., providing URLs to cloud data and services as users are familiar with today) without additional authentication steps prohibiting certain workflows.</x:v>
      </x:c>
      <x:c r="C8" s="12" t="str">
        <x:v>Cloud transition can be much easier if we supported public bucket access (i.e., providing URLs to cloud data and services as users are familiar with today) without additional authe</x:v>
      </x:c>
      <x:c r="D8" s="12" t="str">
        <x:v>Cloud &amp; Compute</x:v>
      </x:c>
      <x:c r="E8" s="12" t="str"/>
      <x:c r="F8" s="12" t="str">
        <x:v>Candidate</x:v>
      </x:c>
      <x:c r="G8" s="12" t="str">
        <x:v>Unassigned</x:v>
      </x:c>
      <x:c r="H8" s="14" t="n">
        <x:f>MINIFS(Evidence!$H$2:$H$1026,Evidence!$B$2:$B$1026,A8)</x:f>
        <x:v>2021</x:v>
      </x:c>
      <x:c r="I8" s="14" t="n">
        <x:f>MAXIFS(Evidence!$H$2:$H$1026,Evidence!$B$2:$B$1026,A8)</x:f>
        <x:v>2024</x:v>
      </x:c>
      <x:c r="J8" s="12" t="n">
        <x:f>COUNTIF(Evidence!$B$2:$B$1026,A8)</x:f>
        <x:v>12</x:v>
      </x:c>
      <x:c r="K8" s="12" t="n">
        <x:v>4</x:v>
      </x:c>
      <x:c r="L8" s="12" t="n">
        <x:v>5</x:v>
      </x:c>
      <x:c r="M8" s="12" t="n">
        <x:v>3</x:v>
      </x:c>
      <x:c r="N8" s="12" t="n">
        <x:v>7</x:v>
      </x:c>
      <x:c r="O8" s="12" t="str">
        <x:v>Recurring</x:v>
      </x:c>
      <x:c r="P8" s="12" t="n">
        <x:f>ROUND(MIN(100,(J8*1.5)+(K8*8)+(L8*4)+(M8*3)+((I8-H8+1)*3)),0)</x:f>
        <x:v>91</x:v>
      </x:c>
      <x:c r="Q8" s="12" t="str">
        <x:v>No</x:v>
      </x:c>
      <x:c r="R8" s="12" t="str"/>
      <x:c r="S8" s="12" t="str"/>
      <x:c r="T8" s="12" t="str"/>
      <x:c r="U8" s="12" t="str">
        <x:v>AI-assisted draft cluster; human review required.</x:v>
      </x:c>
    </x:row>
    <x:row r="9">
      <x:c r="A9" s="12" t="str">
        <x:v>NEED-0008</x:v>
      </x:c>
      <x:c r="B9" s="12" t="str">
        <x:v>Earthdata users need uWG raised a question about needing more clarification of the Earthdata Login (EDL) authentication process (on prem/cloud/cross_daac). GES DISC will coordinate with Bruce Wilson (ORNL DAAC manager) for more information.</x:v>
      </x:c>
      <x:c r="C9" s="12" t="str">
        <x:v>The UWG raised a question about needing more clarification of the Earthdata Login (EDL) authentication process (on prem/cloud/cross_daac). GES DISC will coordinate with Bruce Wilso</x:v>
      </x:c>
      <x:c r="D9" s="12" t="str">
        <x:v>Cloud &amp; Compute</x:v>
      </x:c>
      <x:c r="E9" s="12" t="str"/>
      <x:c r="F9" s="12" t="str">
        <x:v>Candidate</x:v>
      </x:c>
      <x:c r="G9" s="12" t="str">
        <x:v>Unassigned</x:v>
      </x:c>
      <x:c r="H9" s="14" t="n">
        <x:f>MINIFS(Evidence!$H$2:$H$1026,Evidence!$B$2:$B$1026,A9)</x:f>
        <x:v>2021</x:v>
      </x:c>
      <x:c r="I9" s="14" t="n">
        <x:f>MAXIFS(Evidence!$H$2:$H$1026,Evidence!$B$2:$B$1026,A9)</x:f>
        <x:v>2023</x:v>
      </x:c>
      <x:c r="J9" s="12" t="n">
        <x:f>COUNTIF(Evidence!$B$2:$B$1026,A9)</x:f>
        <x:v>4</x:v>
      </x:c>
      <x:c r="K9" s="12" t="n">
        <x:v>3</x:v>
      </x:c>
      <x:c r="L9" s="12" t="n">
        <x:v>2</x:v>
      </x:c>
      <x:c r="M9" s="12" t="n">
        <x:v>2</x:v>
      </x:c>
      <x:c r="N9" s="12" t="n">
        <x:v>3</x:v>
      </x:c>
      <x:c r="O9" s="12" t="str">
        <x:v>Recurring</x:v>
      </x:c>
      <x:c r="P9" s="12" t="n">
        <x:f>ROUND(MIN(100,(J9*1.5)+(K9*8)+(L9*4)+(M9*3)+((I9-H9+1)*3)),0)</x:f>
        <x:v>53</x:v>
      </x:c>
      <x:c r="Q9" s="12" t="str">
        <x:v>No</x:v>
      </x:c>
      <x:c r="R9" s="12" t="str"/>
      <x:c r="S9" s="12" t="str"/>
      <x:c r="T9" s="12" t="str"/>
      <x:c r="U9" s="12" t="str">
        <x:v>AI-assisted draft cluster; human review required.</x:v>
      </x:c>
    </x:row>
    <x:row r="10">
      <x:c r="A10" s="12" t="str">
        <x:v>NEED-0009</x:v>
      </x:c>
      <x:c r="B10" s="12" t="str">
        <x:v>Earthdata users need lindsay, DAAC Engineer for SEDAC, provided an update on the ESDS Project. He pointed out that the sheer volume of ESDS data (about 350 PB by 2019) has been a driver of the movement to the cloud, along with the need for a richer, more integrate data environment (or “data lake”). A benefit of migration to the cloud is increased collaboration among the DAACs. The Science Enabling Centers (SECs) will be support mechanisms for open science. SECs represent a shift to a focus on enabling scientific research and supporting increasingly diverse communities. Data access becomes standardized with common user interfaces, and EOSDIS architecture and infrastructure become managed services. There was an animated discussion on SEDAC’s mission as an information gateway and how to align it with the SEC concept and potentially contribute to multiple SECs. The discussion also touched on the co-existence of DAACs and SECs. NASA is planning to develop curriculum and training through the Transform to Open Science (TOPS) platform, and SEDAC’s past training materials on data integration could be redeveloped for the cloud computing environment.</x:v>
      </x:c>
      <x:c r="C10" s="12" t="str">
        <x:v>F. Lindsay, DAAC Engineer for SEDAC, provided an update on the ESDS Project. He pointed out that the sheer volume of ESDS data (about 350 PB by 2019) has been a driver of the movem</x:v>
      </x:c>
      <x:c r="D10" s="12" t="str">
        <x:v>Cloud &amp; Compute</x:v>
      </x:c>
      <x:c r="E10" s="12" t="str"/>
      <x:c r="F10" s="12" t="str">
        <x:v>Candidate</x:v>
      </x:c>
      <x:c r="G10" s="12" t="str">
        <x:v>Unassigned</x:v>
      </x:c>
      <x:c r="H10" s="14" t="n">
        <x:f>MINIFS(Evidence!$H$2:$H$1026,Evidence!$B$2:$B$1026,A10)</x:f>
        <x:v>2022</x:v>
      </x:c>
      <x:c r="I10" s="14" t="n">
        <x:f>MAXIFS(Evidence!$H$2:$H$1026,Evidence!$B$2:$B$1026,A10)</x:f>
        <x:v>2022</x:v>
      </x:c>
      <x:c r="J10" s="12" t="n">
        <x:f>COUNTIF(Evidence!$B$2:$B$1026,A10)</x:f>
        <x:v>9</x:v>
      </x:c>
      <x:c r="K10" s="12" t="n">
        <x:v>1</x:v>
      </x:c>
      <x:c r="L10" s="12" t="n">
        <x:v>2</x:v>
      </x:c>
      <x:c r="M10" s="12" t="n">
        <x:v>6</x:v>
      </x:c>
      <x:c r="N10" s="12" t="n">
        <x:v>11</x:v>
      </x:c>
      <x:c r="O10" s="12" t="str">
        <x:v>Single-year signal</x:v>
      </x:c>
      <x:c r="P10" s="12" t="n">
        <x:f>ROUND(MIN(100,(J10*1.5)+(K10*8)+(L10*4)+(M10*3)+((I10-H10+1)*3)),0)</x:f>
        <x:v>51</x:v>
      </x:c>
      <x:c r="Q10" s="12" t="str">
        <x:v>No</x:v>
      </x:c>
      <x:c r="R10" s="12" t="str"/>
      <x:c r="S10" s="12" t="str"/>
      <x:c r="T10" s="12" t="str"/>
      <x:c r="U10" s="12" t="str">
        <x:v>AI-assisted draft cluster; human review required.</x:v>
      </x:c>
    </x:row>
    <x:row r="11">
      <x:c r="A11" s="12" t="str">
        <x:v>NEED-0010</x:v>
      </x:c>
      <x:c r="B11" s="12" t="str">
        <x:v>Earthdata users need lP DAAC UWG has identified a need to enable user access to cloud computing and training for new users.</x:v>
      </x:c>
      <x:c r="C11" s="12" t="str">
        <x:v>The LP DAAC UWG has identified a need to enable user access to cloud computing and training for new users.</x:v>
      </x:c>
      <x:c r="D11" s="12" t="str">
        <x:v>Cloud &amp; Compute</x:v>
      </x:c>
      <x:c r="E11" s="12" t="str"/>
      <x:c r="F11" s="12" t="str">
        <x:v>Candidate</x:v>
      </x:c>
      <x:c r="G11" s="12" t="str">
        <x:v>Unassigned</x:v>
      </x:c>
      <x:c r="H11" s="14" t="n">
        <x:f>MINIFS(Evidence!$H$2:$H$1026,Evidence!$B$2:$B$1026,A11)</x:f>
        <x:v>2021</x:v>
      </x:c>
      <x:c r="I11" s="14" t="n">
        <x:f>MAXIFS(Evidence!$H$2:$H$1026,Evidence!$B$2:$B$1026,A11)</x:f>
        <x:v>2024</x:v>
      </x:c>
      <x:c r="J11" s="12" t="n">
        <x:f>COUNTIF(Evidence!$B$2:$B$1026,A11)</x:f>
        <x:v>13</x:v>
      </x:c>
      <x:c r="K11" s="12" t="n">
        <x:v>4</x:v>
      </x:c>
      <x:c r="L11" s="12" t="n">
        <x:v>4</x:v>
      </x:c>
      <x:c r="M11" s="12" t="n">
        <x:v>4</x:v>
      </x:c>
      <x:c r="N11" s="12" t="n">
        <x:v>7</x:v>
      </x:c>
      <x:c r="O11" s="12" t="str">
        <x:v>Recurring</x:v>
      </x:c>
      <x:c r="P11" s="12" t="n">
        <x:f>ROUND(MIN(100,(J11*1.5)+(K11*8)+(L11*4)+(M11*3)+((I11-H11+1)*3)),0)</x:f>
        <x:v>92</x:v>
      </x:c>
      <x:c r="Q11" s="12" t="str">
        <x:v>No</x:v>
      </x:c>
      <x:c r="R11" s="12" t="str"/>
      <x:c r="S11" s="12" t="str"/>
      <x:c r="T11" s="12" t="str"/>
      <x:c r="U11" s="12" t="str">
        <x:v>AI-assisted draft cluster; human review required.</x:v>
      </x:c>
    </x:row>
    <x:row r="12">
      <x:c r="A12" s="12" t="str">
        <x:v>NEED-0011</x:v>
      </x:c>
      <x:c r="B12" s="12" t="str">
        <x:v>Earthdata users need long as tools and services that utilize cloud processing on the backend are available for use outside of the cloud, then this can solve the need to fully adopt an “analysis-in-place” workflow.</x:v>
      </x:c>
      <x:c r="C12" s="12" t="str">
        <x:v>As long as tools and services that utilize cloud processing on the backend are available for use outside of the cloud, then this can solve the need to fully adopt an “analysis-in-p</x:v>
      </x:c>
      <x:c r="D12" s="12" t="str">
        <x:v>Cloud &amp; Compute</x:v>
      </x:c>
      <x:c r="E12" s="12" t="str"/>
      <x:c r="F12" s="12" t="str">
        <x:v>Candidate</x:v>
      </x:c>
      <x:c r="G12" s="12" t="str">
        <x:v>Unassigned</x:v>
      </x:c>
      <x:c r="H12" s="14" t="n">
        <x:f>MINIFS(Evidence!$H$2:$H$1026,Evidence!$B$2:$B$1026,A12)</x:f>
        <x:v>2022</x:v>
      </x:c>
      <x:c r="I12" s="14" t="n">
        <x:f>MAXIFS(Evidence!$H$2:$H$1026,Evidence!$B$2:$B$1026,A12)</x:f>
        <x:v>2023</x:v>
      </x:c>
      <x:c r="J12" s="12" t="n">
        <x:f>COUNTIF(Evidence!$B$2:$B$1026,A12)</x:f>
        <x:v>7</x:v>
      </x:c>
      <x:c r="K12" s="12" t="n">
        <x:v>2</x:v>
      </x:c>
      <x:c r="L12" s="12" t="n">
        <x:v>4</x:v>
      </x:c>
      <x:c r="M12" s="12" t="n">
        <x:v>4</x:v>
      </x:c>
      <x:c r="N12" s="12" t="n">
        <x:v>3</x:v>
      </x:c>
      <x:c r="O12" s="12" t="str">
        <x:v>Recurring</x:v>
      </x:c>
      <x:c r="P12" s="12" t="n">
        <x:f>ROUND(MIN(100,(J12*1.5)+(K12*8)+(L12*4)+(M12*3)+((I12-H12+1)*3)),0)</x:f>
        <x:v>61</x:v>
      </x:c>
      <x:c r="Q12" s="12" t="str">
        <x:v>No</x:v>
      </x:c>
      <x:c r="R12" s="12" t="str"/>
      <x:c r="S12" s="12" t="str"/>
      <x:c r="T12" s="12" t="str"/>
      <x:c r="U12" s="12" t="str">
        <x:v>AI-assisted draft cluster; human review required.</x:v>
      </x:c>
    </x:row>
    <x:row r="13">
      <x:c r="A13" s="12" t="str">
        <x:v>NEED-0012</x:v>
      </x:c>
      <x:c r="B13" s="12" t="str">
        <x:v>Earthdata users need uWG was asked to consider three scenarios for when the DAAC would make data products in the cloud publicly available. They recommended releasing some data products in the cloud even if other products for a mission were not available in the cloud, rather than waiting for an entire mission to migrate. They felt the difference in data workflows across the mission products would not be a major impediment to users.</x:v>
      </x:c>
      <x:c r="C13" s="12" t="str">
        <x:v>The UWG was asked to consider three scenarios for when the DAAC would make data products in the cloud publicly available. They recommended releasing some data products in the cloud</x:v>
      </x:c>
      <x:c r="D13" s="12" t="str">
        <x:v>Cloud &amp; Compute</x:v>
      </x:c>
      <x:c r="E13" s="12" t="str"/>
      <x:c r="F13" s="12" t="str">
        <x:v>Candidate</x:v>
      </x:c>
      <x:c r="G13" s="12" t="str">
        <x:v>Unassigned</x:v>
      </x:c>
      <x:c r="H13" s="14" t="n">
        <x:f>MINIFS(Evidence!$H$2:$H$1026,Evidence!$B$2:$B$1026,A13)</x:f>
        <x:v>2021</x:v>
      </x:c>
      <x:c r="I13" s="14" t="n">
        <x:f>MAXIFS(Evidence!$H$2:$H$1026,Evidence!$B$2:$B$1026,A13)</x:f>
        <x:v>2023</x:v>
      </x:c>
      <x:c r="J13" s="12" t="n">
        <x:f>COUNTIF(Evidence!$B$2:$B$1026,A13)</x:f>
        <x:v>5</x:v>
      </x:c>
      <x:c r="K13" s="12" t="n">
        <x:v>2</x:v>
      </x:c>
      <x:c r="L13" s="12" t="n">
        <x:v>4</x:v>
      </x:c>
      <x:c r="M13" s="12" t="n">
        <x:v>3</x:v>
      </x:c>
      <x:c r="N13" s="12" t="n">
        <x:v>3</x:v>
      </x:c>
      <x:c r="O13" s="12" t="str">
        <x:v>Recurring</x:v>
      </x:c>
      <x:c r="P13" s="12" t="n">
        <x:f>ROUND(MIN(100,(J13*1.5)+(K13*8)+(L13*4)+(M13*3)+((I13-H13+1)*3)),0)</x:f>
        <x:v>58</x:v>
      </x:c>
      <x:c r="Q13" s="12" t="str">
        <x:v>No</x:v>
      </x:c>
      <x:c r="R13" s="12" t="str"/>
      <x:c r="S13" s="12" t="str"/>
      <x:c r="T13" s="12" t="str"/>
      <x:c r="U13" s="12" t="str">
        <x:v>AI-assisted draft cluster; human review required.</x:v>
      </x:c>
    </x:row>
    <x:row r="14">
      <x:c r="A14" s="12" t="str">
        <x:v>NEED-0013</x:v>
      </x:c>
      <x:c r="B14" s="12" t="str">
        <x:v>Earthdata users need issue of cost estimates be addressed at NASA level to enable users to get tools/help with cost estimates for cloud processing.</x:v>
      </x:c>
      <x:c r="C14" s="12" t="str">
        <x:v>The UWG suggests that the issue of cost estimates be addressed at NASA level to enable users to get tools/help with cost estimates for cloud processing.</x:v>
      </x:c>
      <x:c r="D14" s="12" t="str">
        <x:v>Cloud &amp; Compute</x:v>
      </x:c>
      <x:c r="E14" s="12" t="str"/>
      <x:c r="F14" s="12" t="str">
        <x:v>Candidate</x:v>
      </x:c>
      <x:c r="G14" s="12" t="str">
        <x:v>Unassigned</x:v>
      </x:c>
      <x:c r="H14" s="14" t="n">
        <x:f>MINIFS(Evidence!$H$2:$H$1026,Evidence!$B$2:$B$1026,A14)</x:f>
        <x:v>2021</x:v>
      </x:c>
      <x:c r="I14" s="14" t="n">
        <x:f>MAXIFS(Evidence!$H$2:$H$1026,Evidence!$B$2:$B$1026,A14)</x:f>
        <x:v>2024</x:v>
      </x:c>
      <x:c r="J14" s="12" t="n">
        <x:f>COUNTIF(Evidence!$B$2:$B$1026,A14)</x:f>
        <x:v>5</x:v>
      </x:c>
      <x:c r="K14" s="12" t="n">
        <x:v>2</x:v>
      </x:c>
      <x:c r="L14" s="12" t="n">
        <x:v>2</x:v>
      </x:c>
      <x:c r="M14" s="12" t="n">
        <x:v>1</x:v>
      </x:c>
      <x:c r="N14" s="12" t="n">
        <x:v>4</x:v>
      </x:c>
      <x:c r="O14" s="12" t="str">
        <x:v>Recurring</x:v>
      </x:c>
      <x:c r="P14" s="12" t="n">
        <x:f>ROUND(MIN(100,(J14*1.5)+(K14*8)+(L14*4)+(M14*3)+((I14-H14+1)*3)),0)</x:f>
        <x:v>47</x:v>
      </x:c>
      <x:c r="Q14" s="12" t="str">
        <x:v>No</x:v>
      </x:c>
      <x:c r="R14" s="12" t="str"/>
      <x:c r="S14" s="12" t="str"/>
      <x:c r="T14" s="12" t="str"/>
      <x:c r="U14" s="12" t="str">
        <x:v>AI-assisted draft cluster; human review required.</x:v>
      </x:c>
    </x:row>
    <x:row r="15">
      <x:c r="A15" s="12" t="str">
        <x:v>NEED-0014</x:v>
      </x:c>
      <x:c r="B15" s="12" t="str">
        <x:v>Earthdata users need and JPL (two large cloud users) take efforts to collect and preserve the institutional knowledge on cloud processing planning and costing to assist with developing tools and consulting options.</x:v>
      </x:c>
      <x:c r="C15" s="12" t="str">
        <x:v>The UWG suggests that ASF and JPL (two large cloud users) take efforts to collect and preserve the institutional knowledge on cloud processing planning and costing to assist with d</x:v>
      </x:c>
      <x:c r="D15" s="12" t="str">
        <x:v>Cloud &amp; Compute</x:v>
      </x:c>
      <x:c r="E15" s="12" t="str"/>
      <x:c r="F15" s="12" t="str">
        <x:v>Candidate</x:v>
      </x:c>
      <x:c r="G15" s="12" t="str">
        <x:v>Unassigned</x:v>
      </x:c>
      <x:c r="H15" s="14" t="n">
        <x:f>MINIFS(Evidence!$H$2:$H$1026,Evidence!$B$2:$B$1026,A15)</x:f>
        <x:v>2021</x:v>
      </x:c>
      <x:c r="I15" s="14" t="n">
        <x:f>MAXIFS(Evidence!$H$2:$H$1026,Evidence!$B$2:$B$1026,A15)</x:f>
        <x:v>2024</x:v>
      </x:c>
      <x:c r="J15" s="12" t="n">
        <x:f>COUNTIF(Evidence!$B$2:$B$1026,A15)</x:f>
        <x:v>4</x:v>
      </x:c>
      <x:c r="K15" s="12" t="n">
        <x:v>4</x:v>
      </x:c>
      <x:c r="L15" s="12" t="n">
        <x:v>1</x:v>
      </x:c>
      <x:c r="M15" s="12" t="n">
        <x:v>3</x:v>
      </x:c>
      <x:c r="N15" s="12" t="n">
        <x:v>6</x:v>
      </x:c>
      <x:c r="O15" s="12" t="str">
        <x:v>Recurring</x:v>
      </x:c>
      <x:c r="P15" s="12" t="n">
        <x:f>ROUND(MIN(100,(J15*1.5)+(K15*8)+(L15*4)+(M15*3)+((I15-H15+1)*3)),0)</x:f>
        <x:v>63</x:v>
      </x:c>
      <x:c r="Q15" s="12" t="str">
        <x:v>No</x:v>
      </x:c>
      <x:c r="R15" s="12" t="str"/>
      <x:c r="S15" s="12" t="str"/>
      <x:c r="T15" s="12" t="str"/>
      <x:c r="U15" s="12" t="str">
        <x:v>AI-assisted draft cluster; human review required.</x:v>
      </x:c>
    </x:row>
    <x:row r="16">
      <x:c r="A16" s="12" t="str">
        <x:v>NEED-0015</x:v>
      </x:c>
      <x:c r="B16" s="12" t="str">
        <x:v>Earthdata users need will circulate to the UWG the Cloud Primer provided by Justin Rice for review.</x:v>
      </x:c>
      <x:c r="C16" s="12" t="str">
        <x:v>ASDC will circulate to the UWG the Cloud Primer provided by Justin Rice for review.</x:v>
      </x:c>
      <x:c r="D16" s="12" t="str">
        <x:v>Cloud &amp; Compute</x:v>
      </x:c>
      <x:c r="E16" s="12" t="str"/>
      <x:c r="F16" s="12" t="str">
        <x:v>Candidate</x:v>
      </x:c>
      <x:c r="G16" s="12" t="str">
        <x:v>Unassigned</x:v>
      </x:c>
      <x:c r="H16" s="14" t="n">
        <x:f>MINIFS(Evidence!$H$2:$H$1026,Evidence!$B$2:$B$1026,A16)</x:f>
        <x:v>2021</x:v>
      </x:c>
      <x:c r="I16" s="14" t="n">
        <x:f>MAXIFS(Evidence!$H$2:$H$1026,Evidence!$B$2:$B$1026,A16)</x:f>
        <x:v>2023</x:v>
      </x:c>
      <x:c r="J16" s="12" t="n">
        <x:f>COUNTIF(Evidence!$B$2:$B$1026,A16)</x:f>
        <x:v>4</x:v>
      </x:c>
      <x:c r="K16" s="12" t="n">
        <x:v>2</x:v>
      </x:c>
      <x:c r="L16" s="12" t="n">
        <x:v>1</x:v>
      </x:c>
      <x:c r="M16" s="12" t="n">
        <x:v>1</x:v>
      </x:c>
      <x:c r="N16" s="12" t="n">
        <x:v>1</x:v>
      </x:c>
      <x:c r="O16" s="12" t="str">
        <x:v>Recurring</x:v>
      </x:c>
      <x:c r="P16" s="12" t="n">
        <x:f>ROUND(MIN(100,(J16*1.5)+(K16*8)+(L16*4)+(M16*3)+((I16-H16+1)*3)),0)</x:f>
        <x:v>38</x:v>
      </x:c>
      <x:c r="Q16" s="12" t="str">
        <x:v>No</x:v>
      </x:c>
      <x:c r="R16" s="12" t="str"/>
      <x:c r="S16" s="12" t="str"/>
      <x:c r="T16" s="12" t="str"/>
      <x:c r="U16" s="12" t="str">
        <x:v>AI-assisted draft cluster; human review required.</x:v>
      </x:c>
    </x:row>
    <x:row r="17">
      <x:c r="A17" s="12" t="str">
        <x:v>NEED-0016</x:v>
      </x:c>
      <x:c r="B17" s="12" t="str">
        <x:v>Earthdata users need fahnstock (Univ. Alaska-Fairbanks) presented on ITS_LIVE, which uses a cloud service to process glacier image pairs, create data cubes, and calculate velocities.</x:v>
      </x:c>
      <x:c r="C17" s="12" t="str">
        <x:v>Mark Fahnstock (Univ. Alaska-Fairbanks) presented on ITS_LIVE, which uses a cloud service to process glacier image pairs, create data cubes, and calculate velocities.</x:v>
      </x:c>
      <x:c r="D17" s="12" t="str">
        <x:v>Cloud &amp; Compute</x:v>
      </x:c>
      <x:c r="E17" s="12" t="str"/>
      <x:c r="F17" s="12" t="str">
        <x:v>Candidate</x:v>
      </x:c>
      <x:c r="G17" s="12" t="str">
        <x:v>Unassigned</x:v>
      </x:c>
      <x:c r="H17" s="14" t="n">
        <x:f>MINIFS(Evidence!$H$2:$H$1026,Evidence!$B$2:$B$1026,A17)</x:f>
        <x:v>2022</x:v>
      </x:c>
      <x:c r="I17" s="14" t="n">
        <x:f>MAXIFS(Evidence!$H$2:$H$1026,Evidence!$B$2:$B$1026,A17)</x:f>
        <x:v>2022</x:v>
      </x:c>
      <x:c r="J17" s="12" t="n">
        <x:f>COUNTIF(Evidence!$B$2:$B$1026,A17)</x:f>
        <x:v>1</x:v>
      </x:c>
      <x:c r="K17" s="12" t="n">
        <x:v>1</x:v>
      </x:c>
      <x:c r="L17" s="12" t="n">
        <x:v>1</x:v>
      </x:c>
      <x:c r="M17" s="12" t="n">
        <x:v>1</x:v>
      </x:c>
      <x:c r="N17" s="12" t="n">
        <x:v>1</x:v>
      </x:c>
      <x:c r="O17" s="12" t="str">
        <x:v>Single-year signal</x:v>
      </x:c>
      <x:c r="P17" s="12" t="n">
        <x:f>ROUND(MIN(100,(J17*1.5)+(K17*8)+(L17*4)+(M17*3)+((I17-H17+1)*3)),0)</x:f>
        <x:v>20</x:v>
      </x:c>
      <x:c r="Q17" s="12" t="str">
        <x:v>No</x:v>
      </x:c>
      <x:c r="R17" s="12" t="str"/>
      <x:c r="S17" s="12" t="str"/>
      <x:c r="T17" s="12" t="str"/>
      <x:c r="U17" s="12" t="str">
        <x:v>AI-assisted draft cluster; human review required.</x:v>
      </x:c>
    </x:row>
    <x:row r="18">
      <x:c r="A18" s="12" t="str">
        <x:v>NEED-0017</x:v>
      </x:c>
      <x:c r="B18" s="12" t="str">
        <x:v>Earthdata users need dAAC will establish a project to provide UWG members with hands-on experience using data in the Earthdata Cloud. This effort will develop cloud knowledge within the UWG and will provide the DAAC with feedback on cloud data access and support resources.</x:v>
      </x:c>
      <x:c r="C18" s="12" t="str">
        <x:v>NSIDC DAAC will establish a project to provide UWG members with hands-on experience using data in the Earthdata Cloud. This effort will develop cloud knowledge within the UWG and w</x:v>
      </x:c>
      <x:c r="D18" s="12" t="str">
        <x:v>Cloud &amp; Compute</x:v>
      </x:c>
      <x:c r="E18" s="12" t="str"/>
      <x:c r="F18" s="12" t="str">
        <x:v>Candidate</x:v>
      </x:c>
      <x:c r="G18" s="12" t="str">
        <x:v>Unassigned</x:v>
      </x:c>
      <x:c r="H18" s="14" t="n">
        <x:f>MINIFS(Evidence!$H$2:$H$1026,Evidence!$B$2:$B$1026,A18)</x:f>
        <x:v>2021</x:v>
      </x:c>
      <x:c r="I18" s="14" t="n">
        <x:f>MAXIFS(Evidence!$H$2:$H$1026,Evidence!$B$2:$B$1026,A18)</x:f>
        <x:v>2024</x:v>
      </x:c>
      <x:c r="J18" s="12" t="n">
        <x:f>COUNTIF(Evidence!$B$2:$B$1026,A18)</x:f>
        <x:v>10</x:v>
      </x:c>
      <x:c r="K18" s="12" t="n">
        <x:v>4</x:v>
      </x:c>
      <x:c r="L18" s="12" t="n">
        <x:v>4</x:v>
      </x:c>
      <x:c r="M18" s="12" t="n">
        <x:v>4</x:v>
      </x:c>
      <x:c r="N18" s="12" t="n">
        <x:v>6</x:v>
      </x:c>
      <x:c r="O18" s="12" t="str">
        <x:v>Recurring</x:v>
      </x:c>
      <x:c r="P18" s="12" t="n">
        <x:f>ROUND(MIN(100,(J18*1.5)+(K18*8)+(L18*4)+(M18*3)+((I18-H18+1)*3)),0)</x:f>
        <x:v>87</x:v>
      </x:c>
      <x:c r="Q18" s="12" t="str">
        <x:v>No</x:v>
      </x:c>
      <x:c r="R18" s="12" t="str"/>
      <x:c r="S18" s="12" t="str"/>
      <x:c r="T18" s="12" t="str"/>
      <x:c r="U18" s="12" t="str">
        <x:v>AI-assisted draft cluster; human review required.</x:v>
      </x:c>
    </x:row>
    <x:row r="19">
      <x:c r="A19" s="12" t="str">
        <x:v>NEED-0018</x:v>
      </x:c>
      <x:c r="B19" s="12" t="str">
        <x:v>Earthdata users need uWG was asked to review the cloud resources on the PO.DAAC web site. Their feedback indicates that when providing information about using data in the cloud, simple graphics and highly visible ‘getting started’ information are valuable. Coordinating information and graphics across DAACs to provide consistency would also be valuable.</x:v>
      </x:c>
      <x:c r="C19" s="12" t="str">
        <x:v>The UWG was asked to review the cloud resources on the PO.DAAC web site. Their feedback indicates that when providing information about using data in the cloud, simple graphics and</x:v>
      </x:c>
      <x:c r="D19" s="12" t="str">
        <x:v>Cloud &amp; Compute</x:v>
      </x:c>
      <x:c r="E19" s="12" t="str"/>
      <x:c r="F19" s="12" t="str">
        <x:v>Candidate</x:v>
      </x:c>
      <x:c r="G19" s="12" t="str">
        <x:v>Unassigned</x:v>
      </x:c>
      <x:c r="H19" s="14" t="n">
        <x:f>MINIFS(Evidence!$H$2:$H$1026,Evidence!$B$2:$B$1026,A19)</x:f>
        <x:v>2021</x:v>
      </x:c>
      <x:c r="I19" s="14" t="n">
        <x:f>MAXIFS(Evidence!$H$2:$H$1026,Evidence!$B$2:$B$1026,A19)</x:f>
        <x:v>2023</x:v>
      </x:c>
      <x:c r="J19" s="12" t="n">
        <x:f>COUNTIF(Evidence!$B$2:$B$1026,A19)</x:f>
        <x:v>3</x:v>
      </x:c>
      <x:c r="K19" s="12" t="n">
        <x:v>2</x:v>
      </x:c>
      <x:c r="L19" s="12" t="n">
        <x:v>3</x:v>
      </x:c>
      <x:c r="M19" s="12" t="n">
        <x:v>1</x:v>
      </x:c>
      <x:c r="N19" s="12" t="n">
        <x:v>3</x:v>
      </x:c>
      <x:c r="O19" s="12" t="str">
        <x:v>Recurring</x:v>
      </x:c>
      <x:c r="P19" s="12" t="n">
        <x:f>ROUND(MIN(100,(J19*1.5)+(K19*8)+(L19*4)+(M19*3)+((I19-H19+1)*3)),0)</x:f>
        <x:v>45</x:v>
      </x:c>
      <x:c r="Q19" s="12" t="str">
        <x:v>No</x:v>
      </x:c>
      <x:c r="R19" s="12" t="str"/>
      <x:c r="S19" s="12" t="str"/>
      <x:c r="T19" s="12" t="str"/>
      <x:c r="U19" s="12" t="str">
        <x:v>AI-assisted draft cluster; human review required.</x:v>
      </x:c>
    </x:row>
    <x:row r="20">
      <x:c r="A20" s="12" t="str">
        <x:v>NEED-0019</x:v>
      </x:c>
      <x:c r="B20" s="12" t="str">
        <x:v>Earthdata users need formats are of interest; but also need to keep original data and rich metadata formats (HDF5, NetCDF).</x:v>
      </x:c>
      <x:c r="C20" s="12" t="str">
        <x:v>Cloud-optimized formats are of interest; but also need to keep original data and rich metadata formats (HDF5, NetCDF).</x:v>
      </x:c>
      <x:c r="D20" s="12" t="str">
        <x:v>Cloud &amp; Compute</x:v>
      </x:c>
      <x:c r="E20" s="12" t="str"/>
      <x:c r="F20" s="12" t="str">
        <x:v>Candidate</x:v>
      </x:c>
      <x:c r="G20" s="12" t="str">
        <x:v>Unassigned</x:v>
      </x:c>
      <x:c r="H20" s="14" t="n">
        <x:f>MINIFS(Evidence!$H$2:$H$1026,Evidence!$B$2:$B$1026,A20)</x:f>
        <x:v>2021</x:v>
      </x:c>
      <x:c r="I20" s="14" t="n">
        <x:f>MAXIFS(Evidence!$H$2:$H$1026,Evidence!$B$2:$B$1026,A20)</x:f>
        <x:v>2022</x:v>
      </x:c>
      <x:c r="J20" s="12" t="n">
        <x:f>COUNTIF(Evidence!$B$2:$B$1026,A20)</x:f>
        <x:v>10</x:v>
      </x:c>
      <x:c r="K20" s="12" t="n">
        <x:v>2</x:v>
      </x:c>
      <x:c r="L20" s="12" t="n">
        <x:v>2</x:v>
      </x:c>
      <x:c r="M20" s="12" t="n">
        <x:v>2</x:v>
      </x:c>
      <x:c r="N20" s="12" t="n">
        <x:v>7</x:v>
      </x:c>
      <x:c r="O20" s="12" t="str">
        <x:v>Recurring</x:v>
      </x:c>
      <x:c r="P20" s="12" t="n">
        <x:f>ROUND(MIN(100,(J20*1.5)+(K20*8)+(L20*4)+(M20*3)+((I20-H20+1)*3)),0)</x:f>
        <x:v>51</x:v>
      </x:c>
      <x:c r="Q20" s="12" t="str">
        <x:v>No</x:v>
      </x:c>
      <x:c r="R20" s="12" t="str"/>
      <x:c r="S20" s="12" t="str"/>
      <x:c r="T20" s="12" t="str"/>
      <x:c r="U20" s="12" t="str">
        <x:v>AI-assisted draft cluster; human review required.</x:v>
      </x:c>
    </x:row>
    <x:row r="21">
      <x:c r="A21" s="12" t="str">
        <x:v>NEED-0020</x:v>
      </x:c>
      <x:c r="B21" s="12" t="str">
        <x:v>Earthdata users need uWG strongly believes that FCX is a unique tool that can make complex NASA Earth Observation data more accessible. The GHRC should continue refining and adding capabilities to FCX with a goal of making it an institutional tool for exploring NASA’s Airborne and Field Data catalog.</x:v>
      </x:c>
      <x:c r="C21" s="12" t="str">
        <x:v>The UWG strongly believes that FCX is a unique tool that can make complex NASA Earth Observation data more accessible. The GHRC should continue refining and adding capabilities to </x:v>
      </x:c>
      <x:c r="D21" s="12" t="str">
        <x:v>Data Access &amp; Distribution</x:v>
      </x:c>
      <x:c r="E21" s="12" t="str"/>
      <x:c r="F21" s="12" t="str">
        <x:v>Candidate</x:v>
      </x:c>
      <x:c r="G21" s="12" t="str">
        <x:v>Unassigned</x:v>
      </x:c>
      <x:c r="H21" s="14" t="n">
        <x:f>MINIFS(Evidence!$H$2:$H$1026,Evidence!$B$2:$B$1026,A21)</x:f>
        <x:v>2023</x:v>
      </x:c>
      <x:c r="I21" s="14" t="n">
        <x:f>MAXIFS(Evidence!$H$2:$H$1026,Evidence!$B$2:$B$1026,A21)</x:f>
        <x:v>2024</x:v>
      </x:c>
      <x:c r="J21" s="12" t="n">
        <x:f>COUNTIF(Evidence!$B$2:$B$1026,A21)</x:f>
        <x:v>4</x:v>
      </x:c>
      <x:c r="K21" s="12" t="n">
        <x:v>2</x:v>
      </x:c>
      <x:c r="L21" s="12" t="n">
        <x:v>3</x:v>
      </x:c>
      <x:c r="M21" s="12" t="n">
        <x:v>4</x:v>
      </x:c>
      <x:c r="N21" s="12" t="n">
        <x:v>4</x:v>
      </x:c>
      <x:c r="O21" s="12" t="str">
        <x:v>Recurring</x:v>
      </x:c>
      <x:c r="P21" s="12" t="n">
        <x:f>ROUND(MIN(100,(J21*1.5)+(K21*8)+(L21*4)+(M21*3)+((I21-H21+1)*3)),0)</x:f>
        <x:v>52</x:v>
      </x:c>
      <x:c r="Q21" s="12" t="str">
        <x:v>No</x:v>
      </x:c>
      <x:c r="R21" s="12" t="str"/>
      <x:c r="S21" s="12" t="str"/>
      <x:c r="T21" s="12" t="str"/>
      <x:c r="U21" s="12" t="str">
        <x:v>AI-assisted draft cluster; human review required.</x:v>
      </x:c>
    </x:row>
    <x:row r="22">
      <x:c r="A22" s="12" t="str">
        <x:v>NEED-0021</x:v>
      </x:c>
      <x:c r="B22" s="12" t="str">
        <x:v>Earthdata users need desire to be able to quickly look at data to determine interest; but also need scriptable (API) access to be integrated into processing.</x:v>
      </x:c>
      <x:c r="C22" s="12" t="str">
        <x:v>Users desire to be able to quickly look at data to determine interest; but also need scriptable (API) access to be integrated into processing.</x:v>
      </x:c>
      <x:c r="D22" s="12" t="str">
        <x:v>Data Access &amp; Distribution</x:v>
      </x:c>
      <x:c r="E22" s="12" t="str"/>
      <x:c r="F22" s="12" t="str">
        <x:v>Candidate</x:v>
      </x:c>
      <x:c r="G22" s="12" t="str">
        <x:v>Unassigned</x:v>
      </x:c>
      <x:c r="H22" s="14" t="n">
        <x:f>MINIFS(Evidence!$H$2:$H$1026,Evidence!$B$2:$B$1026,A22)</x:f>
        <x:v>2021</x:v>
      </x:c>
      <x:c r="I22" s="14" t="n">
        <x:f>MAXIFS(Evidence!$H$2:$H$1026,Evidence!$B$2:$B$1026,A22)</x:f>
        <x:v>2023</x:v>
      </x:c>
      <x:c r="J22" s="12" t="n">
        <x:f>COUNTIF(Evidence!$B$2:$B$1026,A22)</x:f>
        <x:v>5</x:v>
      </x:c>
      <x:c r="K22" s="12" t="n">
        <x:v>3</x:v>
      </x:c>
      <x:c r="L22" s="12" t="n">
        <x:v>2</x:v>
      </x:c>
      <x:c r="M22" s="12" t="n">
        <x:v>2</x:v>
      </x:c>
      <x:c r="N22" s="12" t="n">
        <x:v>2</x:v>
      </x:c>
      <x:c r="O22" s="12" t="str">
        <x:v>Recurring</x:v>
      </x:c>
      <x:c r="P22" s="12" t="n">
        <x:f>ROUND(MIN(100,(J22*1.5)+(K22*8)+(L22*4)+(M22*3)+((I22-H22+1)*3)),0)</x:f>
        <x:v>55</x:v>
      </x:c>
      <x:c r="Q22" s="12" t="str">
        <x:v>No</x:v>
      </x:c>
      <x:c r="R22" s="12" t="str"/>
      <x:c r="S22" s="12" t="str"/>
      <x:c r="T22" s="12" t="str"/>
      <x:c r="U22" s="12" t="str">
        <x:v>AI-assisted draft cluster; human review required.</x:v>
      </x:c>
    </x:row>
    <x:row r="23">
      <x:c r="A23" s="12" t="str">
        <x:v>NEED-0022</x:v>
      </x:c>
      <x:c r="B23" s="12" t="str">
        <x:v>Earthdata users need uWG received with interest the reports on activities conducted in response to the July 2022 UWG meeting report, including analysis of SEDAC’s user community and data download and access statistics. There was agreement that in a next stage, results should be more closely analyzed before further investment is made.</x:v>
      </x:c>
      <x:c r="C23" s="12" t="str">
        <x:v>The UWG received with interest the reports on activities conducted in response to the July 2022 UWG meeting report, including analysis of SEDAC’s user community and data download a</x:v>
      </x:c>
      <x:c r="D23" s="12" t="str">
        <x:v>Data Access &amp; Distribution</x:v>
      </x:c>
      <x:c r="E23" s="12" t="str"/>
      <x:c r="F23" s="12" t="str">
        <x:v>Candidate</x:v>
      </x:c>
      <x:c r="G23" s="12" t="str">
        <x:v>Unassigned</x:v>
      </x:c>
      <x:c r="H23" s="14" t="n">
        <x:f>MINIFS(Evidence!$H$2:$H$1026,Evidence!$B$2:$B$1026,A23)</x:f>
        <x:v>2021</x:v>
      </x:c>
      <x:c r="I23" s="14" t="n">
        <x:f>MAXIFS(Evidence!$H$2:$H$1026,Evidence!$B$2:$B$1026,A23)</x:f>
        <x:v>2024</x:v>
      </x:c>
      <x:c r="J23" s="12" t="n">
        <x:f>COUNTIF(Evidence!$B$2:$B$1026,A23)</x:f>
        <x:v>7</x:v>
      </x:c>
      <x:c r="K23" s="12" t="n">
        <x:v>3</x:v>
      </x:c>
      <x:c r="L23" s="12" t="n">
        <x:v>5</x:v>
      </x:c>
      <x:c r="M23" s="12" t="n">
        <x:v>3</x:v>
      </x:c>
      <x:c r="N23" s="12" t="n">
        <x:v>5</x:v>
      </x:c>
      <x:c r="O23" s="12" t="str">
        <x:v>Recurring</x:v>
      </x:c>
      <x:c r="P23" s="12" t="n">
        <x:f>ROUND(MIN(100,(J23*1.5)+(K23*8)+(L23*4)+(M23*3)+((I23-H23+1)*3)),0)</x:f>
        <x:v>76</x:v>
      </x:c>
      <x:c r="Q23" s="12" t="str">
        <x:v>No</x:v>
      </x:c>
      <x:c r="R23" s="12" t="str"/>
      <x:c r="S23" s="12" t="str"/>
      <x:c r="T23" s="12" t="str"/>
      <x:c r="U23" s="12" t="str">
        <x:v>AI-assisted draft cluster; human review required.</x:v>
      </x:c>
    </x:row>
    <x:row r="24">
      <x:c r="A24" s="12" t="str">
        <x:v>NEED-0023</x:v>
      </x:c>
      <x:c r="B24" s="12" t="str">
        <x:v>Earthdata users need lP DAAC has historically and continues to provide great support on data accessibility.</x:v>
      </x:c>
      <x:c r="C24" s="12" t="str">
        <x:v>The LP DAAC has historically and continues to provide great support on data accessibility.</x:v>
      </x:c>
      <x:c r="D24" s="12" t="str">
        <x:v>Data Access &amp; Distribution</x:v>
      </x:c>
      <x:c r="E24" s="12" t="str"/>
      <x:c r="F24" s="12" t="str">
        <x:v>Candidate</x:v>
      </x:c>
      <x:c r="G24" s="12" t="str">
        <x:v>Unassigned</x:v>
      </x:c>
      <x:c r="H24" s="14" t="n">
        <x:f>MINIFS(Evidence!$H$2:$H$1026,Evidence!$B$2:$B$1026,A24)</x:f>
        <x:v>2022</x:v>
      </x:c>
      <x:c r="I24" s="14" t="n">
        <x:f>MAXIFS(Evidence!$H$2:$H$1026,Evidence!$B$2:$B$1026,A24)</x:f>
        <x:v>2023</x:v>
      </x:c>
      <x:c r="J24" s="12" t="n">
        <x:f>COUNTIF(Evidence!$B$2:$B$1026,A24)</x:f>
        <x:v>5</x:v>
      </x:c>
      <x:c r="K24" s="12" t="n">
        <x:v>2</x:v>
      </x:c>
      <x:c r="L24" s="12" t="n">
        <x:v>3</x:v>
      </x:c>
      <x:c r="M24" s="12" t="n">
        <x:v>1</x:v>
      </x:c>
      <x:c r="N24" s="12" t="n">
        <x:v>2</x:v>
      </x:c>
      <x:c r="O24" s="12" t="str">
        <x:v>Recurring</x:v>
      </x:c>
      <x:c r="P24" s="12" t="n">
        <x:f>ROUND(MIN(100,(J24*1.5)+(K24*8)+(L24*4)+(M24*3)+((I24-H24+1)*3)),0)</x:f>
        <x:v>45</x:v>
      </x:c>
      <x:c r="Q24" s="12" t="str">
        <x:v>No</x:v>
      </x:c>
      <x:c r="R24" s="12" t="str"/>
      <x:c r="S24" s="12" t="str"/>
      <x:c r="T24" s="12" t="str"/>
      <x:c r="U24" s="12" t="str">
        <x:v>AI-assisted draft cluster; human review required.</x:v>
      </x:c>
    </x:row>
    <x:row r="25">
      <x:c r="A25" s="12" t="str">
        <x:v>NEED-0024</x:v>
      </x:c>
      <x:c r="B25" s="12" t="str">
        <x:v>Earthdata users need development for visualization. That the user can download and use on their desktop system. Use the DAAC tool as an exploratory tool but do more analysis offline. Look at VEDA for data storage (recommended by Stinger Guala).</x:v>
      </x:c>
      <x:c r="C25" s="12" t="str">
        <x:v>NISAR-Tool development for visualization. That the user can download and use on their desktop system. Use the DAAC tool as an exploratory tool but do more analysis offline. Look at</x:v>
      </x:c>
      <x:c r="D25" s="12" t="str">
        <x:v>Data Access &amp; Distribution</x:v>
      </x:c>
      <x:c r="E25" s="12" t="str"/>
      <x:c r="F25" s="12" t="str">
        <x:v>Candidate</x:v>
      </x:c>
      <x:c r="G25" s="12" t="str">
        <x:v>Unassigned</x:v>
      </x:c>
      <x:c r="H25" s="14" t="n">
        <x:f>MINIFS(Evidence!$H$2:$H$1026,Evidence!$B$2:$B$1026,A25)</x:f>
        <x:v>2021</x:v>
      </x:c>
      <x:c r="I25" s="14" t="n">
        <x:f>MAXIFS(Evidence!$H$2:$H$1026,Evidence!$B$2:$B$1026,A25)</x:f>
        <x:v>2023</x:v>
      </x:c>
      <x:c r="J25" s="12" t="n">
        <x:f>COUNTIF(Evidence!$B$2:$B$1026,A25)</x:f>
        <x:v>3</x:v>
      </x:c>
      <x:c r="K25" s="12" t="n">
        <x:v>3</x:v>
      </x:c>
      <x:c r="L25" s="12" t="n">
        <x:v>3</x:v>
      </x:c>
      <x:c r="M25" s="12" t="n">
        <x:v>3</x:v>
      </x:c>
      <x:c r="N25" s="12" t="n">
        <x:v>4</x:v>
      </x:c>
      <x:c r="O25" s="12" t="str">
        <x:v>Recurring</x:v>
      </x:c>
      <x:c r="P25" s="12" t="n">
        <x:f>ROUND(MIN(100,(J25*1.5)+(K25*8)+(L25*4)+(M25*3)+((I25-H25+1)*3)),0)</x:f>
        <x:v>59</x:v>
      </x:c>
      <x:c r="Q25" s="12" t="str">
        <x:v>No</x:v>
      </x:c>
      <x:c r="R25" s="12" t="str"/>
      <x:c r="S25" s="12" t="str"/>
      <x:c r="T25" s="12" t="str"/>
      <x:c r="U25" s="12" t="str">
        <x:v>AI-assisted draft cluster; human review required.</x:v>
      </x:c>
    </x:row>
    <x:row r="26">
      <x:c r="A26" s="12" t="str">
        <x:v>NEED-0025</x:v>
      </x:c>
      <x:c r="B26" s="12" t="str">
        <x:v>Earthdata users need aid in preparations for TEMPO, ASDC should work with Aaron Naeger at UAH (Deputy Applications Lead for TEMPO) for integrating TEMPO Synthetic Data at ASDC to mimic data access after launch.</x:v>
      </x:c>
      <x:c r="C26" s="12" t="str">
        <x:v>To aid in preparations for TEMPO, ASDC should work with Aaron Naeger at UAH (Deputy Applications Lead for TEMPO) for integrating TEMPO Synthetic Data at ASDC to mimic data access a</x:v>
      </x:c>
      <x:c r="D26" s="12" t="str">
        <x:v>Data Access &amp; Distribution</x:v>
      </x:c>
      <x:c r="E26" s="12" t="str"/>
      <x:c r="F26" s="12" t="str">
        <x:v>Candidate</x:v>
      </x:c>
      <x:c r="G26" s="12" t="str">
        <x:v>Unassigned</x:v>
      </x:c>
      <x:c r="H26" s="14" t="n">
        <x:f>MINIFS(Evidence!$H$2:$H$1026,Evidence!$B$2:$B$1026,A26)</x:f>
        <x:v>2021</x:v>
      </x:c>
      <x:c r="I26" s="14" t="n">
        <x:f>MAXIFS(Evidence!$H$2:$H$1026,Evidence!$B$2:$B$1026,A26)</x:f>
        <x:v>2023</x:v>
      </x:c>
      <x:c r="J26" s="12" t="n">
        <x:f>COUNTIF(Evidence!$B$2:$B$1026,A26)</x:f>
        <x:v>4</x:v>
      </x:c>
      <x:c r="K26" s="12" t="n">
        <x:v>2</x:v>
      </x:c>
      <x:c r="L26" s="12" t="n">
        <x:v>1</x:v>
      </x:c>
      <x:c r="M26" s="12" t="n">
        <x:v>2</x:v>
      </x:c>
      <x:c r="N26" s="12" t="n">
        <x:v>4</x:v>
      </x:c>
      <x:c r="O26" s="12" t="str">
        <x:v>Recurring</x:v>
      </x:c>
      <x:c r="P26" s="12" t="n">
        <x:f>ROUND(MIN(100,(J26*1.5)+(K26*8)+(L26*4)+(M26*3)+((I26-H26+1)*3)),0)</x:f>
        <x:v>41</x:v>
      </x:c>
      <x:c r="Q26" s="12" t="str">
        <x:v>No</x:v>
      </x:c>
      <x:c r="R26" s="12" t="str"/>
      <x:c r="S26" s="12" t="str"/>
      <x:c r="T26" s="12" t="str"/>
      <x:c r="U26" s="12" t="str">
        <x:v>AI-assisted draft cluster; human review required.</x:v>
      </x:c>
    </x:row>
    <x:row r="27">
      <x:c r="A27" s="12" t="str">
        <x:v>NEED-0026</x:v>
      </x:c>
      <x:c r="B27" s="12" t="str">
        <x:v>Earthdata users need dAAC UWG Members were inconclusive in providing a recommendation on whether the LP DAAC should support the LPJ-R2O Simulated Global Greenhouse Gas Emissions Products or not, but do agree that the data should be supported by NASA EOSDIS, and so the LP DAAC will move forward with the Accession process so the right DAAC can be identified.</x:v>
      </x:c>
      <x:c r="C27" s="12" t="str">
        <x:v>LP DAAC UWG Members were inconclusive in providing a recommendation on whether the LP DAAC should support the LPJ-R2O Simulated Global Greenhouse Gas Emissions Products or not, but</x:v>
      </x:c>
      <x:c r="D27" s="12" t="str">
        <x:v>Data Access &amp; Distribution</x:v>
      </x:c>
      <x:c r="E27" s="12" t="str"/>
      <x:c r="F27" s="12" t="str">
        <x:v>Candidate</x:v>
      </x:c>
      <x:c r="G27" s="12" t="str">
        <x:v>Unassigned</x:v>
      </x:c>
      <x:c r="H27" s="14" t="n">
        <x:f>MINIFS(Evidence!$H$2:$H$1026,Evidence!$B$2:$B$1026,A27)</x:f>
        <x:v>2023</x:v>
      </x:c>
      <x:c r="I27" s="14" t="n">
        <x:f>MAXIFS(Evidence!$H$2:$H$1026,Evidence!$B$2:$B$1026,A27)</x:f>
        <x:v>2023</x:v>
      </x:c>
      <x:c r="J27" s="12" t="n">
        <x:f>COUNTIF(Evidence!$B$2:$B$1026,A27)</x:f>
        <x:v>7</x:v>
      </x:c>
      <x:c r="K27" s="12" t="n">
        <x:v>1</x:v>
      </x:c>
      <x:c r="L27" s="12" t="n">
        <x:v>1</x:v>
      </x:c>
      <x:c r="M27" s="12" t="n">
        <x:v>2</x:v>
      </x:c>
      <x:c r="N27" s="12" t="n">
        <x:v>3</x:v>
      </x:c>
      <x:c r="O27" s="12" t="str">
        <x:v>Single-year signal</x:v>
      </x:c>
      <x:c r="P27" s="12" t="n">
        <x:f>ROUND(MIN(100,(J27*1.5)+(K27*8)+(L27*4)+(M27*3)+((I27-H27+1)*3)),0)</x:f>
        <x:v>32</x:v>
      </x:c>
      <x:c r="Q27" s="12" t="str">
        <x:v>No</x:v>
      </x:c>
      <x:c r="R27" s="12" t="str"/>
      <x:c r="S27" s="12" t="str"/>
      <x:c r="T27" s="12" t="str"/>
      <x:c r="U27" s="12" t="str">
        <x:v>AI-assisted draft cluster; human review required.</x:v>
      </x:c>
    </x:row>
    <x:row r="28">
      <x:c r="A28" s="12" t="str">
        <x:v>NEED-0027</x:v>
      </x:c>
      <x:c r="B28" s="12" t="str">
        <x:v>Earthdata users need a brief history of Passive Microwave (PM) SSMI-SSMIS data production at the DAAC and obtained feedback from the UWG on a vision for PM data products and software to remain viable and accessible to modern users.</x:v>
      </x:c>
      <x:c r="C28" s="12" t="str">
        <x:v>Provided a brief history of Passive Microwave (PM) SSMI-SSMIS data production at the DAAC and obtained feedback from the UWG on a vision for PM data products and software to remain</x:v>
      </x:c>
      <x:c r="D28" s="12" t="str">
        <x:v>Data Access &amp; Distribution</x:v>
      </x:c>
      <x:c r="E28" s="12" t="str"/>
      <x:c r="F28" s="12" t="str">
        <x:v>Candidate</x:v>
      </x:c>
      <x:c r="G28" s="12" t="str">
        <x:v>Unassigned</x:v>
      </x:c>
      <x:c r="H28" s="14" t="n">
        <x:f>MINIFS(Evidence!$H$2:$H$1026,Evidence!$B$2:$B$1026,A28)</x:f>
        <x:v>2021</x:v>
      </x:c>
      <x:c r="I28" s="14" t="n">
        <x:f>MAXIFS(Evidence!$H$2:$H$1026,Evidence!$B$2:$B$1026,A28)</x:f>
        <x:v>2023</x:v>
      </x:c>
      <x:c r="J28" s="12" t="n">
        <x:f>COUNTIF(Evidence!$B$2:$B$1026,A28)</x:f>
        <x:v>7</x:v>
      </x:c>
      <x:c r="K28" s="12" t="n">
        <x:v>3</x:v>
      </x:c>
      <x:c r="L28" s="12" t="n">
        <x:v>4</x:v>
      </x:c>
      <x:c r="M28" s="12" t="n">
        <x:v>2</x:v>
      </x:c>
      <x:c r="N28" s="12" t="n">
        <x:v>2</x:v>
      </x:c>
      <x:c r="O28" s="12" t="str">
        <x:v>Recurring</x:v>
      </x:c>
      <x:c r="P28" s="12" t="n">
        <x:f>ROUND(MIN(100,(J28*1.5)+(K28*8)+(L28*4)+(M28*3)+((I28-H28+1)*3)),0)</x:f>
        <x:v>66</x:v>
      </x:c>
      <x:c r="Q28" s="12" t="str">
        <x:v>No</x:v>
      </x:c>
      <x:c r="R28" s="12" t="str"/>
      <x:c r="S28" s="12" t="str"/>
      <x:c r="T28" s="12" t="str"/>
      <x:c r="U28" s="12" t="str">
        <x:v>AI-assisted draft cluster; human review required.</x:v>
      </x:c>
    </x:row>
    <x:row r="29">
      <x:c r="A29" s="12" t="str">
        <x:v>NEED-0028</x:v>
      </x:c>
      <x:c r="B29" s="12" t="str">
        <x:v>Earthdata users need action items and recommendations reflect the UWG's commitment to enhancing the usability, accessibility, and overall quality of ocean color data provided by OB.DAAC, ensuring it meets the evolving needs of the scientific community and other stakeholders. For detailed information, you can refer to the meeting notes for Day 1 and Day 2, as well as the Action Items.</x:v>
      </x:c>
      <x:c r="C29" s="12" t="str">
        <x:v>The action items and recommendations reflect the UWG's commitment to enhancing the usability, accessibility, and overall quality of ocean color data provided by OB.DAAC, ensuring i</x:v>
      </x:c>
      <x:c r="D29" s="12" t="str">
        <x:v>Data Access &amp; Distribution</x:v>
      </x:c>
      <x:c r="E29" s="12" t="str"/>
      <x:c r="F29" s="12" t="str">
        <x:v>Candidate</x:v>
      </x:c>
      <x:c r="G29" s="12" t="str">
        <x:v>Unassigned</x:v>
      </x:c>
      <x:c r="H29" s="14" t="n">
        <x:f>MINIFS(Evidence!$H$2:$H$1026,Evidence!$B$2:$B$1026,A29)</x:f>
        <x:v>2021</x:v>
      </x:c>
      <x:c r="I29" s="14" t="n">
        <x:f>MAXIFS(Evidence!$H$2:$H$1026,Evidence!$B$2:$B$1026,A29)</x:f>
        <x:v>2024</x:v>
      </x:c>
      <x:c r="J29" s="12" t="n">
        <x:f>COUNTIF(Evidence!$B$2:$B$1026,A29)</x:f>
        <x:v>3</x:v>
      </x:c>
      <x:c r="K29" s="12" t="n">
        <x:v>3</x:v>
      </x:c>
      <x:c r="L29" s="12" t="n">
        <x:v>3</x:v>
      </x:c>
      <x:c r="M29" s="12" t="n">
        <x:v>3</x:v>
      </x:c>
      <x:c r="N29" s="12" t="n">
        <x:v>4</x:v>
      </x:c>
      <x:c r="O29" s="12" t="str">
        <x:v>Recurring</x:v>
      </x:c>
      <x:c r="P29" s="12" t="n">
        <x:f>ROUND(MIN(100,(J29*1.5)+(K29*8)+(L29*4)+(M29*3)+((I29-H29+1)*3)),0)</x:f>
        <x:v>62</x:v>
      </x:c>
      <x:c r="Q29" s="12" t="str">
        <x:v>No</x:v>
      </x:c>
      <x:c r="R29" s="12" t="str"/>
      <x:c r="S29" s="12" t="str"/>
      <x:c r="T29" s="12" t="str"/>
      <x:c r="U29" s="12" t="str">
        <x:v>AI-assisted draft cluster; human review required.</x:v>
      </x:c>
    </x:row>
    <x:row r="30">
      <x:c r="A30" s="12" t="str">
        <x:v>NEED-0029</x:v>
      </x:c>
      <x:c r="B30" s="12" t="str">
        <x:v>Earthdata users need recommend that PO.DAAC continue to intentionally innovate and develop new ideas on how to perform analysis at scale, and approach future data access and analytics challenges through its coding club initiative. This activity is well aligned with PO.DAACs future mission of Science Enabling Center.</x:v>
      </x:c>
      <x:c r="C30" s="12" t="str">
        <x:v>We recommend that PO.DAAC continue to intentionally innovate and develop new ideas on how to perform analysis at scale, and approach future data access and analytics challenges thr</x:v>
      </x:c>
      <x:c r="D30" s="12" t="str">
        <x:v>Data Access &amp; Distribution</x:v>
      </x:c>
      <x:c r="E30" s="12" t="str"/>
      <x:c r="F30" s="12" t="str">
        <x:v>Candidate</x:v>
      </x:c>
      <x:c r="G30" s="12" t="str">
        <x:v>Unassigned</x:v>
      </x:c>
      <x:c r="H30" s="14" t="n">
        <x:f>MINIFS(Evidence!$H$2:$H$1026,Evidence!$B$2:$B$1026,A30)</x:f>
        <x:v>2022</x:v>
      </x:c>
      <x:c r="I30" s="14" t="n">
        <x:f>MAXIFS(Evidence!$H$2:$H$1026,Evidence!$B$2:$B$1026,A30)</x:f>
        <x:v>2024</x:v>
      </x:c>
      <x:c r="J30" s="12" t="n">
        <x:f>COUNTIF(Evidence!$B$2:$B$1026,A30)</x:f>
        <x:v>4</x:v>
      </x:c>
      <x:c r="K30" s="12" t="n">
        <x:v>3</x:v>
      </x:c>
      <x:c r="L30" s="12" t="n">
        <x:v>2</x:v>
      </x:c>
      <x:c r="M30" s="12" t="n">
        <x:v>4</x:v>
      </x:c>
      <x:c r="N30" s="12" t="n">
        <x:v>3</x:v>
      </x:c>
      <x:c r="O30" s="12" t="str">
        <x:v>Recurring</x:v>
      </x:c>
      <x:c r="P30" s="12" t="n">
        <x:f>ROUND(MIN(100,(J30*1.5)+(K30*8)+(L30*4)+(M30*3)+((I30-H30+1)*3)),0)</x:f>
        <x:v>59</x:v>
      </x:c>
      <x:c r="Q30" s="12" t="str">
        <x:v>No</x:v>
      </x:c>
      <x:c r="R30" s="12" t="str"/>
      <x:c r="S30" s="12" t="str"/>
      <x:c r="T30" s="12" t="str"/>
      <x:c r="U30" s="12" t="str">
        <x:v>AI-assisted draft cluster; human review required.</x:v>
      </x:c>
    </x:row>
    <x:row r="31">
      <x:c r="A31" s="12" t="str">
        <x:v>NEED-0030</x:v>
      </x:c>
      <x:c r="B31" s="12" t="str">
        <x:v>Earthdata users need on ensuring equitable access and avoid cost traps with private services.</x:v>
      </x:c>
      <x:c r="C31" s="12" t="str">
        <x:v>NASA should focus on ensuring equitable access and avoid cost traps with private services.</x:v>
      </x:c>
      <x:c r="D31" s="12" t="str">
        <x:v>Data Access &amp; Distribution</x:v>
      </x:c>
      <x:c r="E31" s="12" t="str"/>
      <x:c r="F31" s="12" t="str">
        <x:v>Candidate</x:v>
      </x:c>
      <x:c r="G31" s="12" t="str">
        <x:v>Unassigned</x:v>
      </x:c>
      <x:c r="H31" s="14" t="n">
        <x:f>MINIFS(Evidence!$H$2:$H$1026,Evidence!$B$2:$B$1026,A31)</x:f>
        <x:v>2021</x:v>
      </x:c>
      <x:c r="I31" s="14" t="n">
        <x:f>MAXIFS(Evidence!$H$2:$H$1026,Evidence!$B$2:$B$1026,A31)</x:f>
        <x:v>2024</x:v>
      </x:c>
      <x:c r="J31" s="12" t="n">
        <x:f>COUNTIF(Evidence!$B$2:$B$1026,A31)</x:f>
        <x:v>5</x:v>
      </x:c>
      <x:c r="K31" s="12" t="n">
        <x:v>4</x:v>
      </x:c>
      <x:c r="L31" s="12" t="n">
        <x:v>4</x:v>
      </x:c>
      <x:c r="M31" s="12" t="n">
        <x:v>1</x:v>
      </x:c>
      <x:c r="N31" s="12" t="n">
        <x:v>2</x:v>
      </x:c>
      <x:c r="O31" s="12" t="str">
        <x:v>Recurring</x:v>
      </x:c>
      <x:c r="P31" s="12" t="n">
        <x:f>ROUND(MIN(100,(J31*1.5)+(K31*8)+(L31*4)+(M31*3)+((I31-H31+1)*3)),0)</x:f>
        <x:v>71</x:v>
      </x:c>
      <x:c r="Q31" s="12" t="str">
        <x:v>No</x:v>
      </x:c>
      <x:c r="R31" s="12" t="str"/>
      <x:c r="S31" s="12" t="str"/>
      <x:c r="T31" s="12" t="str"/>
      <x:c r="U31" s="12" t="str">
        <x:v>AI-assisted draft cluster; human review required.</x:v>
      </x:c>
    </x:row>
    <x:row r="32">
      <x:c r="A32" s="12" t="str">
        <x:v>NEED-0031</x:v>
      </x:c>
      <x:c r="B32" s="12" t="str">
        <x:v>Earthdata users need guidance for users on how to access and work with NSIDC DAAC data in Google CoLab.</x:v>
      </x:c>
      <x:c r="C32" s="12" t="str">
        <x:v>Create guidance for users on how to access and work with NSIDC DAAC data in Google CoLab.</x:v>
      </x:c>
      <x:c r="D32" s="12" t="str">
        <x:v>Data Access &amp; Distribution</x:v>
      </x:c>
      <x:c r="E32" s="12" t="str"/>
      <x:c r="F32" s="12" t="str">
        <x:v>Candidate</x:v>
      </x:c>
      <x:c r="G32" s="12" t="str">
        <x:v>Unassigned</x:v>
      </x:c>
      <x:c r="H32" s="14" t="n">
        <x:f>MINIFS(Evidence!$H$2:$H$1026,Evidence!$B$2:$B$1026,A32)</x:f>
        <x:v>2021</x:v>
      </x:c>
      <x:c r="I32" s="14" t="n">
        <x:f>MAXIFS(Evidence!$H$2:$H$1026,Evidence!$B$2:$B$1026,A32)</x:f>
        <x:v>2022</x:v>
      </x:c>
      <x:c r="J32" s="12" t="n">
        <x:f>COUNTIF(Evidence!$B$2:$B$1026,A32)</x:f>
        <x:v>2</x:v>
      </x:c>
      <x:c r="K32" s="12" t="n">
        <x:v>2</x:v>
      </x:c>
      <x:c r="L32" s="12" t="n">
        <x:v>2</x:v>
      </x:c>
      <x:c r="M32" s="12" t="n">
        <x:v>1</x:v>
      </x:c>
      <x:c r="N32" s="12" t="n">
        <x:v>1</x:v>
      </x:c>
      <x:c r="O32" s="12" t="str">
        <x:v>Recurring</x:v>
      </x:c>
      <x:c r="P32" s="12" t="n">
        <x:f>ROUND(MIN(100,(J32*1.5)+(K32*8)+(L32*4)+(M32*3)+((I32-H32+1)*3)),0)</x:f>
        <x:v>36</x:v>
      </x:c>
      <x:c r="Q32" s="12" t="str">
        <x:v>No</x:v>
      </x:c>
      <x:c r="R32" s="12" t="str"/>
      <x:c r="S32" s="12" t="str"/>
      <x:c r="T32" s="12" t="str"/>
      <x:c r="U32" s="12" t="str">
        <x:v>AI-assisted draft cluster; human review required.</x:v>
      </x:c>
    </x:row>
    <x:row r="33">
      <x:c r="A33" s="12" t="str">
        <x:v>NEED-0032</x:v>
      </x:c>
      <x:c r="B33" s="12" t="str">
        <x:v>Earthdata users need tutorials/notebooks are primarily done in Python. UWG did not feel that was an issue since Python is widely used, although support of Matlab would increase accessibility of tools to the entire user community.</x:v>
      </x:c>
      <x:c r="C33" s="12" t="str">
        <x:v>DAAC tutorials/notebooks are primarily done in Python. UWG did not feel that was an issue since Python is widely used, although support of Matlab would increase accessibility of to</x:v>
      </x:c>
      <x:c r="D33" s="12" t="str">
        <x:v>Data Access &amp; Distribution</x:v>
      </x:c>
      <x:c r="E33" s="12" t="str"/>
      <x:c r="F33" s="12" t="str">
        <x:v>Candidate</x:v>
      </x:c>
      <x:c r="G33" s="12" t="str">
        <x:v>Unassigned</x:v>
      </x:c>
      <x:c r="H33" s="14" t="n">
        <x:f>MINIFS(Evidence!$H$2:$H$1026,Evidence!$B$2:$B$1026,A33)</x:f>
        <x:v>2023</x:v>
      </x:c>
      <x:c r="I33" s="14" t="n">
        <x:f>MAXIFS(Evidence!$H$2:$H$1026,Evidence!$B$2:$B$1026,A33)</x:f>
        <x:v>2024</x:v>
      </x:c>
      <x:c r="J33" s="12" t="n">
        <x:f>COUNTIF(Evidence!$B$2:$B$1026,A33)</x:f>
        <x:v>3</x:v>
      </x:c>
      <x:c r="K33" s="12" t="n">
        <x:v>2</x:v>
      </x:c>
      <x:c r="L33" s="12" t="n">
        <x:v>3</x:v>
      </x:c>
      <x:c r="M33" s="12" t="n">
        <x:v>2</x:v>
      </x:c>
      <x:c r="N33" s="12" t="n">
        <x:v>5</x:v>
      </x:c>
      <x:c r="O33" s="12" t="str">
        <x:v>Recurring</x:v>
      </x:c>
      <x:c r="P33" s="12" t="n">
        <x:f>ROUND(MIN(100,(J33*1.5)+(K33*8)+(L33*4)+(M33*3)+((I33-H33+1)*3)),0)</x:f>
        <x:v>45</x:v>
      </x:c>
      <x:c r="Q33" s="12" t="str">
        <x:v>No</x:v>
      </x:c>
      <x:c r="R33" s="12" t="str"/>
      <x:c r="S33" s="12" t="str"/>
      <x:c r="T33" s="12" t="str"/>
      <x:c r="U33" s="12" t="str">
        <x:v>AI-assisted draft cluster; human review required.</x:v>
      </x:c>
    </x:row>
    <x:row r="34">
      <x:c r="A34" s="12" t="str">
        <x:v>NEED-0033</x:v>
      </x:c>
      <x:c r="B34" s="12" t="str">
        <x:v>Earthdata users need the SBG Archive DAAC, the LP DAAC needs to be a leader in cross-discipline coordination and work with secondary DAACs to ensure a broad range of user communities can access SBG data. ESO missions are cross-disciplinary in nature and require DAACs to work together to support diverse user communities.</x:v>
      </x:c>
      <x:c r="C34" s="12" t="str">
        <x:v>As the SBG Archive DAAC, the LP DAAC needs to be a leader in cross-discipline coordination and work with secondary DAACs to ensure a broad range of user communities can access SBG </x:v>
      </x:c>
      <x:c r="D34" s="12" t="str">
        <x:v>Data Access &amp; Distribution</x:v>
      </x:c>
      <x:c r="E34" s="12" t="str"/>
      <x:c r="F34" s="12" t="str">
        <x:v>Candidate</x:v>
      </x:c>
      <x:c r="G34" s="12" t="str">
        <x:v>Unassigned</x:v>
      </x:c>
      <x:c r="H34" s="14" t="n">
        <x:f>MINIFS(Evidence!$H$2:$H$1026,Evidence!$B$2:$B$1026,A34)</x:f>
        <x:v>2023</x:v>
      </x:c>
      <x:c r="I34" s="14" t="n">
        <x:f>MAXIFS(Evidence!$H$2:$H$1026,Evidence!$B$2:$B$1026,A34)</x:f>
        <x:v>2023</x:v>
      </x:c>
      <x:c r="J34" s="12" t="n">
        <x:f>COUNTIF(Evidence!$B$2:$B$1026,A34)</x:f>
        <x:v>3</x:v>
      </x:c>
      <x:c r="K34" s="12" t="n">
        <x:v>1</x:v>
      </x:c>
      <x:c r="L34" s="12" t="n">
        <x:v>1</x:v>
      </x:c>
      <x:c r="M34" s="12" t="n">
        <x:v>2</x:v>
      </x:c>
      <x:c r="N34" s="12" t="n">
        <x:v>5</x:v>
      </x:c>
      <x:c r="O34" s="12" t="str">
        <x:v>Single-year signal</x:v>
      </x:c>
      <x:c r="P34" s="12" t="n">
        <x:f>ROUND(MIN(100,(J34*1.5)+(K34*8)+(L34*4)+(M34*3)+((I34-H34+1)*3)),0)</x:f>
        <x:v>26</x:v>
      </x:c>
      <x:c r="Q34" s="12" t="str">
        <x:v>No</x:v>
      </x:c>
      <x:c r="R34" s="12" t="str"/>
      <x:c r="S34" s="12" t="str"/>
      <x:c r="T34" s="12" t="str"/>
      <x:c r="U34" s="12" t="str">
        <x:v>AI-assisted draft cluster; human review required.</x:v>
      </x:c>
    </x:row>
    <x:row r="35">
      <x:c r="A35" s="12" t="str">
        <x:v>NEED-0034</x:v>
      </x:c>
      <x:c r="B35" s="12" t="str">
        <x:v>Earthdata users need rADARSAT-1 Metrics: delivery to CSA, science users to give a more accurate picture due to the repatriation effort bias.</x:v>
      </x:c>
      <x:c r="C35" s="12" t="str">
        <x:v>Separate RADARSAT-1 Metrics: delivery to CSA, science users to give a more accurate picture due to the repatriation effort bias.</x:v>
      </x:c>
      <x:c r="D35" s="12" t="str">
        <x:v>Data Access &amp; Distribution</x:v>
      </x:c>
      <x:c r="E35" s="12" t="str"/>
      <x:c r="F35" s="12" t="str">
        <x:v>Candidate</x:v>
      </x:c>
      <x:c r="G35" s="12" t="str">
        <x:v>Unassigned</x:v>
      </x:c>
      <x:c r="H35" s="14" t="n">
        <x:f>MINIFS(Evidence!$H$2:$H$1026,Evidence!$B$2:$B$1026,A35)</x:f>
        <x:v>2021</x:v>
      </x:c>
      <x:c r="I35" s="14" t="n">
        <x:f>MAXIFS(Evidence!$H$2:$H$1026,Evidence!$B$2:$B$1026,A35)</x:f>
        <x:v>2024</x:v>
      </x:c>
      <x:c r="J35" s="12" t="n">
        <x:f>COUNTIF(Evidence!$B$2:$B$1026,A35)</x:f>
        <x:v>2</x:v>
      </x:c>
      <x:c r="K35" s="12" t="n">
        <x:v>2</x:v>
      </x:c>
      <x:c r="L35" s="12" t="n">
        <x:v>2</x:v>
      </x:c>
      <x:c r="M35" s="12" t="n">
        <x:v>1</x:v>
      </x:c>
      <x:c r="N35" s="12" t="n">
        <x:v>1</x:v>
      </x:c>
      <x:c r="O35" s="12" t="str">
        <x:v>Recurring</x:v>
      </x:c>
      <x:c r="P35" s="12" t="n">
        <x:f>ROUND(MIN(100,(J35*1.5)+(K35*8)+(L35*4)+(M35*3)+((I35-H35+1)*3)),0)</x:f>
        <x:v>42</x:v>
      </x:c>
      <x:c r="Q35" s="12" t="str">
        <x:v>No</x:v>
      </x:c>
      <x:c r="R35" s="12" t="str"/>
      <x:c r="S35" s="12" t="str"/>
      <x:c r="T35" s="12" t="str"/>
      <x:c r="U35" s="12" t="str">
        <x:v>AI-assisted draft cluster; human review required.</x:v>
      </x:c>
    </x:row>
    <x:row r="36">
      <x:c r="A36" s="12" t="str">
        <x:v>NEED-0035</x:v>
      </x:c>
      <x:c r="B36" s="12" t="str">
        <x:v>Earthdata users need is interested in hearing if a copy of CryoSat-2 data could be archived at a DAAC, as is planned for CRISTAL, and/or if earthaccess could be extended to CryoSat-2 (and other ESA) data.</x:v>
      </x:c>
      <x:c r="C36" s="12" t="str">
        <x:v>UWG is interested in hearing if a copy of CryoSat-2 data could be archived at a DAAC, as is planned for CRISTAL, and/or if earthaccess could be extended to CryoSat-2 (and other ESA</x:v>
      </x:c>
      <x:c r="D36" s="12" t="str">
        <x:v>Data Access &amp; Distribution</x:v>
      </x:c>
      <x:c r="E36" s="12" t="str"/>
      <x:c r="F36" s="12" t="str">
        <x:v>Candidate</x:v>
      </x:c>
      <x:c r="G36" s="12" t="str">
        <x:v>Unassigned</x:v>
      </x:c>
      <x:c r="H36" s="14" t="n">
        <x:f>MINIFS(Evidence!$H$2:$H$1026,Evidence!$B$2:$B$1026,A36)</x:f>
        <x:v>2023</x:v>
      </x:c>
      <x:c r="I36" s="14" t="n">
        <x:f>MAXIFS(Evidence!$H$2:$H$1026,Evidence!$B$2:$B$1026,A36)</x:f>
        <x:v>2024</x:v>
      </x:c>
      <x:c r="J36" s="12" t="n">
        <x:f>COUNTIF(Evidence!$B$2:$B$1026,A36)</x:f>
        <x:v>2</x:v>
      </x:c>
      <x:c r="K36" s="12" t="n">
        <x:v>2</x:v>
      </x:c>
      <x:c r="L36" s="12" t="n">
        <x:v>2</x:v>
      </x:c>
      <x:c r="M36" s="12" t="n">
        <x:v>2</x:v>
      </x:c>
      <x:c r="N36" s="12" t="n">
        <x:v>3</x:v>
      </x:c>
      <x:c r="O36" s="12" t="str">
        <x:v>Recurring</x:v>
      </x:c>
      <x:c r="P36" s="12" t="n">
        <x:f>ROUND(MIN(100,(J36*1.5)+(K36*8)+(L36*4)+(M36*3)+((I36-H36+1)*3)),0)</x:f>
        <x:v>39</x:v>
      </x:c>
      <x:c r="Q36" s="12" t="str">
        <x:v>No</x:v>
      </x:c>
      <x:c r="R36" s="12" t="str"/>
      <x:c r="S36" s="12" t="str"/>
      <x:c r="T36" s="12" t="str"/>
      <x:c r="U36" s="12" t="str">
        <x:v>AI-assisted draft cluster; human review required.</x:v>
      </x:c>
    </x:row>
    <x:row r="37">
      <x:c r="A37" s="12" t="str">
        <x:v>NEED-0036</x:v>
      </x:c>
      <x:c r="B37" s="12" t="str">
        <x:v>Earthdata users need improvements for Worldview: easier access to files, color bars and changing scales.</x:v>
      </x:c>
      <x:c r="C37" s="12" t="str">
        <x:v>Suggested improvements for Worldview: easier access to files, color bars and changing scales.</x:v>
      </x:c>
      <x:c r="D37" s="12" t="str">
        <x:v>Data Access &amp; Distribution</x:v>
      </x:c>
      <x:c r="E37" s="12" t="str"/>
      <x:c r="F37" s="12" t="str">
        <x:v>Candidate</x:v>
      </x:c>
      <x:c r="G37" s="12" t="str">
        <x:v>Unassigned</x:v>
      </x:c>
      <x:c r="H37" s="14" t="n">
        <x:f>MINIFS(Evidence!$H$2:$H$1026,Evidence!$B$2:$B$1026,A37)</x:f>
        <x:v>2024</x:v>
      </x:c>
      <x:c r="I37" s="14" t="n">
        <x:f>MAXIFS(Evidence!$H$2:$H$1026,Evidence!$B$2:$B$1026,A37)</x:f>
        <x:v>2024</x:v>
      </x:c>
      <x:c r="J37" s="12" t="n">
        <x:f>COUNTIF(Evidence!$B$2:$B$1026,A37)</x:f>
        <x:v>2</x:v>
      </x:c>
      <x:c r="K37" s="12" t="n">
        <x:v>1</x:v>
      </x:c>
      <x:c r="L37" s="12" t="n">
        <x:v>1</x:v>
      </x:c>
      <x:c r="M37" s="12" t="n">
        <x:v>1</x:v>
      </x:c>
      <x:c r="N37" s="12" t="n">
        <x:v>3</x:v>
      </x:c>
      <x:c r="O37" s="12" t="str">
        <x:v>Single-year signal</x:v>
      </x:c>
      <x:c r="P37" s="12" t="n">
        <x:f>ROUND(MIN(100,(J37*1.5)+(K37*8)+(L37*4)+(M37*3)+((I37-H37+1)*3)),0)</x:f>
        <x:v>21</x:v>
      </x:c>
      <x:c r="Q37" s="12" t="str">
        <x:v>No</x:v>
      </x:c>
      <x:c r="R37" s="12" t="str"/>
      <x:c r="S37" s="12" t="str"/>
      <x:c r="T37" s="12" t="str"/>
      <x:c r="U37" s="12" t="str">
        <x:v>AI-assisted draft cluster; human review required.</x:v>
      </x:c>
    </x:row>
    <x:row r="38">
      <x:c r="A38" s="12" t="str">
        <x:v>NEED-0037</x:v>
      </x:c>
      <x:c r="B38" s="12" t="str">
        <x:v>Earthdata users need sP3: It is clear that SEDAC could and should increase its strategic efforts related to EJ and CJ issues, but at the same time should try to focus on a relatively small set of initiatives. SEDAC could build on existing and planned training and outreach activities to reduce access barriers and customize them to meet specific EJ/CJ community needs. Additional use cases and stakeholder interactions may be valuable in generating interest in current and future SEDAC data and resources useful for EJ/CJ applications. Partnerships need to be pursued with other groups engaged with EJ/CJ, especially in the Earth science and social science communities, including programs such as SERVIR and the NASA Health and Air Quality Applied Sciences Team (HAQAST), as well as the new EJ/CJ projects just being awarded. SEDAC should also explore collaboration with other NASA-supported programs as it seeks ways to scale up outreach other HBCUs and MSIs.</x:v>
      </x:c>
      <x:c r="C38" s="12" t="str">
        <x:v>SP3: It is clear that SEDAC could and should increase its strategic efforts related to EJ and CJ issues, but at the same time should try to focus on a relatively small set of initi</x:v>
      </x:c>
      <x:c r="D38" s="12" t="str">
        <x:v>Data Access &amp; Distribution</x:v>
      </x:c>
      <x:c r="E38" s="12" t="str"/>
      <x:c r="F38" s="12" t="str">
        <x:v>Candidate</x:v>
      </x:c>
      <x:c r="G38" s="12" t="str">
        <x:v>Unassigned</x:v>
      </x:c>
      <x:c r="H38" s="14" t="n">
        <x:f>MINIFS(Evidence!$H$2:$H$1026,Evidence!$B$2:$B$1026,A38)</x:f>
        <x:v>2021</x:v>
      </x:c>
      <x:c r="I38" s="14" t="n">
        <x:f>MAXIFS(Evidence!$H$2:$H$1026,Evidence!$B$2:$B$1026,A38)</x:f>
        <x:v>2022</x:v>
      </x:c>
      <x:c r="J38" s="12" t="n">
        <x:f>COUNTIF(Evidence!$B$2:$B$1026,A38)</x:f>
        <x:v>2</x:v>
      </x:c>
      <x:c r="K38" s="12" t="n">
        <x:v>2</x:v>
      </x:c>
      <x:c r="L38" s="12" t="n">
        <x:v>1</x:v>
      </x:c>
      <x:c r="M38" s="12" t="n">
        <x:v>3</x:v>
      </x:c>
      <x:c r="N38" s="12" t="n">
        <x:v>6</x:v>
      </x:c>
      <x:c r="O38" s="12" t="str">
        <x:v>Recurring</x:v>
      </x:c>
      <x:c r="P38" s="12" t="n">
        <x:f>ROUND(MIN(100,(J38*1.5)+(K38*8)+(L38*4)+(M38*3)+((I38-H38+1)*3)),0)</x:f>
        <x:v>38</x:v>
      </x:c>
      <x:c r="Q38" s="12" t="str">
        <x:v>No</x:v>
      </x:c>
      <x:c r="R38" s="12" t="str"/>
      <x:c r="S38" s="12" t="str"/>
      <x:c r="T38" s="12" t="str"/>
      <x:c r="U38" s="12" t="str">
        <x:v>AI-assisted draft cluster; human review required.</x:v>
      </x:c>
    </x:row>
    <x:row r="39">
      <x:c r="A39" s="12" t="str">
        <x:v>NEED-0038</x:v>
      </x:c>
      <x:c r="B39" s="12" t="str">
        <x:v>Earthdata users need the data accession and pre-publication (for ROSES ICESat-2) review steps to have sample data vetted by the DAAC for basic format and documentation requirements before sending to the UWG for review.</x:v>
      </x:c>
      <x:c r="C39" s="12" t="str">
        <x:v>Change the data accession and pre-publication (for ROSES ICESat-2) review steps to have sample data vetted by the DAAC for basic format and documentation requirements before sendin</x:v>
      </x:c>
      <x:c r="D39" s="12" t="str">
        <x:v>Data Access &amp; Distribution</x:v>
      </x:c>
      <x:c r="E39" s="12" t="str"/>
      <x:c r="F39" s="12" t="str">
        <x:v>Candidate</x:v>
      </x:c>
      <x:c r="G39" s="12" t="str">
        <x:v>Unassigned</x:v>
      </x:c>
      <x:c r="H39" s="14" t="n">
        <x:f>MINIFS(Evidence!$H$2:$H$1026,Evidence!$B$2:$B$1026,A39)</x:f>
        <x:v>2023</x:v>
      </x:c>
      <x:c r="I39" s="14" t="n">
        <x:f>MAXIFS(Evidence!$H$2:$H$1026,Evidence!$B$2:$B$1026,A39)</x:f>
        <x:v>2023</x:v>
      </x:c>
      <x:c r="J39" s="12" t="n">
        <x:f>COUNTIF(Evidence!$B$2:$B$1026,A39)</x:f>
        <x:v>2</x:v>
      </x:c>
      <x:c r="K39" s="12" t="n">
        <x:v>1</x:v>
      </x:c>
      <x:c r="L39" s="12" t="n">
        <x:v>1</x:v>
      </x:c>
      <x:c r="M39" s="12" t="n">
        <x:v>2</x:v>
      </x:c>
      <x:c r="N39" s="12" t="n">
        <x:v>4</x:v>
      </x:c>
      <x:c r="O39" s="12" t="str">
        <x:v>Single-year signal</x:v>
      </x:c>
      <x:c r="P39" s="12" t="n">
        <x:f>ROUND(MIN(100,(J39*1.5)+(K39*8)+(L39*4)+(M39*3)+((I39-H39+1)*3)),0)</x:f>
        <x:v>24</x:v>
      </x:c>
      <x:c r="Q39" s="12" t="str">
        <x:v>No</x:v>
      </x:c>
      <x:c r="R39" s="12" t="str"/>
      <x:c r="S39" s="12" t="str"/>
      <x:c r="T39" s="12" t="str"/>
      <x:c r="U39" s="12" t="str">
        <x:v>AI-assisted draft cluster; human review required.</x:v>
      </x:c>
    </x:row>
    <x:row r="40">
      <x:c r="A40" s="12" t="str">
        <x:v>NEED-0039</x:v>
      </x:c>
      <x:c r="B40" s="12" t="str">
        <x:v>Earthdata users need aTBDs and documentations on the new website, add links under “Resources” &gt; “Documentation.” NOTE: The ATBDs will ultimately go to APT, where PIs will maintain their algorithms. The future ATBDs will be accessible and user friendly. (May 8, September 22, Done).</x:v>
      </x:c>
      <x:c r="C40" s="12" t="str">
        <x:v>For ATBDs and documentations on the new website, add links under “Resources” &gt; “Documentation.” NOTE: The ATBDs will ultimately go to APT, where PIs will maintain their algorithms.</x:v>
      </x:c>
      <x:c r="D40" s="12" t="str">
        <x:v>Data Access &amp; Distribution</x:v>
      </x:c>
      <x:c r="E40" s="12" t="str"/>
      <x:c r="F40" s="12" t="str">
        <x:v>Candidate</x:v>
      </x:c>
      <x:c r="G40" s="12" t="str">
        <x:v>Unassigned</x:v>
      </x:c>
      <x:c r="H40" s="14" t="n">
        <x:f>MINIFS(Evidence!$H$2:$H$1026,Evidence!$B$2:$B$1026,A40)</x:f>
        <x:v>2023</x:v>
      </x:c>
      <x:c r="I40" s="14" t="n">
        <x:f>MAXIFS(Evidence!$H$2:$H$1026,Evidence!$B$2:$B$1026,A40)</x:f>
        <x:v>2023</x:v>
      </x:c>
      <x:c r="J40" s="12" t="n">
        <x:f>COUNTIF(Evidence!$B$2:$B$1026,A40)</x:f>
        <x:v>2</x:v>
      </x:c>
      <x:c r="K40" s="12" t="n">
        <x:v>1</x:v>
      </x:c>
      <x:c r="L40" s="12" t="n">
        <x:v>2</x:v>
      </x:c>
      <x:c r="M40" s="12" t="n">
        <x:v>1</x:v>
      </x:c>
      <x:c r="N40" s="12" t="n">
        <x:v>2</x:v>
      </x:c>
      <x:c r="O40" s="12" t="str">
        <x:v>Single-year signal</x:v>
      </x:c>
      <x:c r="P40" s="12" t="n">
        <x:f>ROUND(MIN(100,(J40*1.5)+(K40*8)+(L40*4)+(M40*3)+((I40-H40+1)*3)),0)</x:f>
        <x:v>25</x:v>
      </x:c>
      <x:c r="Q40" s="12" t="str">
        <x:v>No</x:v>
      </x:c>
      <x:c r="R40" s="12" t="str"/>
      <x:c r="S40" s="12" t="str"/>
      <x:c r="T40" s="12" t="str"/>
      <x:c r="U40" s="12" t="str">
        <x:v>AI-assisted draft cluster; human review required.</x:v>
      </x:c>
    </x:row>
    <x:row r="41">
      <x:c r="A41" s="12" t="str">
        <x:v>NEED-0040</x:v>
      </x:c>
      <x:c r="B41" s="12" t="str">
        <x:v>Earthdata users need enterprise-level effort to (1) make Analysis Ready Data (ARD) accessible to users, and (2) make ARDs “trustworthy” by providing data provenance.</x:v>
      </x:c>
      <x:c r="C41" s="12" t="str">
        <x:v>An enterprise-level effort to (1) make Analysis Ready Data (ARD) accessible to users, and (2) make ARDs “trustworthy” by providing data provenance.</x:v>
      </x:c>
      <x:c r="D41" s="12" t="str">
        <x:v>Data Access &amp; Distribution</x:v>
      </x:c>
      <x:c r="E41" s="12" t="str"/>
      <x:c r="F41" s="12" t="str">
        <x:v>Candidate</x:v>
      </x:c>
      <x:c r="G41" s="12" t="str">
        <x:v>Unassigned</x:v>
      </x:c>
      <x:c r="H41" s="14" t="n">
        <x:f>MINIFS(Evidence!$H$2:$H$1026,Evidence!$B$2:$B$1026,A41)</x:f>
        <x:v>2021</x:v>
      </x:c>
      <x:c r="I41" s="14" t="n">
        <x:f>MAXIFS(Evidence!$H$2:$H$1026,Evidence!$B$2:$B$1026,A41)</x:f>
        <x:v>2024</x:v>
      </x:c>
      <x:c r="J41" s="12" t="n">
        <x:f>COUNTIF(Evidence!$B$2:$B$1026,A41)</x:f>
        <x:v>2</x:v>
      </x:c>
      <x:c r="K41" s="12" t="n">
        <x:v>2</x:v>
      </x:c>
      <x:c r="L41" s="12" t="n">
        <x:v>1</x:v>
      </x:c>
      <x:c r="M41" s="12" t="n">
        <x:v>2</x:v>
      </x:c>
      <x:c r="N41" s="12" t="n">
        <x:v>3</x:v>
      </x:c>
      <x:c r="O41" s="12" t="str">
        <x:v>Recurring</x:v>
      </x:c>
      <x:c r="P41" s="12" t="n">
        <x:f>ROUND(MIN(100,(J41*1.5)+(K41*8)+(L41*4)+(M41*3)+((I41-H41+1)*3)),0)</x:f>
        <x:v>41</x:v>
      </x:c>
      <x:c r="Q41" s="12" t="str">
        <x:v>No</x:v>
      </x:c>
      <x:c r="R41" s="12" t="str"/>
      <x:c r="S41" s="12" t="str"/>
      <x:c r="T41" s="12" t="str"/>
      <x:c r="U41" s="12" t="str">
        <x:v>AI-assisted draft cluster; human review required.</x:v>
      </x:c>
    </x:row>
    <x:row r="42">
      <x:c r="A42" s="12" t="str">
        <x:v>NEED-0041</x:v>
      </x:c>
      <x:c r="B42" s="12" t="str">
        <x:v>Earthdata users need a compilation of modular code examples as a “cookbook”, structured by common data access, analysis, and visualization operations.</x:v>
      </x:c>
      <x:c r="C42" s="12" t="str">
        <x:v>Produce a compilation of modular code examples as a “cookbook”, structured by common data access, analysis, and visualization operations.</x:v>
      </x:c>
      <x:c r="D42" s="12" t="str">
        <x:v>Data Access &amp; Distribution</x:v>
      </x:c>
      <x:c r="E42" s="12" t="str"/>
      <x:c r="F42" s="12" t="str">
        <x:v>Candidate</x:v>
      </x:c>
      <x:c r="G42" s="12" t="str">
        <x:v>Unassigned</x:v>
      </x:c>
      <x:c r="H42" s="14" t="n">
        <x:f>MINIFS(Evidence!$H$2:$H$1026,Evidence!$B$2:$B$1026,A42)</x:f>
        <x:v>2021</x:v>
      </x:c>
      <x:c r="I42" s="14" t="n">
        <x:f>MAXIFS(Evidence!$H$2:$H$1026,Evidence!$B$2:$B$1026,A42)</x:f>
        <x:v>2023</x:v>
      </x:c>
      <x:c r="J42" s="12" t="n">
        <x:f>COUNTIF(Evidence!$B$2:$B$1026,A42)</x:f>
        <x:v>2</x:v>
      </x:c>
      <x:c r="K42" s="12" t="n">
        <x:v>2</x:v>
      </x:c>
      <x:c r="L42" s="12" t="n">
        <x:v>2</x:v>
      </x:c>
      <x:c r="M42" s="12" t="n">
        <x:v>3</x:v>
      </x:c>
      <x:c r="N42" s="12" t="n">
        <x:v>4</x:v>
      </x:c>
      <x:c r="O42" s="12" t="str">
        <x:v>Recurring</x:v>
      </x:c>
      <x:c r="P42" s="12" t="n">
        <x:f>ROUND(MIN(100,(J42*1.5)+(K42*8)+(L42*4)+(M42*3)+((I42-H42+1)*3)),0)</x:f>
        <x:v>45</x:v>
      </x:c>
      <x:c r="Q42" s="12" t="str">
        <x:v>No</x:v>
      </x:c>
      <x:c r="R42" s="12" t="str"/>
      <x:c r="S42" s="12" t="str"/>
      <x:c r="T42" s="12" t="str"/>
      <x:c r="U42" s="12" t="str">
        <x:v>AI-assisted draft cluster; human review required.</x:v>
      </x:c>
    </x:row>
    <x:row r="43">
      <x:c r="A43" s="12" t="str">
        <x:v>NEED-0042</x:v>
      </x:c>
      <x:c r="B43" s="12" t="str">
        <x:v>Earthdata users need is considering ways to return just the subset of data users want vs giving them all the data.</x:v>
      </x:c>
      <x:c r="C43" s="12" t="str">
        <x:v>SeaDAS is considering ways to return just the subset of data users want vs giving them all the data.</x:v>
      </x:c>
      <x:c r="D43" s="12" t="str">
        <x:v>Data Access &amp; Distribution</x:v>
      </x:c>
      <x:c r="E43" s="12" t="str"/>
      <x:c r="F43" s="12" t="str">
        <x:v>Candidate</x:v>
      </x:c>
      <x:c r="G43" s="12" t="str">
        <x:v>Unassigned</x:v>
      </x:c>
      <x:c r="H43" s="14" t="n">
        <x:f>MINIFS(Evidence!$H$2:$H$1026,Evidence!$B$2:$B$1026,A43)</x:f>
        <x:v>2022</x:v>
      </x:c>
      <x:c r="I43" s="14" t="n">
        <x:f>MAXIFS(Evidence!$H$2:$H$1026,Evidence!$B$2:$B$1026,A43)</x:f>
        <x:v>2024</x:v>
      </x:c>
      <x:c r="J43" s="12" t="n">
        <x:f>COUNTIF(Evidence!$B$2:$B$1026,A43)</x:f>
        <x:v>3</x:v>
      </x:c>
      <x:c r="K43" s="12" t="n">
        <x:v>2</x:v>
      </x:c>
      <x:c r="L43" s="12" t="n">
        <x:v>1</x:v>
      </x:c>
      <x:c r="M43" s="12" t="n">
        <x:v>3</x:v>
      </x:c>
      <x:c r="N43" s="12" t="n">
        <x:v>4</x:v>
      </x:c>
      <x:c r="O43" s="12" t="str">
        <x:v>Recurring</x:v>
      </x:c>
      <x:c r="P43" s="12" t="n">
        <x:f>ROUND(MIN(100,(J43*1.5)+(K43*8)+(L43*4)+(M43*3)+((I43-H43+1)*3)),0)</x:f>
        <x:v>43</x:v>
      </x:c>
      <x:c r="Q43" s="12" t="str">
        <x:v>No</x:v>
      </x:c>
      <x:c r="R43" s="12" t="str"/>
      <x:c r="S43" s="12" t="str"/>
      <x:c r="T43" s="12" t="str"/>
      <x:c r="U43" s="12" t="str">
        <x:v>AI-assisted draft cluster; human review required.</x:v>
      </x:c>
    </x:row>
    <x:row r="44">
      <x:c r="A44" s="12" t="str">
        <x:v>NEED-0043</x:v>
      </x:c>
      <x:c r="B44" s="12" t="str">
        <x:v>Earthdata users need was a general sense that while virtual meetings are more accessible for some, including those who have family obligations, personal connections are not fostered as well, and some of the context for discussions is harder to convey in short virtual meetings. Hybrid formats were considered to be the least desirable approach, since those who are outside the room tend to be at a disadvantage. Yet there was recognition that if some are unable to travel, it is better than not participating at all. Shorter, more frequent and focused meetings could work as well. There was also a suggestion that interactive tools could be incorporated for more effective brainstorming.</x:v>
      </x:c>
      <x:c r="C44" s="12" t="str">
        <x:v>There was a general sense that while virtual meetings are more accessible for some, including those who have family obligations, personal connections are not fostered as well, and </x:v>
      </x:c>
      <x:c r="D44" s="12" t="str">
        <x:v>Data Access &amp; Distribution</x:v>
      </x:c>
      <x:c r="E44" s="12" t="str"/>
      <x:c r="F44" s="12" t="str">
        <x:v>Candidate</x:v>
      </x:c>
      <x:c r="G44" s="12" t="str">
        <x:v>Unassigned</x:v>
      </x:c>
      <x:c r="H44" s="14" t="n">
        <x:f>MINIFS(Evidence!$H$2:$H$1026,Evidence!$B$2:$B$1026,A44)</x:f>
        <x:v>2021</x:v>
      </x:c>
      <x:c r="I44" s="14" t="n">
        <x:f>MAXIFS(Evidence!$H$2:$H$1026,Evidence!$B$2:$B$1026,A44)</x:f>
        <x:v>2021</x:v>
      </x:c>
      <x:c r="J44" s="12" t="n">
        <x:f>COUNTIF(Evidence!$B$2:$B$1026,A44)</x:f>
        <x:v>1</x:v>
      </x:c>
      <x:c r="K44" s="12" t="n">
        <x:v>1</x:v>
      </x:c>
      <x:c r="L44" s="12" t="n">
        <x:v>1</x:v>
      </x:c>
      <x:c r="M44" s="12" t="n">
        <x:v>1</x:v>
      </x:c>
      <x:c r="N44" s="12" t="n">
        <x:v>2</x:v>
      </x:c>
      <x:c r="O44" s="12" t="str">
        <x:v>Single-year signal</x:v>
      </x:c>
      <x:c r="P44" s="12" t="n">
        <x:f>ROUND(MIN(100,(J44*1.5)+(K44*8)+(L44*4)+(M44*3)+((I44-H44+1)*3)),0)</x:f>
        <x:v>20</x:v>
      </x:c>
      <x:c r="Q44" s="12" t="str">
        <x:v>No</x:v>
      </x:c>
      <x:c r="R44" s="12" t="str"/>
      <x:c r="S44" s="12" t="str"/>
      <x:c r="T44" s="12" t="str"/>
      <x:c r="U44" s="12" t="str">
        <x:v>AI-assisted draft cluster; human review required.</x:v>
      </x:c>
    </x:row>
    <x:row r="45">
      <x:c r="A45" s="12" t="str">
        <x:v>NEED-0044</x:v>
      </x:c>
      <x:c r="B45" s="12" t="str">
        <x:v>Earthdata users need chen and staff member X. Xing presented on SEDAC’s support for the Intergovernmental Panel on Climate Change (IPCC) Data Distribution Center (DDC). Questions about the IPCC DDC addressed funding for handling the data. The IPCC has very limited funding for this, and there is much in-kind work. The IPCC does give credit to NASA for SEDAC’s IPCC work. The potential to obtain additional funding from the US government is low, but this was deemed a very relevant topic that may warrant a focused meeting to strategize.</x:v>
      </x:c>
      <x:c r="C45" s="12" t="str">
        <x:v>R. Chen and staff member X. Xing presented on SEDAC’s support for the Intergovernmental Panel on Climate Change (IPCC) Data Distribution Center (DDC). Questions about the IPCC DDC </x:v>
      </x:c>
      <x:c r="D45" s="12" t="str">
        <x:v>Data Access &amp; Distribution</x:v>
      </x:c>
      <x:c r="E45" s="12" t="str"/>
      <x:c r="F45" s="12" t="str">
        <x:v>Candidate</x:v>
      </x:c>
      <x:c r="G45" s="12" t="str">
        <x:v>Unassigned</x:v>
      </x:c>
      <x:c r="H45" s="14" t="n">
        <x:f>MINIFS(Evidence!$H$2:$H$1026,Evidence!$B$2:$B$1026,A45)</x:f>
        <x:v>2022</x:v>
      </x:c>
      <x:c r="I45" s="14" t="n">
        <x:f>MAXIFS(Evidence!$H$2:$H$1026,Evidence!$B$2:$B$1026,A45)</x:f>
        <x:v>2022</x:v>
      </x:c>
      <x:c r="J45" s="12" t="n">
        <x:f>COUNTIF(Evidence!$B$2:$B$1026,A45)</x:f>
        <x:v>1</x:v>
      </x:c>
      <x:c r="K45" s="12" t="n">
        <x:v>1</x:v>
      </x:c>
      <x:c r="L45" s="12" t="n">
        <x:v>1</x:v>
      </x:c>
      <x:c r="M45" s="12" t="n">
        <x:v>1</x:v>
      </x:c>
      <x:c r="N45" s="12" t="n">
        <x:v>2</x:v>
      </x:c>
      <x:c r="O45" s="12" t="str">
        <x:v>Single-year signal</x:v>
      </x:c>
      <x:c r="P45" s="12" t="n">
        <x:f>ROUND(MIN(100,(J45*1.5)+(K45*8)+(L45*4)+(M45*3)+((I45-H45+1)*3)),0)</x:f>
        <x:v>20</x:v>
      </x:c>
      <x:c r="Q45" s="12" t="str">
        <x:v>No</x:v>
      </x:c>
      <x:c r="R45" s="12" t="str"/>
      <x:c r="S45" s="12" t="str"/>
      <x:c r="T45" s="12" t="str"/>
      <x:c r="U45" s="12" t="str">
        <x:v>AI-assisted draft cluster; human review required.</x:v>
      </x:c>
    </x:row>
    <x:row r="46">
      <x:c r="A46" s="12" t="str">
        <x:v>NEED-0045</x:v>
      </x:c>
      <x:c r="B46" s="12" t="str">
        <x:v>Earthdata users need will communicate to ESDIS that EDS bulk download scripts should include comments in case users don’t use the programming language provided and allow them to use a programming language they prefer to use.</x:v>
      </x:c>
      <x:c r="C46" s="12" t="str">
        <x:v>ASDC will communicate to ESDIS that EDS bulk download scripts should include comments in case users don’t use the programming language provided and allow them to use a programming </x:v>
      </x:c>
      <x:c r="D46" s="12" t="str">
        <x:v>Data Access &amp; Distribution</x:v>
      </x:c>
      <x:c r="E46" s="12" t="str"/>
      <x:c r="F46" s="12" t="str">
        <x:v>Candidate</x:v>
      </x:c>
      <x:c r="G46" s="12" t="str">
        <x:v>Unassigned</x:v>
      </x:c>
      <x:c r="H46" s="14" t="n">
        <x:f>MINIFS(Evidence!$H$2:$H$1026,Evidence!$B$2:$B$1026,A46)</x:f>
        <x:v>2021</x:v>
      </x:c>
      <x:c r="I46" s="14" t="n">
        <x:f>MAXIFS(Evidence!$H$2:$H$1026,Evidence!$B$2:$B$1026,A46)</x:f>
        <x:v>2023</x:v>
      </x:c>
      <x:c r="J46" s="12" t="n">
        <x:f>COUNTIF(Evidence!$B$2:$B$1026,A46)</x:f>
        <x:v>2</x:v>
      </x:c>
      <x:c r="K46" s="12" t="n">
        <x:v>2</x:v>
      </x:c>
      <x:c r="L46" s="12" t="n">
        <x:v>1</x:v>
      </x:c>
      <x:c r="M46" s="12" t="n">
        <x:v>1</x:v>
      </x:c>
      <x:c r="N46" s="12" t="n">
        <x:v>1</x:v>
      </x:c>
      <x:c r="O46" s="12" t="str">
        <x:v>Recurring</x:v>
      </x:c>
      <x:c r="P46" s="12" t="n">
        <x:f>ROUND(MIN(100,(J46*1.5)+(K46*8)+(L46*4)+(M46*3)+((I46-H46+1)*3)),0)</x:f>
        <x:v>35</x:v>
      </x:c>
      <x:c r="Q46" s="12" t="str">
        <x:v>No</x:v>
      </x:c>
      <x:c r="R46" s="12" t="str"/>
      <x:c r="S46" s="12" t="str"/>
      <x:c r="T46" s="12" t="str"/>
      <x:c r="U46" s="12" t="str">
        <x:v>AI-assisted draft cluster; human review required.</x:v>
      </x:c>
    </x:row>
    <x:row r="47">
      <x:c r="A47" s="12" t="str">
        <x:v>NEED-0046</x:v>
      </x:c>
      <x:c r="B47" s="12" t="str">
        <x:v>Earthdata users need concerns: Users find it difficult to access some documents, such as the satellite product validation for particular regions.</x:v>
      </x:c>
      <x:c r="C47" s="12" t="str">
        <x:v>Concerns: Users find it difficult to access some documents, such as the satellite product validation for particular regions.</x:v>
      </x:c>
      <x:c r="D47" s="12" t="str">
        <x:v>Data Access &amp; Distribution</x:v>
      </x:c>
      <x:c r="E47" s="12" t="str"/>
      <x:c r="F47" s="12" t="str">
        <x:v>Candidate</x:v>
      </x:c>
      <x:c r="G47" s="12" t="str">
        <x:v>Unassigned</x:v>
      </x:c>
      <x:c r="H47" s="14" t="n">
        <x:f>MINIFS(Evidence!$H$2:$H$1026,Evidence!$B$2:$B$1026,A47)</x:f>
        <x:v>2023</x:v>
      </x:c>
      <x:c r="I47" s="14" t="n">
        <x:f>MAXIFS(Evidence!$H$2:$H$1026,Evidence!$B$2:$B$1026,A47)</x:f>
        <x:v>2023</x:v>
      </x:c>
      <x:c r="J47" s="12" t="n">
        <x:f>COUNTIF(Evidence!$B$2:$B$1026,A47)</x:f>
        <x:v>1</x:v>
      </x:c>
      <x:c r="K47" s="12" t="n">
        <x:v>1</x:v>
      </x:c>
      <x:c r="L47" s="12" t="n">
        <x:v>1</x:v>
      </x:c>
      <x:c r="M47" s="12" t="n">
        <x:v>1</x:v>
      </x:c>
      <x:c r="N47" s="12" t="n">
        <x:v>1</x:v>
      </x:c>
      <x:c r="O47" s="12" t="str">
        <x:v>Single-year signal</x:v>
      </x:c>
      <x:c r="P47" s="12" t="n">
        <x:f>ROUND(MIN(100,(J47*1.5)+(K47*8)+(L47*4)+(M47*3)+((I47-H47+1)*3)),0)</x:f>
        <x:v>20</x:v>
      </x:c>
      <x:c r="Q47" s="12" t="str">
        <x:v>No</x:v>
      </x:c>
      <x:c r="R47" s="12" t="str"/>
      <x:c r="S47" s="12" t="str"/>
      <x:c r="T47" s="12" t="str"/>
      <x:c r="U47" s="12" t="str">
        <x:v>AI-assisted draft cluster; human review required.</x:v>
      </x:c>
    </x:row>
    <x:row r="48">
      <x:c r="A48" s="12" t="str">
        <x:v>NEED-0047</x:v>
      </x:c>
      <x:c r="B48" s="12" t="str">
        <x:v>Earthdata users need lP DAAC UWG recommends that the LP DAAC continues to work on resources that promote and demonstrate the use of ECOSTRESS and EMIT synergistic research and applications to help prepare users for SBG.</x:v>
      </x:c>
      <x:c r="C48" s="12" t="str">
        <x:v>The LP DAAC UWG recommends that the LP DAAC continues to work on resources that promote and demonstrate the use of ECOSTRESS and EMIT synergistic research and applications to help </x:v>
      </x:c>
      <x:c r="D48" s="12" t="str">
        <x:v>Data Discovery &amp; Search</x:v>
      </x:c>
      <x:c r="E48" s="12" t="str"/>
      <x:c r="F48" s="12" t="str">
        <x:v>Candidate</x:v>
      </x:c>
      <x:c r="G48" s="12" t="str">
        <x:v>Unassigned</x:v>
      </x:c>
      <x:c r="H48" s="14" t="n">
        <x:f>MINIFS(Evidence!$H$2:$H$1026,Evidence!$B$2:$B$1026,A48)</x:f>
        <x:v>2021</x:v>
      </x:c>
      <x:c r="I48" s="14" t="n">
        <x:f>MAXIFS(Evidence!$H$2:$H$1026,Evidence!$B$2:$B$1026,A48)</x:f>
        <x:v>2023</x:v>
      </x:c>
      <x:c r="J48" s="12" t="n">
        <x:f>COUNTIF(Evidence!$B$2:$B$1026,A48)</x:f>
        <x:v>6</x:v>
      </x:c>
      <x:c r="K48" s="12" t="n">
        <x:v>3</x:v>
      </x:c>
      <x:c r="L48" s="12" t="n">
        <x:v>3</x:v>
      </x:c>
      <x:c r="M48" s="12" t="n">
        <x:v>4</x:v>
      </x:c>
      <x:c r="N48" s="12" t="n">
        <x:v>6</x:v>
      </x:c>
      <x:c r="O48" s="12" t="str">
        <x:v>Recurring</x:v>
      </x:c>
      <x:c r="P48" s="12" t="n">
        <x:f>ROUND(MIN(100,(J48*1.5)+(K48*8)+(L48*4)+(M48*3)+((I48-H48+1)*3)),0)</x:f>
        <x:v>66</x:v>
      </x:c>
      <x:c r="Q48" s="12" t="str">
        <x:v>No</x:v>
      </x:c>
      <x:c r="R48" s="12" t="str"/>
      <x:c r="S48" s="12" t="str"/>
      <x:c r="T48" s="12" t="str"/>
      <x:c r="U48" s="12" t="str">
        <x:v>AI-assisted draft cluster; human review required.</x:v>
      </x:c>
    </x:row>
    <x:row r="49">
      <x:c r="A49" s="12" t="str">
        <x:v>NEED-0048</x:v>
      </x:c>
      <x:c r="B49" s="12" t="str">
        <x:v>Earthdata users need recommendations: Increase training opportunities. Provide tutorials, site guidance, and additional resources. Modify data products for low-internet access. Improve search and filter functions. Use common language. Make steps re-traceable. Enhance data availability in remote regions without reliable internet. Increase compatibility with GIS and other software. Increase interlinking resources with other NASA data and publicly accessed data.</x:v>
      </x:c>
      <x:c r="C49" s="12" t="str">
        <x:v>Unbound recommendations: Increase training opportunities. Provide tutorials, site guidance, and additional resources. Modify data products for low-internet access. Improve search a</x:v>
      </x:c>
      <x:c r="D49" s="12" t="str">
        <x:v>Data Discovery &amp; Search</x:v>
      </x:c>
      <x:c r="E49" s="12" t="str"/>
      <x:c r="F49" s="12" t="str">
        <x:v>Candidate</x:v>
      </x:c>
      <x:c r="G49" s="12" t="str">
        <x:v>Unassigned</x:v>
      </x:c>
      <x:c r="H49" s="14" t="n">
        <x:f>MINIFS(Evidence!$H$2:$H$1026,Evidence!$B$2:$B$1026,A49)</x:f>
        <x:v>2023</x:v>
      </x:c>
      <x:c r="I49" s="14" t="n">
        <x:f>MAXIFS(Evidence!$H$2:$H$1026,Evidence!$B$2:$B$1026,A49)</x:f>
        <x:v>2024</x:v>
      </x:c>
      <x:c r="J49" s="12" t="n">
        <x:f>COUNTIF(Evidence!$B$2:$B$1026,A49)</x:f>
        <x:v>3</x:v>
      </x:c>
      <x:c r="K49" s="12" t="n">
        <x:v>2</x:v>
      </x:c>
      <x:c r="L49" s="12" t="n">
        <x:v>2</x:v>
      </x:c>
      <x:c r="M49" s="12" t="n">
        <x:v>4</x:v>
      </x:c>
      <x:c r="N49" s="12" t="n">
        <x:v>4</x:v>
      </x:c>
      <x:c r="O49" s="12" t="str">
        <x:v>Recurring</x:v>
      </x:c>
      <x:c r="P49" s="12" t="n">
        <x:f>ROUND(MIN(100,(J49*1.5)+(K49*8)+(L49*4)+(M49*3)+((I49-H49+1)*3)),0)</x:f>
        <x:v>47</x:v>
      </x:c>
      <x:c r="Q49" s="12" t="str">
        <x:v>No</x:v>
      </x:c>
      <x:c r="R49" s="12" t="str"/>
      <x:c r="S49" s="12" t="str"/>
      <x:c r="T49" s="12" t="str"/>
      <x:c r="U49" s="12" t="str">
        <x:v>AI-assisted draft cluster; human review required.</x:v>
      </x:c>
    </x:row>
    <x:row r="50">
      <x:c r="A50" s="12" t="str">
        <x:v>NEED-0049</x:v>
      </x:c>
      <x:c r="B50" s="12" t="str">
        <x:v>Earthdata users need suggested including announcement about where and how to access data from Earthdata. The Earthdata browser uses the same search tool, and users can contact ESDIS for any problems they met, and ESDIS will work with us to solve the issues. OB.DAAC may need to work with “search and discovery tool” team to make our data more accessible to users. (May 8).</x:v>
      </x:c>
      <x:c r="C50" s="12" t="str">
        <x:v>UWG suggested including announcement about where and how to access data from Earthdata. The Earthdata browser uses the same search tool, and users can contact ESDIS for any problem</x:v>
      </x:c>
      <x:c r="D50" s="12" t="str">
        <x:v>Data Discovery &amp; Search</x:v>
      </x:c>
      <x:c r="E50" s="12" t="str"/>
      <x:c r="F50" s="12" t="str">
        <x:v>Candidate</x:v>
      </x:c>
      <x:c r="G50" s="12" t="str">
        <x:v>Unassigned</x:v>
      </x:c>
      <x:c r="H50" s="14" t="n">
        <x:f>MINIFS(Evidence!$H$2:$H$1026,Evidence!$B$2:$B$1026,A50)</x:f>
        <x:v>2021</x:v>
      </x:c>
      <x:c r="I50" s="14" t="n">
        <x:f>MAXIFS(Evidence!$H$2:$H$1026,Evidence!$B$2:$B$1026,A50)</x:f>
        <x:v>2024</x:v>
      </x:c>
      <x:c r="J50" s="12" t="n">
        <x:f>COUNTIF(Evidence!$B$2:$B$1026,A50)</x:f>
        <x:v>13</x:v>
      </x:c>
      <x:c r="K50" s="12" t="n">
        <x:v>4</x:v>
      </x:c>
      <x:c r="L50" s="12" t="n">
        <x:v>6</x:v>
      </x:c>
      <x:c r="M50" s="12" t="n">
        <x:v>4</x:v>
      </x:c>
      <x:c r="N50" s="12" t="n">
        <x:v>12</x:v>
      </x:c>
      <x:c r="O50" s="12" t="str">
        <x:v>Recurring</x:v>
      </x:c>
      <x:c r="P50" s="12" t="n">
        <x:f>ROUND(MIN(100,(J50*1.5)+(K50*8)+(L50*4)+(M50*3)+((I50-H50+1)*3)),0)</x:f>
        <x:v>100</x:v>
      </x:c>
      <x:c r="Q50" s="12" t="str">
        <x:v>No</x:v>
      </x:c>
      <x:c r="R50" s="12" t="str"/>
      <x:c r="S50" s="12" t="str"/>
      <x:c r="T50" s="12" t="str"/>
      <x:c r="U50" s="12" t="str">
        <x:v>AI-assisted draft cluster; human review required.</x:v>
      </x:c>
    </x:row>
    <x:row r="51">
      <x:c r="A51" s="12" t="str">
        <x:v>NEED-0050</x:v>
      </x:c>
      <x:c r="B51" s="12" t="str">
        <x:v>Earthdata users need order to fully comply with NASA’s SPD-41a Policy, the LP DAAC (and all of EOSDIS) needs to develop an Open-Source Science Data Management Plan that covers standard practices for archiving and distributing data, ancillary data, metadata, simulated data, software, workflows, algorithms, publications, and documentation.</x:v>
      </x:c>
      <x:c r="C51" s="12" t="str">
        <x:v>In order to fully comply with NASA’s SPD-41a Policy, the LP DAAC (and all of EOSDIS) needs to develop an Open-Source Science Data Management Plan that covers standard practices for</x:v>
      </x:c>
      <x:c r="D51" s="12" t="str">
        <x:v>Data Discovery &amp; Search</x:v>
      </x:c>
      <x:c r="E51" s="12" t="str"/>
      <x:c r="F51" s="12" t="str">
        <x:v>Candidate</x:v>
      </x:c>
      <x:c r="G51" s="12" t="str">
        <x:v>Unassigned</x:v>
      </x:c>
      <x:c r="H51" s="14" t="n">
        <x:f>MINIFS(Evidence!$H$2:$H$1026,Evidence!$B$2:$B$1026,A51)</x:f>
        <x:v>2021</x:v>
      </x:c>
      <x:c r="I51" s="14" t="n">
        <x:f>MAXIFS(Evidence!$H$2:$H$1026,Evidence!$B$2:$B$1026,A51)</x:f>
        <x:v>2023</x:v>
      </x:c>
      <x:c r="J51" s="12" t="n">
        <x:f>COUNTIF(Evidence!$B$2:$B$1026,A51)</x:f>
        <x:v>7</x:v>
      </x:c>
      <x:c r="K51" s="12" t="n">
        <x:v>3</x:v>
      </x:c>
      <x:c r="L51" s="12" t="n">
        <x:v>3</x:v>
      </x:c>
      <x:c r="M51" s="12" t="n">
        <x:v>7</x:v>
      </x:c>
      <x:c r="N51" s="12" t="n">
        <x:v>7</x:v>
      </x:c>
      <x:c r="O51" s="12" t="str">
        <x:v>Recurring</x:v>
      </x:c>
      <x:c r="P51" s="12" t="n">
        <x:f>ROUND(MIN(100,(J51*1.5)+(K51*8)+(L51*4)+(M51*3)+((I51-H51+1)*3)),0)</x:f>
        <x:v>77</x:v>
      </x:c>
      <x:c r="Q51" s="12" t="str">
        <x:v>No</x:v>
      </x:c>
      <x:c r="R51" s="12" t="str"/>
      <x:c r="S51" s="12" t="str"/>
      <x:c r="T51" s="12" t="str"/>
      <x:c r="U51" s="12" t="str">
        <x:v>AI-assisted draft cluster; human review required.</x:v>
      </x:c>
    </x:row>
    <x:row r="52">
      <x:c r="A52" s="12" t="str">
        <x:v>NEED-0051</x:v>
      </x:c>
      <x:c r="B52" s="12" t="str">
        <x:v>Earthdata users need has been under development for several years and the intention has been to expand the number of datasets available on SOOT significantly. So far, SOOT has data from 14 missions, but many others could be added. The addition of these missions needs to be a high priority, especially those missions with data already in ICARTT format, which means the SOOT data merge tool can be easily applied. There are many aircraft missions from the 1980s, 1990s and early 2000s (e.g. PEM-Tropics, PEM-West, TRACE-P) with data that are not in ICARTT format and therefore the SOOT data merge tool cannot be applied. Regardless, these data need to be available through SOOT so that a user can explore all NASA aircraft missions from a single webpage, rather than having to search across several webpages. Eventually these historical data need to be reformatted so that the SOOT tools can be applied. Most of the PIs on the historical missions have retired, and in some instances, have passed away. We are losing valuable knowledge of these historical datasets and they need to be archived on SOOT with all available metadata as quickly as possible, so that any outstanding questions regarding the datasets can be directed towards the remaining PIs. Gao Chen has a lot of knowledge of these datasets and he needs to be involved with the transfer of the data to SOOT and with the documentation of the datasets. Qing requested, and the UWG agrees, that the original mission merge files be clearly available through SOOT, in addition to the custom merge files that can be generated by SOOT. We also recommend that the aircraft flight tracks from all missions should be plotted on Worldview, so that the user can quickly understand the general atmospheric conditions associated with each flight. During future UWG meetings, we recommend that ASDC provides a status on which missions are complete in Earthdata and SOOT, with estimated completion times for non-yet-complete missions.</x:v>
      </x:c>
      <x:c r="C52" s="12" t="str">
        <x:v>SOOT has been under development for several years and the intention has been to expand the number of datasets available on SOOT significantly. So far, SOOT has data from 14 mission</x:v>
      </x:c>
      <x:c r="D52" s="12" t="str">
        <x:v>Data Discovery &amp; Search</x:v>
      </x:c>
      <x:c r="E52" s="12" t="str"/>
      <x:c r="F52" s="12" t="str">
        <x:v>Candidate</x:v>
      </x:c>
      <x:c r="G52" s="12" t="str">
        <x:v>Unassigned</x:v>
      </x:c>
      <x:c r="H52" s="14" t="n">
        <x:f>MINIFS(Evidence!$H$2:$H$1026,Evidence!$B$2:$B$1026,A52)</x:f>
        <x:v>2021</x:v>
      </x:c>
      <x:c r="I52" s="14" t="n">
        <x:f>MAXIFS(Evidence!$H$2:$H$1026,Evidence!$B$2:$B$1026,A52)</x:f>
        <x:v>2023</x:v>
      </x:c>
      <x:c r="J52" s="12" t="n">
        <x:f>COUNTIF(Evidence!$B$2:$B$1026,A52)</x:f>
        <x:v>4</x:v>
      </x:c>
      <x:c r="K52" s="12" t="n">
        <x:v>2</x:v>
      </x:c>
      <x:c r="L52" s="12" t="n">
        <x:v>2</x:v>
      </x:c>
      <x:c r="M52" s="12" t="n">
        <x:v>4</x:v>
      </x:c>
      <x:c r="N52" s="12" t="n">
        <x:v>6</x:v>
      </x:c>
      <x:c r="O52" s="12" t="str">
        <x:v>Recurring</x:v>
      </x:c>
      <x:c r="P52" s="12" t="n">
        <x:f>ROUND(MIN(100,(J52*1.5)+(K52*8)+(L52*4)+(M52*3)+((I52-H52+1)*3)),0)</x:f>
        <x:v>51</x:v>
      </x:c>
      <x:c r="Q52" s="12" t="str">
        <x:v>No</x:v>
      </x:c>
      <x:c r="R52" s="12" t="str"/>
      <x:c r="S52" s="12" t="str"/>
      <x:c r="T52" s="12" t="str"/>
      <x:c r="U52" s="12" t="str">
        <x:v>AI-assisted draft cluster; human review required.</x:v>
      </x:c>
    </x:row>
    <x:row r="53">
      <x:c r="A53" s="12" t="str">
        <x:v>NEED-0052</x:v>
      </x:c>
      <x:c r="B53" s="12" t="str">
        <x:v>Earthdata users need should talk to data providers to let them know what metadata should be added to their product so that interoperability tools will work.</x:v>
      </x:c>
      <x:c r="C53" s="12" t="str">
        <x:v>ASDC should talk to data providers to let them know what metadata should be added to their product so that interoperability tools will work.</x:v>
      </x:c>
      <x:c r="D53" s="12" t="str">
        <x:v>Data Discovery &amp; Search</x:v>
      </x:c>
      <x:c r="E53" s="12" t="str"/>
      <x:c r="F53" s="12" t="str">
        <x:v>Candidate</x:v>
      </x:c>
      <x:c r="G53" s="12" t="str">
        <x:v>Unassigned</x:v>
      </x:c>
      <x:c r="H53" s="14" t="n">
        <x:f>MINIFS(Evidence!$H$2:$H$1026,Evidence!$B$2:$B$1026,A53)</x:f>
        <x:v>2021</x:v>
      </x:c>
      <x:c r="I53" s="14" t="n">
        <x:f>MAXIFS(Evidence!$H$2:$H$1026,Evidence!$B$2:$B$1026,A53)</x:f>
        <x:v>2024</x:v>
      </x:c>
      <x:c r="J53" s="12" t="n">
        <x:f>COUNTIF(Evidence!$B$2:$B$1026,A53)</x:f>
        <x:v>7</x:v>
      </x:c>
      <x:c r="K53" s="12" t="n">
        <x:v>4</x:v>
      </x:c>
      <x:c r="L53" s="12" t="n">
        <x:v>3</x:v>
      </x:c>
      <x:c r="M53" s="12" t="n">
        <x:v>2</x:v>
      </x:c>
      <x:c r="N53" s="12" t="n">
        <x:v>5</x:v>
      </x:c>
      <x:c r="O53" s="12" t="str">
        <x:v>Recurring</x:v>
      </x:c>
      <x:c r="P53" s="12" t="n">
        <x:f>ROUND(MIN(100,(J53*1.5)+(K53*8)+(L53*4)+(M53*3)+((I53-H53+1)*3)),0)</x:f>
        <x:v>73</x:v>
      </x:c>
      <x:c r="Q53" s="12" t="str">
        <x:v>No</x:v>
      </x:c>
      <x:c r="R53" s="12" t="str"/>
      <x:c r="S53" s="12" t="str"/>
      <x:c r="T53" s="12" t="str"/>
      <x:c r="U53" s="12" t="str">
        <x:v>AI-assisted draft cluster; human review required.</x:v>
      </x:c>
    </x:row>
    <x:row r="54">
      <x:c r="A54" s="12" t="str">
        <x:v>NEED-0053</x:v>
      </x:c>
      <x:c r="B54" s="12" t="str">
        <x:v>Earthdata users need collaborating with ESDIS at the enterprise-level on data search/enhancement using AI/ML approach and data set publication/citation.</x:v>
      </x:c>
      <x:c r="C54" s="12" t="str">
        <x:v>Continue collaborating with ESDIS at the enterprise-level on data search/enhancement using AI/ML approach and data set publication/citation.</x:v>
      </x:c>
      <x:c r="D54" s="12" t="str">
        <x:v>Data Discovery &amp; Search</x:v>
      </x:c>
      <x:c r="E54" s="12" t="str"/>
      <x:c r="F54" s="12" t="str">
        <x:v>Candidate</x:v>
      </x:c>
      <x:c r="G54" s="12" t="str">
        <x:v>Unassigned</x:v>
      </x:c>
      <x:c r="H54" s="14" t="n">
        <x:f>MINIFS(Evidence!$H$2:$H$1026,Evidence!$B$2:$B$1026,A54)</x:f>
        <x:v>2021</x:v>
      </x:c>
      <x:c r="I54" s="14" t="n">
        <x:f>MAXIFS(Evidence!$H$2:$H$1026,Evidence!$B$2:$B$1026,A54)</x:f>
        <x:v>2023</x:v>
      </x:c>
      <x:c r="J54" s="12" t="n">
        <x:f>COUNTIF(Evidence!$B$2:$B$1026,A54)</x:f>
        <x:v>2</x:v>
      </x:c>
      <x:c r="K54" s="12" t="n">
        <x:v>2</x:v>
      </x:c>
      <x:c r="L54" s="12" t="n">
        <x:v>2</x:v>
      </x:c>
      <x:c r="M54" s="12" t="n">
        <x:v>3</x:v>
      </x:c>
      <x:c r="N54" s="12" t="n">
        <x:v>3</x:v>
      </x:c>
      <x:c r="O54" s="12" t="str">
        <x:v>Recurring</x:v>
      </x:c>
      <x:c r="P54" s="12" t="n">
        <x:f>ROUND(MIN(100,(J54*1.5)+(K54*8)+(L54*4)+(M54*3)+((I54-H54+1)*3)),0)</x:f>
        <x:v>45</x:v>
      </x:c>
      <x:c r="Q54" s="12" t="str">
        <x:v>No</x:v>
      </x:c>
      <x:c r="R54" s="12" t="str"/>
      <x:c r="S54" s="12" t="str"/>
      <x:c r="T54" s="12" t="str"/>
      <x:c r="U54" s="12" t="str">
        <x:v>AI-assisted draft cluster; human review required.</x:v>
      </x:c>
    </x:row>
    <x:row r="55">
      <x:c r="A55" s="12" t="str">
        <x:v>NEED-0054</x:v>
      </x:c>
      <x:c r="B55" s="12" t="str">
        <x:v>Earthdata users need the earthaccess Python library coming to CDDIS? It is keyed towards the CMR API and would be valuable to users.</x:v>
      </x:c>
      <x:c r="C55" s="12" t="str">
        <x:v>Is the earthaccess Python library coming to CDDIS? It is keyed towards the CMR API and would be valuable to users.</x:v>
      </x:c>
      <x:c r="D55" s="12" t="str">
        <x:v>Data Discovery &amp; Search</x:v>
      </x:c>
      <x:c r="E55" s="12" t="str"/>
      <x:c r="F55" s="12" t="str">
        <x:v>Candidate</x:v>
      </x:c>
      <x:c r="G55" s="12" t="str">
        <x:v>Unassigned</x:v>
      </x:c>
      <x:c r="H55" s="14" t="n">
        <x:f>MINIFS(Evidence!$H$2:$H$1026,Evidence!$B$2:$B$1026,A55)</x:f>
        <x:v>2022</x:v>
      </x:c>
      <x:c r="I55" s="14" t="n">
        <x:f>MAXIFS(Evidence!$H$2:$H$1026,Evidence!$B$2:$B$1026,A55)</x:f>
        <x:v>2024</x:v>
      </x:c>
      <x:c r="J55" s="12" t="n">
        <x:f>COUNTIF(Evidence!$B$2:$B$1026,A55)</x:f>
        <x:v>2</x:v>
      </x:c>
      <x:c r="K55" s="12" t="n">
        <x:v>2</x:v>
      </x:c>
      <x:c r="L55" s="12" t="n">
        <x:v>2</x:v>
      </x:c>
      <x:c r="M55" s="12" t="n">
        <x:v>2</x:v>
      </x:c>
      <x:c r="N55" s="12" t="n">
        <x:v>4</x:v>
      </x:c>
      <x:c r="O55" s="12" t="str">
        <x:v>Recurring</x:v>
      </x:c>
      <x:c r="P55" s="12" t="n">
        <x:f>ROUND(MIN(100,(J55*1.5)+(K55*8)+(L55*4)+(M55*3)+((I55-H55+1)*3)),0)</x:f>
        <x:v>42</x:v>
      </x:c>
      <x:c r="Q55" s="12" t="str">
        <x:v>No</x:v>
      </x:c>
      <x:c r="R55" s="12" t="str"/>
      <x:c r="S55" s="12" t="str"/>
      <x:c r="T55" s="12" t="str"/>
      <x:c r="U55" s="12" t="str">
        <x:v>AI-assisted draft cluster; human review required.</x:v>
      </x:c>
    </x:row>
    <x:row r="56">
      <x:c r="A56" s="12" t="str">
        <x:v>NEED-0055</x:v>
      </x:c>
      <x:c r="B56" s="12" t="str">
        <x:v>Earthdata users need nASA moves towards the concept of changing the role of DAACs to become “Science Enabling Centers,” UWG recommends that PO.DAAC retains sufficient autonomy to continue to develop and provide services tailored to support its core discipline focused user communities. Examples include nuanced data discovery, access, and visualization services that may provide significant utility to oceanography and hydrology focused research. (2022.5.6).</x:v>
      </x:c>
      <x:c r="C56" s="12" t="str">
        <x:v>As NASA moves towards the concept of changing the role of DAACs to become “Science Enabling Centers,” UWG recommends that PO.DAAC retains sufficient autonomy to continue to develop</x:v>
      </x:c>
      <x:c r="D56" s="12" t="str">
        <x:v>Data Discovery &amp; Search</x:v>
      </x:c>
      <x:c r="E56" s="12" t="str"/>
      <x:c r="F56" s="12" t="str">
        <x:v>Candidate</x:v>
      </x:c>
      <x:c r="G56" s="12" t="str">
        <x:v>Unassigned</x:v>
      </x:c>
      <x:c r="H56" s="14" t="n">
        <x:f>MINIFS(Evidence!$H$2:$H$1026,Evidence!$B$2:$B$1026,A56)</x:f>
        <x:v>2022</x:v>
      </x:c>
      <x:c r="I56" s="14" t="n">
        <x:f>MAXIFS(Evidence!$H$2:$H$1026,Evidence!$B$2:$B$1026,A56)</x:f>
        <x:v>2024</x:v>
      </x:c>
      <x:c r="J56" s="12" t="n">
        <x:f>COUNTIF(Evidence!$B$2:$B$1026,A56)</x:f>
        <x:v>5</x:v>
      </x:c>
      <x:c r="K56" s="12" t="n">
        <x:v>3</x:v>
      </x:c>
      <x:c r="L56" s="12" t="n">
        <x:v>4</x:v>
      </x:c>
      <x:c r="M56" s="12" t="n">
        <x:v>2</x:v>
      </x:c>
      <x:c r="N56" s="12" t="n">
        <x:v>4</x:v>
      </x:c>
      <x:c r="O56" s="12" t="str">
        <x:v>Recurring</x:v>
      </x:c>
      <x:c r="P56" s="12" t="n">
        <x:f>ROUND(MIN(100,(J56*1.5)+(K56*8)+(L56*4)+(M56*3)+((I56-H56+1)*3)),0)</x:f>
        <x:v>63</x:v>
      </x:c>
      <x:c r="Q56" s="12" t="str">
        <x:v>No</x:v>
      </x:c>
      <x:c r="R56" s="12" t="str"/>
      <x:c r="S56" s="12" t="str"/>
      <x:c r="T56" s="12" t="str"/>
      <x:c r="U56" s="12" t="str">
        <x:v>AI-assisted draft cluster; human review required.</x:v>
      </x:c>
    </x:row>
    <x:row r="57">
      <x:c r="A57" s="12" t="str">
        <x:v>NEED-0056</x:v>
      </x:c>
      <x:c r="B57" s="12" t="str">
        <x:v>Earthdata users need stewardship is “All activities that ensure and improve the information content and preservability, accessibility, usability, sustainability, quality, reproducibility, and integrity of data and metadata (Peng et al., 2015)” and includes the activities of many people – all DAAC staff and data producers.</x:v>
      </x:c>
      <x:c r="C57" s="12" t="str">
        <x:v>Data stewardship is “All activities that ensure and improve the information content and preservability, accessibility, usability, sustainability, quality, reproducibility, and inte</x:v>
      </x:c>
      <x:c r="D57" s="12" t="str">
        <x:v>Data Discovery &amp; Search</x:v>
      </x:c>
      <x:c r="E57" s="12" t="str"/>
      <x:c r="F57" s="12" t="str">
        <x:v>Candidate</x:v>
      </x:c>
      <x:c r="G57" s="12" t="str">
        <x:v>Unassigned</x:v>
      </x:c>
      <x:c r="H57" s="14" t="n">
        <x:f>MINIFS(Evidence!$H$2:$H$1026,Evidence!$B$2:$B$1026,A57)</x:f>
        <x:v>2021</x:v>
      </x:c>
      <x:c r="I57" s="14" t="n">
        <x:f>MAXIFS(Evidence!$H$2:$H$1026,Evidence!$B$2:$B$1026,A57)</x:f>
        <x:v>2022</x:v>
      </x:c>
      <x:c r="J57" s="12" t="n">
        <x:f>COUNTIF(Evidence!$B$2:$B$1026,A57)</x:f>
        <x:v>4</x:v>
      </x:c>
      <x:c r="K57" s="12" t="n">
        <x:v>2</x:v>
      </x:c>
      <x:c r="L57" s="12" t="n">
        <x:v>1</x:v>
      </x:c>
      <x:c r="M57" s="12" t="n">
        <x:v>3</x:v>
      </x:c>
      <x:c r="N57" s="12" t="n">
        <x:v>6</x:v>
      </x:c>
      <x:c r="O57" s="12" t="str">
        <x:v>Recurring</x:v>
      </x:c>
      <x:c r="P57" s="12" t="n">
        <x:f>ROUND(MIN(100,(J57*1.5)+(K57*8)+(L57*4)+(M57*3)+((I57-H57+1)*3)),0)</x:f>
        <x:v>41</x:v>
      </x:c>
      <x:c r="Q57" s="12" t="str">
        <x:v>No</x:v>
      </x:c>
      <x:c r="R57" s="12" t="str"/>
      <x:c r="S57" s="12" t="str"/>
      <x:c r="T57" s="12" t="str"/>
      <x:c r="U57" s="12" t="str">
        <x:v>AI-assisted draft cluster; human review required.</x:v>
      </x:c>
    </x:row>
    <x:row r="58">
      <x:c r="A58" s="12" t="str">
        <x:v>NEED-0057</x:v>
      </x:c>
      <x:c r="B58" s="12" t="str">
        <x:v>Earthdata users need additional information from the dataset landing page is still a challenge. For example, it's hard to navigate from the product landing page to the user resources in GitHub.</x:v>
      </x:c>
      <x:c r="C58" s="12" t="str">
        <x:v>Discovering additional information from the dataset landing page is still a challenge. For example, it's hard to navigate from the product landing page to the user resources in Git</x:v>
      </x:c>
      <x:c r="D58" s="12" t="str">
        <x:v>Data Discovery &amp; Search</x:v>
      </x:c>
      <x:c r="E58" s="12" t="str"/>
      <x:c r="F58" s="12" t="str">
        <x:v>Candidate</x:v>
      </x:c>
      <x:c r="G58" s="12" t="str">
        <x:v>Unassigned</x:v>
      </x:c>
      <x:c r="H58" s="14" t="n">
        <x:f>MINIFS(Evidence!$H$2:$H$1026,Evidence!$B$2:$B$1026,A58)</x:f>
        <x:v>2021</x:v>
      </x:c>
      <x:c r="I58" s="14" t="n">
        <x:f>MAXIFS(Evidence!$H$2:$H$1026,Evidence!$B$2:$B$1026,A58)</x:f>
        <x:v>2023</x:v>
      </x:c>
      <x:c r="J58" s="12" t="n">
        <x:f>COUNTIF(Evidence!$B$2:$B$1026,A58)</x:f>
        <x:v>3</x:v>
      </x:c>
      <x:c r="K58" s="12" t="n">
        <x:v>2</x:v>
      </x:c>
      <x:c r="L58" s="12" t="n">
        <x:v>2</x:v>
      </x:c>
      <x:c r="M58" s="12" t="n">
        <x:v>2</x:v>
      </x:c>
      <x:c r="N58" s="12" t="n">
        <x:v>5</x:v>
      </x:c>
      <x:c r="O58" s="12" t="str">
        <x:v>Recurring</x:v>
      </x:c>
      <x:c r="P58" s="12" t="n">
        <x:f>ROUND(MIN(100,(J58*1.5)+(K58*8)+(L58*4)+(M58*3)+((I58-H58+1)*3)),0)</x:f>
        <x:v>44</x:v>
      </x:c>
      <x:c r="Q58" s="12" t="str">
        <x:v>No</x:v>
      </x:c>
      <x:c r="R58" s="12" t="str"/>
      <x:c r="S58" s="12" t="str"/>
      <x:c r="T58" s="12" t="str"/>
      <x:c r="U58" s="12" t="str">
        <x:v>AI-assisted draft cluster; human review required.</x:v>
      </x:c>
    </x:row>
    <x:row r="59">
      <x:c r="A59" s="12" t="str">
        <x:v>NEED-0058</x:v>
      </x:c>
      <x:c r="B59" s="12" t="str">
        <x:v>Earthdata users need mode / ocean searches / wind speed? Do not display the browse images in color in Vertex. Reach out to Ralph to get a better understanding of how ASF can improve our services for that community.</x:v>
      </x:c>
      <x:c r="C59" s="12" t="str">
        <x:v>Wave mode / ocean searches / wind speed? Do not display the browse images in color in Vertex. Reach out to Ralph to get a better understanding of how ASF can improve our services f</x:v>
      </x:c>
      <x:c r="D59" s="12" t="str">
        <x:v>Data Discovery &amp; Search</x:v>
      </x:c>
      <x:c r="E59" s="12" t="str"/>
      <x:c r="F59" s="12" t="str">
        <x:v>Candidate</x:v>
      </x:c>
      <x:c r="G59" s="12" t="str">
        <x:v>Unassigned</x:v>
      </x:c>
      <x:c r="H59" s="14" t="n">
        <x:f>MINIFS(Evidence!$H$2:$H$1026,Evidence!$B$2:$B$1026,A59)</x:f>
        <x:v>2022</x:v>
      </x:c>
      <x:c r="I59" s="14" t="n">
        <x:f>MAXIFS(Evidence!$H$2:$H$1026,Evidence!$B$2:$B$1026,A59)</x:f>
        <x:v>2023</x:v>
      </x:c>
      <x:c r="J59" s="12" t="n">
        <x:f>COUNTIF(Evidence!$B$2:$B$1026,A59)</x:f>
        <x:v>3</x:v>
      </x:c>
      <x:c r="K59" s="12" t="n">
        <x:v>2</x:v>
      </x:c>
      <x:c r="L59" s="12" t="n">
        <x:v>1</x:v>
      </x:c>
      <x:c r="M59" s="12" t="n">
        <x:v>1</x:v>
      </x:c>
      <x:c r="N59" s="12" t="n">
        <x:v>4</x:v>
      </x:c>
      <x:c r="O59" s="12" t="str">
        <x:v>Recurring</x:v>
      </x:c>
      <x:c r="P59" s="12" t="n">
        <x:f>ROUND(MIN(100,(J59*1.5)+(K59*8)+(L59*4)+(M59*3)+((I59-H59+1)*3)),0)</x:f>
        <x:v>34</x:v>
      </x:c>
      <x:c r="Q59" s="12" t="str">
        <x:v>No</x:v>
      </x:c>
      <x:c r="R59" s="12" t="str"/>
      <x:c r="S59" s="12" t="str"/>
      <x:c r="T59" s="12" t="str"/>
      <x:c r="U59" s="12" t="str">
        <x:v>AI-assisted draft cluster; human review required.</x:v>
      </x:c>
    </x:row>
    <x:row r="60">
      <x:c r="A60" s="12" t="str">
        <x:v>NEED-0059</x:v>
      </x:c>
      <x:c r="B60" s="12" t="str">
        <x:v>Earthdata users need substantial portion of the meeting was dedicated to the EJ initiative, with discussion led by ESD Director Karen St. Germain with participation by Kevin Murphy and other NASA staff. UWG members were invited to provide their perspectives on a set of questions, including: What additional things should the SEDAC be doing to enable EJ research, decisions, and actions? How can SEDAC make the data more useful, especially for applied users? How could SEDAC best contribute to NASA and the U.S. Government’s efforts to advance equity?.</x:v>
      </x:c>
      <x:c r="C60" s="12" t="str">
        <x:v>A substantial portion of the meeting was dedicated to the EJ initiative, with discussion led by ESD Director Karen St. Germain with participation by Kevin Murphy and other NASA sta</x:v>
      </x:c>
      <x:c r="D60" s="12" t="str">
        <x:v>Data Discovery &amp; Search</x:v>
      </x:c>
      <x:c r="E60" s="12" t="str"/>
      <x:c r="F60" s="12" t="str">
        <x:v>Candidate</x:v>
      </x:c>
      <x:c r="G60" s="12" t="str">
        <x:v>Unassigned</x:v>
      </x:c>
      <x:c r="H60" s="14" t="n">
        <x:f>MINIFS(Evidence!$H$2:$H$1026,Evidence!$B$2:$B$1026,A60)</x:f>
        <x:v>2021</x:v>
      </x:c>
      <x:c r="I60" s="14" t="n">
        <x:f>MAXIFS(Evidence!$H$2:$H$1026,Evidence!$B$2:$B$1026,A60)</x:f>
        <x:v>2021</x:v>
      </x:c>
      <x:c r="J60" s="12" t="n">
        <x:f>COUNTIF(Evidence!$B$2:$B$1026,A60)</x:f>
        <x:v>3</x:v>
      </x:c>
      <x:c r="K60" s="12" t="n">
        <x:v>1</x:v>
      </x:c>
      <x:c r="L60" s="12" t="n">
        <x:v>1</x:v>
      </x:c>
      <x:c r="M60" s="12" t="n">
        <x:v>4</x:v>
      </x:c>
      <x:c r="N60" s="12" t="n">
        <x:v>5</x:v>
      </x:c>
      <x:c r="O60" s="12" t="str">
        <x:v>Single-year signal</x:v>
      </x:c>
      <x:c r="P60" s="12" t="n">
        <x:f>ROUND(MIN(100,(J60*1.5)+(K60*8)+(L60*4)+(M60*3)+((I60-H60+1)*3)),0)</x:f>
        <x:v>32</x:v>
      </x:c>
      <x:c r="Q60" s="12" t="str">
        <x:v>No</x:v>
      </x:c>
      <x:c r="R60" s="12" t="str"/>
      <x:c r="S60" s="12" t="str"/>
      <x:c r="T60" s="12" t="str"/>
      <x:c r="U60" s="12" t="str">
        <x:v>AI-assisted draft cluster; human review required.</x:v>
      </x:c>
    </x:row>
    <x:row r="61">
      <x:c r="A61" s="12" t="str">
        <x:v>NEED-0060</x:v>
      </x:c>
      <x:c r="B61" s="12" t="str">
        <x:v>Earthdata users need voted that OB.DAAC was the ideal place for CALIOP backscattering datasets to reside because 1) users would like to access these files in tandem with other ocean color datasets 2) having the data at OB.DAAC should accelerate discovery and use by the community.</x:v>
      </x:c>
      <x:c r="C61" s="12" t="str">
        <x:v>UWG voted that OB.DAAC was the ideal place for CALIOP backscattering datasets to reside because 1) users would like to access these files in tandem with other ocean color datasets </x:v>
      </x:c>
      <x:c r="D61" s="12" t="str">
        <x:v>Data Discovery &amp; Search</x:v>
      </x:c>
      <x:c r="E61" s="12" t="str"/>
      <x:c r="F61" s="12" t="str">
        <x:v>Candidate</x:v>
      </x:c>
      <x:c r="G61" s="12" t="str">
        <x:v>Unassigned</x:v>
      </x:c>
      <x:c r="H61" s="14" t="n">
        <x:f>MINIFS(Evidence!$H$2:$H$1026,Evidence!$B$2:$B$1026,A61)</x:f>
        <x:v>2022</x:v>
      </x:c>
      <x:c r="I61" s="14" t="n">
        <x:f>MAXIFS(Evidence!$H$2:$H$1026,Evidence!$B$2:$B$1026,A61)</x:f>
        <x:v>2024</x:v>
      </x:c>
      <x:c r="J61" s="12" t="n">
        <x:f>COUNTIF(Evidence!$B$2:$B$1026,A61)</x:f>
        <x:v>4</x:v>
      </x:c>
      <x:c r="K61" s="12" t="n">
        <x:v>3</x:v>
      </x:c>
      <x:c r="L61" s="12" t="n">
        <x:v>2</x:v>
      </x:c>
      <x:c r="M61" s="12" t="n">
        <x:v>4</x:v>
      </x:c>
      <x:c r="N61" s="12" t="n">
        <x:v>4</x:v>
      </x:c>
      <x:c r="O61" s="12" t="str">
        <x:v>Recurring</x:v>
      </x:c>
      <x:c r="P61" s="12" t="n">
        <x:f>ROUND(MIN(100,(J61*1.5)+(K61*8)+(L61*4)+(M61*3)+((I61-H61+1)*3)),0)</x:f>
        <x:v>59</x:v>
      </x:c>
      <x:c r="Q61" s="12" t="str">
        <x:v>No</x:v>
      </x:c>
      <x:c r="R61" s="12" t="str"/>
      <x:c r="S61" s="12" t="str"/>
      <x:c r="T61" s="12" t="str"/>
      <x:c r="U61" s="12" t="str">
        <x:v>AI-assisted draft cluster; human review required.</x:v>
      </x:c>
    </x:row>
    <x:row r="62">
      <x:c r="A62" s="12" t="str">
        <x:v>NEED-0061</x:v>
      </x:c>
      <x:c r="B62" s="12" t="str">
        <x:v>Earthdata users need features – dynamic tool/service catalogues using CMR, explore data pages, user Get Started with Data section.</x:v>
      </x:c>
      <x:c r="C62" s="12" t="str">
        <x:v>New features – dynamic tool/service catalogues using CMR, explore data pages, user Get Started with Data section.</x:v>
      </x:c>
      <x:c r="D62" s="12" t="str">
        <x:v>Data Discovery &amp; Search</x:v>
      </x:c>
      <x:c r="E62" s="12" t="str"/>
      <x:c r="F62" s="12" t="str">
        <x:v>Candidate</x:v>
      </x:c>
      <x:c r="G62" s="12" t="str">
        <x:v>Unassigned</x:v>
      </x:c>
      <x:c r="H62" s="14" t="n">
        <x:f>MINIFS(Evidence!$H$2:$H$1026,Evidence!$B$2:$B$1026,A62)</x:f>
        <x:v>2022</x:v>
      </x:c>
      <x:c r="I62" s="14" t="n">
        <x:f>MAXIFS(Evidence!$H$2:$H$1026,Evidence!$B$2:$B$1026,A62)</x:f>
        <x:v>2023</x:v>
      </x:c>
      <x:c r="J62" s="12" t="n">
        <x:f>COUNTIF(Evidence!$B$2:$B$1026,A62)</x:f>
        <x:v>2</x:v>
      </x:c>
      <x:c r="K62" s="12" t="n">
        <x:v>2</x:v>
      </x:c>
      <x:c r="L62" s="12" t="n">
        <x:v>2</x:v>
      </x:c>
      <x:c r="M62" s="12" t="n">
        <x:v>1</x:v>
      </x:c>
      <x:c r="N62" s="12" t="n">
        <x:v>2</x:v>
      </x:c>
      <x:c r="O62" s="12" t="str">
        <x:v>Recurring</x:v>
      </x:c>
      <x:c r="P62" s="12" t="n">
        <x:f>ROUND(MIN(100,(J62*1.5)+(K62*8)+(L62*4)+(M62*3)+((I62-H62+1)*3)),0)</x:f>
        <x:v>36</x:v>
      </x:c>
      <x:c r="Q62" s="12" t="str">
        <x:v>No</x:v>
      </x:c>
      <x:c r="R62" s="12" t="str"/>
      <x:c r="S62" s="12" t="str"/>
      <x:c r="T62" s="12" t="str"/>
      <x:c r="U62" s="12" t="str">
        <x:v>AI-assisted draft cluster; human review required.</x:v>
      </x:c>
    </x:row>
    <x:row r="63">
      <x:c r="A63" s="12" t="str">
        <x:v>NEED-0062</x:v>
      </x:c>
      <x:c r="B63" s="12" t="str">
        <x:v>Earthdata users need a one-stop-shop for guidelines on standard formats, compliant metadata, OSDMP templates, etc.</x:v>
      </x:c>
      <x:c r="C63" s="12" t="str">
        <x:v>Create a one-stop-shop for guidelines on standard formats, compliant metadata, OSDMP templates, etc.</x:v>
      </x:c>
      <x:c r="D63" s="12" t="str">
        <x:v>Data Discovery &amp; Search</x:v>
      </x:c>
      <x:c r="E63" s="12" t="str"/>
      <x:c r="F63" s="12" t="str">
        <x:v>Candidate</x:v>
      </x:c>
      <x:c r="G63" s="12" t="str">
        <x:v>Unassigned</x:v>
      </x:c>
      <x:c r="H63" s="14" t="n">
        <x:f>MINIFS(Evidence!$H$2:$H$1026,Evidence!$B$2:$B$1026,A63)</x:f>
        <x:v>2024</x:v>
      </x:c>
      <x:c r="I63" s="14" t="n">
        <x:f>MAXIFS(Evidence!$H$2:$H$1026,Evidence!$B$2:$B$1026,A63)</x:f>
        <x:v>2024</x:v>
      </x:c>
      <x:c r="J63" s="12" t="n">
        <x:f>COUNTIF(Evidence!$B$2:$B$1026,A63)</x:f>
        <x:v>1</x:v>
      </x:c>
      <x:c r="K63" s="12" t="n">
        <x:v>1</x:v>
      </x:c>
      <x:c r="L63" s="12" t="n">
        <x:v>1</x:v>
      </x:c>
      <x:c r="M63" s="12" t="n">
        <x:v>1</x:v>
      </x:c>
      <x:c r="N63" s="12" t="n">
        <x:v>3</x:v>
      </x:c>
      <x:c r="O63" s="12" t="str">
        <x:v>Single-year signal</x:v>
      </x:c>
      <x:c r="P63" s="12" t="n">
        <x:f>ROUND(MIN(100,(J63*1.5)+(K63*8)+(L63*4)+(M63*3)+((I63-H63+1)*3)),0)</x:f>
        <x:v>20</x:v>
      </x:c>
      <x:c r="Q63" s="12" t="str">
        <x:v>No</x:v>
      </x:c>
      <x:c r="R63" s="12" t="str"/>
      <x:c r="S63" s="12" t="str"/>
      <x:c r="T63" s="12" t="str"/>
      <x:c r="U63" s="12" t="str">
        <x:v>AI-assisted draft cluster; human review required.</x:v>
      </x:c>
    </x:row>
    <x:row r="64">
      <x:c r="A64" s="12" t="str">
        <x:v>NEED-0063</x:v>
      </x:c>
      <x:c r="B64" s="12" t="str">
        <x:v>Earthdata users need should ensure that most up-to-date versions of field campaign data are archived (e.g., DISCOVER AQ).</x:v>
      </x:c>
      <x:c r="C64" s="12" t="str">
        <x:v>ASDC should ensure that most up-to-date versions of field campaign data are archived (e.g., DISCOVER AQ).</x:v>
      </x:c>
      <x:c r="D64" s="12" t="str">
        <x:v>Data Discovery &amp; Search</x:v>
      </x:c>
      <x:c r="E64" s="12" t="str"/>
      <x:c r="F64" s="12" t="str">
        <x:v>Candidate</x:v>
      </x:c>
      <x:c r="G64" s="12" t="str">
        <x:v>Unassigned</x:v>
      </x:c>
      <x:c r="H64" s="14" t="n">
        <x:f>MINIFS(Evidence!$H$2:$H$1026,Evidence!$B$2:$B$1026,A64)</x:f>
        <x:v>2021</x:v>
      </x:c>
      <x:c r="I64" s="14" t="n">
        <x:f>MAXIFS(Evidence!$H$2:$H$1026,Evidence!$B$2:$B$1026,A64)</x:f>
        <x:v>2023</x:v>
      </x:c>
      <x:c r="J64" s="12" t="n">
        <x:f>COUNTIF(Evidence!$B$2:$B$1026,A64)</x:f>
        <x:v>2</x:v>
      </x:c>
      <x:c r="K64" s="12" t="n">
        <x:v>2</x:v>
      </x:c>
      <x:c r="L64" s="12" t="n">
        <x:v>1</x:v>
      </x:c>
      <x:c r="M64" s="12" t="n">
        <x:v>1</x:v>
      </x:c>
      <x:c r="N64" s="12" t="n">
        <x:v>2</x:v>
      </x:c>
      <x:c r="O64" s="12" t="str">
        <x:v>Recurring</x:v>
      </x:c>
      <x:c r="P64" s="12" t="n">
        <x:f>ROUND(MIN(100,(J64*1.5)+(K64*8)+(L64*4)+(M64*3)+((I64-H64+1)*3)),0)</x:f>
        <x:v>35</x:v>
      </x:c>
      <x:c r="Q64" s="12" t="str">
        <x:v>No</x:v>
      </x:c>
      <x:c r="R64" s="12" t="str"/>
      <x:c r="S64" s="12" t="str"/>
      <x:c r="T64" s="12" t="str"/>
      <x:c r="U64" s="12" t="str">
        <x:v>AI-assisted draft cluster; human review required.</x:v>
      </x:c>
    </x:row>
    <x:row r="65">
      <x:c r="A65" s="12" t="str">
        <x:v>NEED-0064</x:v>
      </x:c>
      <x:c r="B65" s="12" t="str">
        <x:v>Earthdata users need tools to refine searching (ontology).</x:v>
      </x:c>
      <x:c r="C65" s="12" t="str">
        <x:v>Developing tools to refine searching (ontology).</x:v>
      </x:c>
      <x:c r="D65" s="12" t="str">
        <x:v>Data Discovery &amp; Search</x:v>
      </x:c>
      <x:c r="E65" s="12" t="str"/>
      <x:c r="F65" s="12" t="str">
        <x:v>Candidate</x:v>
      </x:c>
      <x:c r="G65" s="12" t="str">
        <x:v>Unassigned</x:v>
      </x:c>
      <x:c r="H65" s="14" t="n">
        <x:f>MINIFS(Evidence!$H$2:$H$1026,Evidence!$B$2:$B$1026,A65)</x:f>
        <x:v>2021</x:v>
      </x:c>
      <x:c r="I65" s="14" t="n">
        <x:f>MAXIFS(Evidence!$H$2:$H$1026,Evidence!$B$2:$B$1026,A65)</x:f>
        <x:v>2023</x:v>
      </x:c>
      <x:c r="J65" s="12" t="n">
        <x:f>COUNTIF(Evidence!$B$2:$B$1026,A65)</x:f>
        <x:v>2</x:v>
      </x:c>
      <x:c r="K65" s="12" t="n">
        <x:v>2</x:v>
      </x:c>
      <x:c r="L65" s="12" t="n">
        <x:v>1</x:v>
      </x:c>
      <x:c r="M65" s="12" t="n">
        <x:v>1</x:v>
      </x:c>
      <x:c r="N65" s="12" t="n">
        <x:v>1</x:v>
      </x:c>
      <x:c r="O65" s="12" t="str">
        <x:v>Recurring</x:v>
      </x:c>
      <x:c r="P65" s="12" t="n">
        <x:f>ROUND(MIN(100,(J65*1.5)+(K65*8)+(L65*4)+(M65*3)+((I65-H65+1)*3)),0)</x:f>
        <x:v>35</x:v>
      </x:c>
      <x:c r="Q65" s="12" t="str">
        <x:v>No</x:v>
      </x:c>
      <x:c r="R65" s="12" t="str"/>
      <x:c r="S65" s="12" t="str"/>
      <x:c r="T65" s="12" t="str"/>
      <x:c r="U65" s="12" t="str">
        <x:v>AI-assisted draft cluster; human review required.</x:v>
      </x:c>
    </x:row>
    <x:row r="66">
      <x:c r="A66" s="12" t="str">
        <x:v>NEED-0065</x:v>
      </x:c>
      <x:c r="B66" s="12" t="str">
        <x:v>Earthdata users need the EDSC interface to enhance user experience in finding data, similar to the EO Browser. They highlighted useful EO Browser features such as scaling index, image-based search, and the ability to change bands. Additionally, they noted that the EDSC's search results often confuse users by resembling a 'Google search' page.</x:v>
      </x:c>
      <x:c r="C66" s="12" t="str">
        <x:v>The UWG recommends improving the EDSC interface to enhance user experience in finding data, similar to the EO Browser. They highlighted useful EO Browser features such as scaling i</x:v>
      </x:c>
      <x:c r="D66" s="12" t="str">
        <x:v>Data Discovery &amp; Search</x:v>
      </x:c>
      <x:c r="E66" s="12" t="str"/>
      <x:c r="F66" s="12" t="str">
        <x:v>Candidate</x:v>
      </x:c>
      <x:c r="G66" s="12" t="str">
        <x:v>Unassigned</x:v>
      </x:c>
      <x:c r="H66" s="14" t="n">
        <x:f>MINIFS(Evidence!$H$2:$H$1026,Evidence!$B$2:$B$1026,A66)</x:f>
        <x:v>2023</x:v>
      </x:c>
      <x:c r="I66" s="14" t="n">
        <x:f>MAXIFS(Evidence!$H$2:$H$1026,Evidence!$B$2:$B$1026,A66)</x:f>
        <x:v>2024</x:v>
      </x:c>
      <x:c r="J66" s="12" t="n">
        <x:f>COUNTIF(Evidence!$B$2:$B$1026,A66)</x:f>
        <x:v>2</x:v>
      </x:c>
      <x:c r="K66" s="12" t="n">
        <x:v>2</x:v>
      </x:c>
      <x:c r="L66" s="12" t="n">
        <x:v>2</x:v>
      </x:c>
      <x:c r="M66" s="12" t="n">
        <x:v>1</x:v>
      </x:c>
      <x:c r="N66" s="12" t="n">
        <x:v>3</x:v>
      </x:c>
      <x:c r="O66" s="12" t="str">
        <x:v>Recurring</x:v>
      </x:c>
      <x:c r="P66" s="12" t="n">
        <x:f>ROUND(MIN(100,(J66*1.5)+(K66*8)+(L66*4)+(M66*3)+((I66-H66+1)*3)),0)</x:f>
        <x:v>36</x:v>
      </x:c>
      <x:c r="Q66" s="12" t="str">
        <x:v>No</x:v>
      </x:c>
      <x:c r="R66" s="12" t="str"/>
      <x:c r="S66" s="12" t="str"/>
      <x:c r="T66" s="12" t="str"/>
      <x:c r="U66" s="12" t="str">
        <x:v>AI-assisted draft cluster; human review required.</x:v>
      </x:c>
    </x:row>
    <x:row r="67">
      <x:c r="A67" s="12" t="str">
        <x:v>NEED-0066</x:v>
      </x:c>
      <x:c r="B67" s="12" t="str">
        <x:v>Earthdata users need uWG23-12. Identify SEDAC representatives to participate in new mission design and planning, e.g., for the planned NISAR (NASA-Indian Space Research Organisation (ISRO) Synthetic Aperture Radar) and SBG (Surface Biology and Geology) missions. Status: Ongoing. Target Date: Next UWG meeting.</x:v>
      </x:c>
      <x:c r="C67" s="12" t="str">
        <x:v>Action UWG23-12. Identify SEDAC representatives to participate in new mission design and planning, e.g., for the planned NISAR (NASA-Indian Space Research Organisation (ISRO) Synth</x:v>
      </x:c>
      <x:c r="D67" s="12" t="str">
        <x:v>Data Discovery &amp; Search</x:v>
      </x:c>
      <x:c r="E67" s="12" t="str"/>
      <x:c r="F67" s="12" t="str">
        <x:v>Candidate</x:v>
      </x:c>
      <x:c r="G67" s="12" t="str">
        <x:v>Unassigned</x:v>
      </x:c>
      <x:c r="H67" s="14" t="n">
        <x:f>MINIFS(Evidence!$H$2:$H$1026,Evidence!$B$2:$B$1026,A67)</x:f>
        <x:v>2023</x:v>
      </x:c>
      <x:c r="I67" s="14" t="n">
        <x:f>MAXIFS(Evidence!$H$2:$H$1026,Evidence!$B$2:$B$1026,A67)</x:f>
        <x:v>2023</x:v>
      </x:c>
      <x:c r="J67" s="12" t="n">
        <x:f>COUNTIF(Evidence!$B$2:$B$1026,A67)</x:f>
        <x:v>1</x:v>
      </x:c>
      <x:c r="K67" s="12" t="n">
        <x:v>1</x:v>
      </x:c>
      <x:c r="L67" s="12" t="n">
        <x:v>1</x:v>
      </x:c>
      <x:c r="M67" s="12" t="n">
        <x:v>2</x:v>
      </x:c>
      <x:c r="N67" s="12" t="n">
        <x:v>1</x:v>
      </x:c>
      <x:c r="O67" s="12" t="str">
        <x:v>Single-year signal</x:v>
      </x:c>
      <x:c r="P67" s="12" t="n">
        <x:f>ROUND(MIN(100,(J67*1.5)+(K67*8)+(L67*4)+(M67*3)+((I67-H67+1)*3)),0)</x:f>
        <x:v>23</x:v>
      </x:c>
      <x:c r="Q67" s="12" t="str">
        <x:v>No</x:v>
      </x:c>
      <x:c r="R67" s="12" t="str"/>
      <x:c r="S67" s="12" t="str"/>
      <x:c r="T67" s="12" t="str"/>
      <x:c r="U67" s="12" t="str">
        <x:v>AI-assisted draft cluster; human review required.</x:v>
      </x:c>
    </x:row>
    <x:row r="68">
      <x:c r="A68" s="12" t="str">
        <x:v>NEED-0067</x:v>
      </x:c>
      <x:c r="B68" s="12" t="str">
        <x:v>Earthdata users need used in published research 100%.</x:v>
      </x:c>
      <x:c r="C68" s="12" t="str">
        <x:v>Data used in published research 100%</x:v>
      </x:c>
      <x:c r="D68" s="12" t="str">
        <x:v>Data Discovery &amp; Search</x:v>
      </x:c>
      <x:c r="E68" s="12" t="str"/>
      <x:c r="F68" s="12" t="str">
        <x:v>Candidate</x:v>
      </x:c>
      <x:c r="G68" s="12" t="str">
        <x:v>Unassigned</x:v>
      </x:c>
      <x:c r="H68" s="14" t="n">
        <x:f>MINIFS(Evidence!$H$2:$H$1026,Evidence!$B$2:$B$1026,A68)</x:f>
        <x:v>2021</x:v>
      </x:c>
      <x:c r="I68" s="14" t="n">
        <x:f>MAXIFS(Evidence!$H$2:$H$1026,Evidence!$B$2:$B$1026,A68)</x:f>
        <x:v>2021</x:v>
      </x:c>
      <x:c r="J68" s="12" t="n">
        <x:f>COUNTIF(Evidence!$B$2:$B$1026,A68)</x:f>
        <x:v>1</x:v>
      </x:c>
      <x:c r="K68" s="12" t="n">
        <x:v>1</x:v>
      </x:c>
      <x:c r="L68" s="12" t="n">
        <x:v>1</x:v>
      </x:c>
      <x:c r="M68" s="12" t="n">
        <x:v>1</x:v>
      </x:c>
      <x:c r="N68" s="12" t="n">
        <x:v>1</x:v>
      </x:c>
      <x:c r="O68" s="12" t="str">
        <x:v>Single-year signal</x:v>
      </x:c>
      <x:c r="P68" s="12" t="n">
        <x:f>ROUND(MIN(100,(J68*1.5)+(K68*8)+(L68*4)+(M68*3)+((I68-H68+1)*3)),0)</x:f>
        <x:v>20</x:v>
      </x:c>
      <x:c r="Q68" s="12" t="str">
        <x:v>No</x:v>
      </x:c>
      <x:c r="R68" s="12" t="str"/>
      <x:c r="S68" s="12" t="str"/>
      <x:c r="T68" s="12" t="str"/>
      <x:c r="U68" s="12" t="str">
        <x:v>AI-assisted draft cluster; human review required.</x:v>
      </x:c>
    </x:row>
    <x:row r="69">
      <x:c r="A69" s="12" t="str">
        <x:v>NEED-0068</x:v>
      </x:c>
      <x:c r="B69" s="12" t="str">
        <x:v>Earthdata users need will update the metadata and ESDT's so that tools such as the subsetter that are associated with Collections are discoverable by EDS users.</x:v>
      </x:c>
      <x:c r="C69" s="12" t="str">
        <x:v>ASDC will update the metadata and ESDT's so that tools such as the subsetter that are associated with Collections are discoverable by EDS users.</x:v>
      </x:c>
      <x:c r="D69" s="12" t="str">
        <x:v>Data Discovery &amp; Search</x:v>
      </x:c>
      <x:c r="E69" s="12" t="str"/>
      <x:c r="F69" s="12" t="str">
        <x:v>Candidate</x:v>
      </x:c>
      <x:c r="G69" s="12" t="str">
        <x:v>Unassigned</x:v>
      </x:c>
      <x:c r="H69" s="14" t="n">
        <x:f>MINIFS(Evidence!$H$2:$H$1026,Evidence!$B$2:$B$1026,A69)</x:f>
        <x:v>2021</x:v>
      </x:c>
      <x:c r="I69" s="14" t="n">
        <x:f>MAXIFS(Evidence!$H$2:$H$1026,Evidence!$B$2:$B$1026,A69)</x:f>
        <x:v>2024</x:v>
      </x:c>
      <x:c r="J69" s="12" t="n">
        <x:f>COUNTIF(Evidence!$B$2:$B$1026,A69)</x:f>
        <x:v>3</x:v>
      </x:c>
      <x:c r="K69" s="12" t="n">
        <x:v>3</x:v>
      </x:c>
      <x:c r="L69" s="12" t="n">
        <x:v>2</x:v>
      </x:c>
      <x:c r="M69" s="12" t="n">
        <x:v>1</x:v>
      </x:c>
      <x:c r="N69" s="12" t="n">
        <x:v>3</x:v>
      </x:c>
      <x:c r="O69" s="12" t="str">
        <x:v>Recurring</x:v>
      </x:c>
      <x:c r="P69" s="12" t="n">
        <x:f>ROUND(MIN(100,(J69*1.5)+(K69*8)+(L69*4)+(M69*3)+((I69-H69+1)*3)),0)</x:f>
        <x:v>52</x:v>
      </x:c>
      <x:c r="Q69" s="12" t="str">
        <x:v>No</x:v>
      </x:c>
      <x:c r="R69" s="12" t="str"/>
      <x:c r="S69" s="12" t="str"/>
      <x:c r="T69" s="12" t="str"/>
      <x:c r="U69" s="12" t="str">
        <x:v>AI-assisted draft cluster; human review required.</x:v>
      </x:c>
    </x:row>
    <x:row r="70">
      <x:c r="A70" s="12" t="str">
        <x:v>NEED-0069</x:v>
      </x:c>
      <x:c r="B70" s="12" t="str">
        <x:v>Earthdata users need names of state agency professionals who might want to use data, but are hitting hurdles that professional researchers don’t see. Find more users in the humanities or other disciplines that might be hesitant to use satellite data.</x:v>
      </x:c>
      <x:c r="C70" s="12" t="str">
        <x:v>Provide names of state agency professionals who might want to use data, but are hitting hurdles that professional researchers don’t see. Find more users in the humanities or other </x:v>
      </x:c>
      <x:c r="D70" s="12" t="str">
        <x:v>Data Discovery &amp; Search</x:v>
      </x:c>
      <x:c r="E70" s="12" t="str"/>
      <x:c r="F70" s="12" t="str">
        <x:v>Candidate</x:v>
      </x:c>
      <x:c r="G70" s="12" t="str">
        <x:v>Unassigned</x:v>
      </x:c>
      <x:c r="H70" s="14" t="n">
        <x:f>MINIFS(Evidence!$H$2:$H$1026,Evidence!$B$2:$B$1026,A70)</x:f>
        <x:v>2021</x:v>
      </x:c>
      <x:c r="I70" s="14" t="n">
        <x:f>MAXIFS(Evidence!$H$2:$H$1026,Evidence!$B$2:$B$1026,A70)</x:f>
        <x:v>2023</x:v>
      </x:c>
      <x:c r="J70" s="12" t="n">
        <x:f>COUNTIF(Evidence!$B$2:$B$1026,A70)</x:f>
        <x:v>2</x:v>
      </x:c>
      <x:c r="K70" s="12" t="n">
        <x:v>2</x:v>
      </x:c>
      <x:c r="L70" s="12" t="n">
        <x:v>1</x:v>
      </x:c>
      <x:c r="M70" s="12" t="n">
        <x:v>1</x:v>
      </x:c>
      <x:c r="N70" s="12" t="n">
        <x:v>1</x:v>
      </x:c>
      <x:c r="O70" s="12" t="str">
        <x:v>Recurring</x:v>
      </x:c>
      <x:c r="P70" s="12" t="n">
        <x:f>ROUND(MIN(100,(J70*1.5)+(K70*8)+(L70*4)+(M70*3)+((I70-H70+1)*3)),0)</x:f>
        <x:v>35</x:v>
      </x:c>
      <x:c r="Q70" s="12" t="str">
        <x:v>No</x:v>
      </x:c>
      <x:c r="R70" s="12" t="str"/>
      <x:c r="S70" s="12" t="str"/>
      <x:c r="T70" s="12" t="str"/>
      <x:c r="U70" s="12" t="str">
        <x:v>AI-assisted draft cluster; human review required.</x:v>
      </x:c>
    </x:row>
    <x:row r="71">
      <x:c r="A71" s="12" t="str">
        <x:v>NEED-0070</x:v>
      </x:c>
      <x:c r="B71" s="12" t="str">
        <x:v>Earthdata users need product version discoverability in Earthdata Search by always listing the most recent version first and to allow sorting by publication date.</x:v>
      </x:c>
      <x:c r="C71" s="12" t="str">
        <x:v>Improve product version discoverability in Earthdata Search by always listing the most recent version first and to allow sorting by publication date.</x:v>
      </x:c>
      <x:c r="D71" s="12" t="str">
        <x:v>Data Discovery &amp; Search</x:v>
      </x:c>
      <x:c r="E71" s="12" t="str"/>
      <x:c r="F71" s="12" t="str">
        <x:v>Candidate</x:v>
      </x:c>
      <x:c r="G71" s="12" t="str">
        <x:v>Unassigned</x:v>
      </x:c>
      <x:c r="H71" s="14" t="n">
        <x:f>MINIFS(Evidence!$H$2:$H$1026,Evidence!$B$2:$B$1026,A71)</x:f>
        <x:v>2023</x:v>
      </x:c>
      <x:c r="I71" s="14" t="n">
        <x:f>MAXIFS(Evidence!$H$2:$H$1026,Evidence!$B$2:$B$1026,A71)</x:f>
        <x:v>2024</x:v>
      </x:c>
      <x:c r="J71" s="12" t="n">
        <x:f>COUNTIF(Evidence!$B$2:$B$1026,A71)</x:f>
        <x:v>2</x:v>
      </x:c>
      <x:c r="K71" s="12" t="n">
        <x:v>2</x:v>
      </x:c>
      <x:c r="L71" s="12" t="n">
        <x:v>1</x:v>
      </x:c>
      <x:c r="M71" s="12" t="n">
        <x:v>2</x:v>
      </x:c>
      <x:c r="N71" s="12" t="n">
        <x:v>1</x:v>
      </x:c>
      <x:c r="O71" s="12" t="str">
        <x:v>Recurring</x:v>
      </x:c>
      <x:c r="P71" s="12" t="n">
        <x:f>ROUND(MIN(100,(J71*1.5)+(K71*8)+(L71*4)+(M71*3)+((I71-H71+1)*3)),0)</x:f>
        <x:v>35</x:v>
      </x:c>
      <x:c r="Q71" s="12" t="str">
        <x:v>No</x:v>
      </x:c>
      <x:c r="R71" s="12" t="str"/>
      <x:c r="S71" s="12" t="str"/>
      <x:c r="T71" s="12" t="str"/>
      <x:c r="U71" s="12" t="str">
        <x:v>AI-assisted draft cluster; human review required.</x:v>
      </x:c>
    </x:row>
    <x:row r="72">
      <x:c r="A72" s="12" t="str">
        <x:v>NEED-0071</x:v>
      </x:c>
      <x:c r="B72" s="12" t="str">
        <x:v>Earthdata users need lAADS DAAC, as part of its position within the Terrestrial Information Systems Laboratory, should attempt to acquire and curate other GSFC facility instruments-based surface validation networks and their data collections that are currently not available through a single DAAC source.</x:v>
      </x:c>
      <x:c r="C72" s="12" t="str">
        <x:v>The LAADS DAAC, as part of its position within the Terrestrial Information Systems Laboratory, should attempt to acquire and curate other GSFC facility instruments-based surface va</x:v>
      </x:c>
      <x:c r="D72" s="12" t="str">
        <x:v>Data Products &amp; Formats</x:v>
      </x:c>
      <x:c r="E72" s="12" t="str"/>
      <x:c r="F72" s="12" t="str">
        <x:v>Candidate</x:v>
      </x:c>
      <x:c r="G72" s="12" t="str">
        <x:v>Unassigned</x:v>
      </x:c>
      <x:c r="H72" s="14" t="n">
        <x:f>MINIFS(Evidence!$H$2:$H$1026,Evidence!$B$2:$B$1026,A72)</x:f>
        <x:v>2022</x:v>
      </x:c>
      <x:c r="I72" s="14" t="n">
        <x:f>MAXIFS(Evidence!$H$2:$H$1026,Evidence!$B$2:$B$1026,A72)</x:f>
        <x:v>2024</x:v>
      </x:c>
      <x:c r="J72" s="12" t="n">
        <x:f>COUNTIF(Evidence!$B$2:$B$1026,A72)</x:f>
        <x:v>6</x:v>
      </x:c>
      <x:c r="K72" s="12" t="n">
        <x:v>3</x:v>
      </x:c>
      <x:c r="L72" s="12" t="n">
        <x:v>5</x:v>
      </x:c>
      <x:c r="M72" s="12" t="n">
        <x:v>1</x:v>
      </x:c>
      <x:c r="N72" s="12" t="n">
        <x:v>3</x:v>
      </x:c>
      <x:c r="O72" s="12" t="str">
        <x:v>Recurring</x:v>
      </x:c>
      <x:c r="P72" s="12" t="n">
        <x:f>ROUND(MIN(100,(J72*1.5)+(K72*8)+(L72*4)+(M72*3)+((I72-H72+1)*3)),0)</x:f>
        <x:v>65</x:v>
      </x:c>
      <x:c r="Q72" s="12" t="str">
        <x:v>No</x:v>
      </x:c>
      <x:c r="R72" s="12" t="str"/>
      <x:c r="S72" s="12" t="str"/>
      <x:c r="T72" s="12" t="str"/>
      <x:c r="U72" s="12" t="str">
        <x:v>AI-assisted draft cluster; human review required.</x:v>
      </x:c>
    </x:row>
    <x:row r="73">
      <x:c r="A73" s="12" t="str">
        <x:v>NEED-0072</x:v>
      </x:c>
      <x:c r="B73" s="12" t="str">
        <x:v>Earthdata users need members may use other passive microwave sea ice products outside of the DAAC due to the low resolution at which the DAAC products are provided. In addition, land masks are outdated, in particular around Antarctic ice shelf areas. The DAAC should consider the use of static vs. dynamic masks in the creation of sea ice products, and provide better provenance for masks used in production.</x:v>
      </x:c>
      <x:c r="C73" s="12" t="str">
        <x:v>UWG members may use other passive microwave sea ice products outside of the DAAC due to the low resolution at which the DAAC products are provided. In addition, land masks are outd</x:v>
      </x:c>
      <x:c r="D73" s="12" t="str">
        <x:v>Data Products &amp; Formats</x:v>
      </x:c>
      <x:c r="E73" s="12" t="str"/>
      <x:c r="F73" s="12" t="str">
        <x:v>Candidate</x:v>
      </x:c>
      <x:c r="G73" s="12" t="str">
        <x:v>Unassigned</x:v>
      </x:c>
      <x:c r="H73" s="14" t="n">
        <x:f>MINIFS(Evidence!$H$2:$H$1026,Evidence!$B$2:$B$1026,A73)</x:f>
        <x:v>2021</x:v>
      </x:c>
      <x:c r="I73" s="14" t="n">
        <x:f>MAXIFS(Evidence!$H$2:$H$1026,Evidence!$B$2:$B$1026,A73)</x:f>
        <x:v>2024</x:v>
      </x:c>
      <x:c r="J73" s="12" t="n">
        <x:f>COUNTIF(Evidence!$B$2:$B$1026,A73)</x:f>
        <x:v>8</x:v>
      </x:c>
      <x:c r="K73" s="12" t="n">
        <x:v>2</x:v>
      </x:c>
      <x:c r="L73" s="12" t="n">
        <x:v>4</x:v>
      </x:c>
      <x:c r="M73" s="12" t="n">
        <x:v>3</x:v>
      </x:c>
      <x:c r="N73" s="12" t="n">
        <x:v>4</x:v>
      </x:c>
      <x:c r="O73" s="12" t="str">
        <x:v>Recurring</x:v>
      </x:c>
      <x:c r="P73" s="12" t="n">
        <x:f>ROUND(MIN(100,(J73*1.5)+(K73*8)+(L73*4)+(M73*3)+((I73-H73+1)*3)),0)</x:f>
        <x:v>65</x:v>
      </x:c>
      <x:c r="Q73" s="12" t="str">
        <x:v>No</x:v>
      </x:c>
      <x:c r="R73" s="12" t="str"/>
      <x:c r="S73" s="12" t="str"/>
      <x:c r="T73" s="12" t="str"/>
      <x:c r="U73" s="12" t="str">
        <x:v>AI-assisted draft cluster; human review required.</x:v>
      </x:c>
    </x:row>
    <x:row r="74">
      <x:c r="A74" s="12" t="str">
        <x:v>NEED-0073</x:v>
      </x:c>
      <x:c r="B74" s="12" t="str">
        <x:v>Earthdata users need dAAC will participate in the NASA TOPS program and will provide updates and information to the UWG.</x:v>
      </x:c>
      <x:c r="C74" s="12" t="str">
        <x:v>The DAAC will participate in the NASA TOPS program and will provide updates and information to the UWG.</x:v>
      </x:c>
      <x:c r="D74" s="12" t="str">
        <x:v>Data Products &amp; Formats</x:v>
      </x:c>
      <x:c r="E74" s="12" t="str"/>
      <x:c r="F74" s="12" t="str">
        <x:v>Candidate</x:v>
      </x:c>
      <x:c r="G74" s="12" t="str">
        <x:v>Unassigned</x:v>
      </x:c>
      <x:c r="H74" s="14" t="n">
        <x:f>MINIFS(Evidence!$H$2:$H$1026,Evidence!$B$2:$B$1026,A74)</x:f>
        <x:v>2022</x:v>
      </x:c>
      <x:c r="I74" s="14" t="n">
        <x:f>MAXIFS(Evidence!$H$2:$H$1026,Evidence!$B$2:$B$1026,A74)</x:f>
        <x:v>2022</x:v>
      </x:c>
      <x:c r="J74" s="12" t="n">
        <x:f>COUNTIF(Evidence!$B$2:$B$1026,A74)</x:f>
        <x:v>2</x:v>
      </x:c>
      <x:c r="K74" s="12" t="n">
        <x:v>1</x:v>
      </x:c>
      <x:c r="L74" s="12" t="n">
        <x:v>2</x:v>
      </x:c>
      <x:c r="M74" s="12" t="n">
        <x:v>1</x:v>
      </x:c>
      <x:c r="N74" s="12" t="n">
        <x:v>2</x:v>
      </x:c>
      <x:c r="O74" s="12" t="str">
        <x:v>Single-year signal</x:v>
      </x:c>
      <x:c r="P74" s="12" t="n">
        <x:f>ROUND(MIN(100,(J74*1.5)+(K74*8)+(L74*4)+(M74*3)+((I74-H74+1)*3)),0)</x:f>
        <x:v>25</x:v>
      </x:c>
      <x:c r="Q74" s="12" t="str">
        <x:v>No</x:v>
      </x:c>
      <x:c r="R74" s="12" t="str"/>
      <x:c r="S74" s="12" t="str"/>
      <x:c r="T74" s="12" t="str"/>
      <x:c r="U74" s="12" t="str">
        <x:v>AI-assisted draft cluster; human review required.</x:v>
      </x:c>
    </x:row>
    <x:row r="75">
      <x:c r="A75" s="12" t="str">
        <x:v>NEED-0074</x:v>
      </x:c>
      <x:c r="B75" s="12" t="str">
        <x:v>Earthdata users need recommend taking the following basic steps to ensure that new data providers are aware of the resources and information needed for efficient data publication.</x:v>
      </x:c>
      <x:c r="C75" s="12" t="str">
        <x:v>We recommend taking the following basic steps to ensure that new data providers are aware of the resources and information needed for efficient data publication.</x:v>
      </x:c>
      <x:c r="D75" s="12" t="str">
        <x:v>Data Products &amp; Formats</x:v>
      </x:c>
      <x:c r="E75" s="12" t="str"/>
      <x:c r="F75" s="12" t="str">
        <x:v>Candidate</x:v>
      </x:c>
      <x:c r="G75" s="12" t="str">
        <x:v>Unassigned</x:v>
      </x:c>
      <x:c r="H75" s="14" t="n">
        <x:f>MINIFS(Evidence!$H$2:$H$1026,Evidence!$B$2:$B$1026,A75)</x:f>
        <x:v>2021</x:v>
      </x:c>
      <x:c r="I75" s="14" t="n">
        <x:f>MAXIFS(Evidence!$H$2:$H$1026,Evidence!$B$2:$B$1026,A75)</x:f>
        <x:v>2024</x:v>
      </x:c>
      <x:c r="J75" s="12" t="n">
        <x:f>COUNTIF(Evidence!$B$2:$B$1026,A75)</x:f>
        <x:v>17</x:v>
      </x:c>
      <x:c r="K75" s="12" t="n">
        <x:v>4</x:v>
      </x:c>
      <x:c r="L75" s="12" t="n">
        <x:v>9</x:v>
      </x:c>
      <x:c r="M75" s="12" t="n">
        <x:v>5</x:v>
      </x:c>
      <x:c r="N75" s="12" t="n">
        <x:v>5</x:v>
      </x:c>
      <x:c r="O75" s="12" t="str">
        <x:v>Recurring</x:v>
      </x:c>
      <x:c r="P75" s="12" t="n">
        <x:f>ROUND(MIN(100,(J75*1.5)+(K75*8)+(L75*4)+(M75*3)+((I75-H75+1)*3)),0)</x:f>
        <x:v>100</x:v>
      </x:c>
      <x:c r="Q75" s="12" t="str">
        <x:v>No</x:v>
      </x:c>
      <x:c r="R75" s="12" t="str"/>
      <x:c r="S75" s="12" t="str"/>
      <x:c r="T75" s="12" t="str"/>
      <x:c r="U75" s="12" t="str">
        <x:v>AI-assisted draft cluster; human review required.</x:v>
      </x:c>
    </x:row>
    <x:row r="76">
      <x:c r="A76" s="12" t="str">
        <x:v>NEED-0075</x:v>
      </x:c>
      <x:c r="B76" s="12" t="str">
        <x:v>Earthdata users need aSF UWG unanimously suggests that NASA approves ASF to host the global coherence product - a separate recommendation letter was submitted to NASA in this respect.</x:v>
      </x:c>
      <x:c r="C76" s="12" t="str">
        <x:v>The ASF UWG unanimously suggests that NASA approves ASF to host the global coherence product - a separate recommendation letter was submitted to NASA in this respect.</x:v>
      </x:c>
      <x:c r="D76" s="12" t="str">
        <x:v>Data Products &amp; Formats</x:v>
      </x:c>
      <x:c r="E76" s="12" t="str"/>
      <x:c r="F76" s="12" t="str">
        <x:v>Candidate</x:v>
      </x:c>
      <x:c r="G76" s="12" t="str">
        <x:v>Unassigned</x:v>
      </x:c>
      <x:c r="H76" s="14" t="n">
        <x:f>MINIFS(Evidence!$H$2:$H$1026,Evidence!$B$2:$B$1026,A76)</x:f>
        <x:v>2021</x:v>
      </x:c>
      <x:c r="I76" s="14" t="n">
        <x:f>MAXIFS(Evidence!$H$2:$H$1026,Evidence!$B$2:$B$1026,A76)</x:f>
        <x:v>2024</x:v>
      </x:c>
      <x:c r="J76" s="12" t="n">
        <x:f>COUNTIF(Evidence!$B$2:$B$1026,A76)</x:f>
        <x:v>4</x:v>
      </x:c>
      <x:c r="K76" s="12" t="n">
        <x:v>2</x:v>
      </x:c>
      <x:c r="L76" s="12" t="n">
        <x:v>3</x:v>
      </x:c>
      <x:c r="M76" s="12" t="n">
        <x:v>3</x:v>
      </x:c>
      <x:c r="N76" s="12" t="n">
        <x:v>2</x:v>
      </x:c>
      <x:c r="O76" s="12" t="str">
        <x:v>Recurring</x:v>
      </x:c>
      <x:c r="P76" s="12" t="n">
        <x:f>ROUND(MIN(100,(J76*1.5)+(K76*8)+(L76*4)+(M76*3)+((I76-H76+1)*3)),0)</x:f>
        <x:v>55</x:v>
      </x:c>
      <x:c r="Q76" s="12" t="str">
        <x:v>No</x:v>
      </x:c>
      <x:c r="R76" s="12" t="str"/>
      <x:c r="S76" s="12" t="str"/>
      <x:c r="T76" s="12" t="str"/>
      <x:c r="U76" s="12" t="str">
        <x:v>AI-assisted draft cluster; human review required.</x:v>
      </x:c>
    </x:row>
    <x:row r="77">
      <x:c r="A77" s="12" t="str">
        <x:v>NEED-0076</x:v>
      </x:c>
      <x:c r="B77" s="12" t="str">
        <x:v>Earthdata users need dAACs, data citations seem low and/or difficult to track. Coordinate with publishers at a higher level to identify best practices for DAACs and journals. Consider making various citation format options (Bibtex, text, Endnote, etc.) additionally available, and/or identifying options (e.g. AGU journals) that provide good examples.</x:v>
      </x:c>
      <x:c r="C77" s="12" t="str">
        <x:v>Across DAACs, data citations seem low and/or difficult to track. Coordinate with publishers at a higher level to identify best practices for DAACs and journals. Consider making var</x:v>
      </x:c>
      <x:c r="D77" s="12" t="str">
        <x:v>Data Products &amp; Formats</x:v>
      </x:c>
      <x:c r="E77" s="12" t="str"/>
      <x:c r="F77" s="12" t="str">
        <x:v>Candidate</x:v>
      </x:c>
      <x:c r="G77" s="12" t="str">
        <x:v>Unassigned</x:v>
      </x:c>
      <x:c r="H77" s="14" t="n">
        <x:f>MINIFS(Evidence!$H$2:$H$1026,Evidence!$B$2:$B$1026,A77)</x:f>
        <x:v>2022</x:v>
      </x:c>
      <x:c r="I77" s="14" t="n">
        <x:f>MAXIFS(Evidence!$H$2:$H$1026,Evidence!$B$2:$B$1026,A77)</x:f>
        <x:v>2024</x:v>
      </x:c>
      <x:c r="J77" s="12" t="n">
        <x:f>COUNTIF(Evidence!$B$2:$B$1026,A77)</x:f>
        <x:v>5</x:v>
      </x:c>
      <x:c r="K77" s="12" t="n">
        <x:v>3</x:v>
      </x:c>
      <x:c r="L77" s="12" t="n">
        <x:v>3</x:v>
      </x:c>
      <x:c r="M77" s="12" t="n">
        <x:v>3</x:v>
      </x:c>
      <x:c r="N77" s="12" t="n">
        <x:v>3</x:v>
      </x:c>
      <x:c r="O77" s="12" t="str">
        <x:v>Recurring</x:v>
      </x:c>
      <x:c r="P77" s="12" t="n">
        <x:f>ROUND(MIN(100,(J77*1.5)+(K77*8)+(L77*4)+(M77*3)+((I77-H77+1)*3)),0)</x:f>
        <x:v>62</x:v>
      </x:c>
      <x:c r="Q77" s="12" t="str">
        <x:v>No</x:v>
      </x:c>
      <x:c r="R77" s="12" t="str"/>
      <x:c r="S77" s="12" t="str"/>
      <x:c r="T77" s="12" t="str"/>
      <x:c r="U77" s="12" t="str">
        <x:v>AI-assisted draft cluster; human review required.</x:v>
      </x:c>
    </x:row>
    <x:row r="78">
      <x:c r="A78" s="12" t="str">
        <x:v>NEED-0077</x:v>
      </x:c>
      <x:c r="B78" s="12" t="str">
        <x:v>Earthdata users need new actions and recommendations from UWG members are summarized below into twelve broad topics. These recommendations are organized into two categories: the first category focuses on the flow of information to ESDIS management, and the second category involves initiatives that GES DISC will undertake or develop.</x:v>
      </x:c>
      <x:c r="C78" s="12" t="str">
        <x:v>The new actions and recommendations from UWG members are summarized below into twelve broad topics. These recommendations are organized into two categories: the first category focu</x:v>
      </x:c>
      <x:c r="D78" s="12" t="str">
        <x:v>Data Products &amp; Formats</x:v>
      </x:c>
      <x:c r="E78" s="12" t="str"/>
      <x:c r="F78" s="12" t="str">
        <x:v>Candidate</x:v>
      </x:c>
      <x:c r="G78" s="12" t="str">
        <x:v>Unassigned</x:v>
      </x:c>
      <x:c r="H78" s="14" t="n">
        <x:f>MINIFS(Evidence!$H$2:$H$1026,Evidence!$B$2:$B$1026,A78)</x:f>
        <x:v>2023</x:v>
      </x:c>
      <x:c r="I78" s="14" t="n">
        <x:f>MAXIFS(Evidence!$H$2:$H$1026,Evidence!$B$2:$B$1026,A78)</x:f>
        <x:v>2024</x:v>
      </x:c>
      <x:c r="J78" s="12" t="n">
        <x:f>COUNTIF(Evidence!$B$2:$B$1026,A78)</x:f>
        <x:v>4</x:v>
      </x:c>
      <x:c r="K78" s="12" t="n">
        <x:v>2</x:v>
      </x:c>
      <x:c r="L78" s="12" t="n">
        <x:v>3</x:v>
      </x:c>
      <x:c r="M78" s="12" t="n">
        <x:v>1</x:v>
      </x:c>
      <x:c r="N78" s="12" t="n">
        <x:v>1</x:v>
      </x:c>
      <x:c r="O78" s="12" t="str">
        <x:v>Recurring</x:v>
      </x:c>
      <x:c r="P78" s="12" t="n">
        <x:f>ROUND(MIN(100,(J78*1.5)+(K78*8)+(L78*4)+(M78*3)+((I78-H78+1)*3)),0)</x:f>
        <x:v>43</x:v>
      </x:c>
      <x:c r="Q78" s="12" t="str">
        <x:v>No</x:v>
      </x:c>
      <x:c r="R78" s="12" t="str"/>
      <x:c r="S78" s="12" t="str"/>
      <x:c r="T78" s="12" t="str"/>
      <x:c r="U78" s="12" t="str">
        <x:v>AI-assisted draft cluster; human review required.</x:v>
      </x:c>
    </x:row>
    <x:row r="79">
      <x:c r="A79" s="12" t="str">
        <x:v>NEED-0078</x:v>
      </x:c>
      <x:c r="B79" s="12" t="str">
        <x:v>Earthdata users need from one member that, ideally, the user shouldn’t have to care about the format.</x:v>
      </x:c>
      <x:c r="C79" s="12" t="str">
        <x:v>Statement from one member that, ideally, the user shouldn’t have to care about the format.</x:v>
      </x:c>
      <x:c r="D79" s="12" t="str">
        <x:v>Data Products &amp; Formats</x:v>
      </x:c>
      <x:c r="E79" s="12" t="str"/>
      <x:c r="F79" s="12" t="str">
        <x:v>Candidate</x:v>
      </x:c>
      <x:c r="G79" s="12" t="str">
        <x:v>Unassigned</x:v>
      </x:c>
      <x:c r="H79" s="14" t="n">
        <x:f>MINIFS(Evidence!$H$2:$H$1026,Evidence!$B$2:$B$1026,A79)</x:f>
        <x:v>2022</x:v>
      </x:c>
      <x:c r="I79" s="14" t="n">
        <x:f>MAXIFS(Evidence!$H$2:$H$1026,Evidence!$B$2:$B$1026,A79)</x:f>
        <x:v>2024</x:v>
      </x:c>
      <x:c r="J79" s="12" t="n">
        <x:f>COUNTIF(Evidence!$B$2:$B$1026,A79)</x:f>
        <x:v>6</x:v>
      </x:c>
      <x:c r="K79" s="12" t="n">
        <x:v>3</x:v>
      </x:c>
      <x:c r="L79" s="12" t="n">
        <x:v>4</x:v>
      </x:c>
      <x:c r="M79" s="12" t="n">
        <x:v>2</x:v>
      </x:c>
      <x:c r="N79" s="12" t="n">
        <x:v>3</x:v>
      </x:c>
      <x:c r="O79" s="12" t="str">
        <x:v>Recurring</x:v>
      </x:c>
      <x:c r="P79" s="12" t="n">
        <x:f>ROUND(MIN(100,(J79*1.5)+(K79*8)+(L79*4)+(M79*3)+((I79-H79+1)*3)),0)</x:f>
        <x:v>64</x:v>
      </x:c>
      <x:c r="Q79" s="12" t="str">
        <x:v>No</x:v>
      </x:c>
      <x:c r="R79" s="12" t="str"/>
      <x:c r="S79" s="12" t="str"/>
      <x:c r="T79" s="12" t="str"/>
      <x:c r="U79" s="12" t="str">
        <x:v>AI-assisted draft cluster; human review required.</x:v>
      </x:c>
    </x:row>
    <x:row r="80">
      <x:c r="A80" s="12" t="str">
        <x:v>NEED-0079</x:v>
      </x:c>
      <x:c r="B80" s="12" t="str">
        <x:v>Earthdata users need should gradually transition away from Gamma on non-demand processing capabilities, particularly for the NISAR products, to support NASA’s Open Science initiative.</x:v>
      </x:c>
      <x:c r="C80" s="12" t="str">
        <x:v>The UWG suggests that ASF should gradually transition away from Gamma on non-demand processing capabilities, particularly for the NISAR products, to support NASA’s Open Science ini</x:v>
      </x:c>
      <x:c r="D80" s="12" t="str">
        <x:v>Data Products &amp; Formats</x:v>
      </x:c>
      <x:c r="E80" s="12" t="str"/>
      <x:c r="F80" s="12" t="str">
        <x:v>Candidate</x:v>
      </x:c>
      <x:c r="G80" s="12" t="str">
        <x:v>Unassigned</x:v>
      </x:c>
      <x:c r="H80" s="14" t="n">
        <x:f>MINIFS(Evidence!$H$2:$H$1026,Evidence!$B$2:$B$1026,A80)</x:f>
        <x:v>2021</x:v>
      </x:c>
      <x:c r="I80" s="14" t="n">
        <x:f>MAXIFS(Evidence!$H$2:$H$1026,Evidence!$B$2:$B$1026,A80)</x:f>
        <x:v>2023</x:v>
      </x:c>
      <x:c r="J80" s="12" t="n">
        <x:f>COUNTIF(Evidence!$B$2:$B$1026,A80)</x:f>
        <x:v>5</x:v>
      </x:c>
      <x:c r="K80" s="12" t="n">
        <x:v>3</x:v>
      </x:c>
      <x:c r="L80" s="12" t="n">
        <x:v>3</x:v>
      </x:c>
      <x:c r="M80" s="12" t="n">
        <x:v>3</x:v>
      </x:c>
      <x:c r="N80" s="12" t="n">
        <x:v>4</x:v>
      </x:c>
      <x:c r="O80" s="12" t="str">
        <x:v>Recurring</x:v>
      </x:c>
      <x:c r="P80" s="12" t="n">
        <x:f>ROUND(MIN(100,(J80*1.5)+(K80*8)+(L80*4)+(M80*3)+((I80-H80+1)*3)),0)</x:f>
        <x:v>62</x:v>
      </x:c>
      <x:c r="Q80" s="12" t="str">
        <x:v>No</x:v>
      </x:c>
      <x:c r="R80" s="12" t="str"/>
      <x:c r="S80" s="12" t="str"/>
      <x:c r="T80" s="12" t="str"/>
      <x:c r="U80" s="12" t="str">
        <x:v>AI-assisted draft cluster; human review required.</x:v>
      </x:c>
    </x:row>
    <x:row r="81">
      <x:c r="A81" s="12" t="str">
        <x:v>NEED-0080</x:v>
      </x:c>
      <x:c r="B81" s="12" t="str">
        <x:v>Earthdata users need lP DAAC UWG suggests that the LP DAAC continues to incorporate new datasets into AppEEARS, including products from EMIT, Landsat, and VIIRS Version 2.</x:v>
      </x:c>
      <x:c r="C81" s="12" t="str">
        <x:v>The LP DAAC UWG suggests that the LP DAAC continues to incorporate new datasets into AppEEARS, including products from EMIT, Landsat, and VIIRS Version 2.</x:v>
      </x:c>
      <x:c r="D81" s="12" t="str">
        <x:v>Data Products &amp; Formats</x:v>
      </x:c>
      <x:c r="E81" s="12" t="str"/>
      <x:c r="F81" s="12" t="str">
        <x:v>Candidate</x:v>
      </x:c>
      <x:c r="G81" s="12" t="str">
        <x:v>Unassigned</x:v>
      </x:c>
      <x:c r="H81" s="14" t="n">
        <x:f>MINIFS(Evidence!$H$2:$H$1026,Evidence!$B$2:$B$1026,A81)</x:f>
        <x:v>2021</x:v>
      </x:c>
      <x:c r="I81" s="14" t="n">
        <x:f>MAXIFS(Evidence!$H$2:$H$1026,Evidence!$B$2:$B$1026,A81)</x:f>
        <x:v>2024</x:v>
      </x:c>
      <x:c r="J81" s="12" t="n">
        <x:f>COUNTIF(Evidence!$B$2:$B$1026,A81)</x:f>
        <x:v>10</x:v>
      </x:c>
      <x:c r="K81" s="12" t="n">
        <x:v>3</x:v>
      </x:c>
      <x:c r="L81" s="12" t="n">
        <x:v>4</x:v>
      </x:c>
      <x:c r="M81" s="12" t="n">
        <x:v>3</x:v>
      </x:c>
      <x:c r="N81" s="12" t="n">
        <x:v>5</x:v>
      </x:c>
      <x:c r="O81" s="12" t="str">
        <x:v>Recurring</x:v>
      </x:c>
      <x:c r="P81" s="12" t="n">
        <x:f>ROUND(MIN(100,(J81*1.5)+(K81*8)+(L81*4)+(M81*3)+((I81-H81+1)*3)),0)</x:f>
        <x:v>76</x:v>
      </x:c>
      <x:c r="Q81" s="12" t="str">
        <x:v>No</x:v>
      </x:c>
      <x:c r="R81" s="12" t="str"/>
      <x:c r="S81" s="12" t="str"/>
      <x:c r="T81" s="12" t="str"/>
      <x:c r="U81" s="12" t="str">
        <x:v>AI-assisted draft cluster; human review required.</x:v>
      </x:c>
    </x:row>
    <x:row r="82">
      <x:c r="A82" s="12" t="str">
        <x:v>NEED-0081</x:v>
      </x:c>
      <x:c r="B82" s="12" t="str">
        <x:v>Earthdata users need hands-on testing of Earthdata Pub found the functions and workflows to be largely intuitive and the questions asked to gather data product information to be mostly clear and easy to answer.</x:v>
      </x:c>
      <x:c r="C82" s="12" t="str">
        <x:v>UWG hands-on testing of Earthdata Pub found the functions and workflows to be largely intuitive and the questions asked to gather data product information to be mostly clear and ea</x:v>
      </x:c>
      <x:c r="D82" s="12" t="str">
        <x:v>Data Products &amp; Formats</x:v>
      </x:c>
      <x:c r="E82" s="12" t="str"/>
      <x:c r="F82" s="12" t="str">
        <x:v>Candidate</x:v>
      </x:c>
      <x:c r="G82" s="12" t="str">
        <x:v>Unassigned</x:v>
      </x:c>
      <x:c r="H82" s="14" t="n">
        <x:f>MINIFS(Evidence!$H$2:$H$1026,Evidence!$B$2:$B$1026,A82)</x:f>
        <x:v>2021</x:v>
      </x:c>
      <x:c r="I82" s="14" t="n">
        <x:f>MAXIFS(Evidence!$H$2:$H$1026,Evidence!$B$2:$B$1026,A82)</x:f>
        <x:v>2024</x:v>
      </x:c>
      <x:c r="J82" s="12" t="n">
        <x:f>COUNTIF(Evidence!$B$2:$B$1026,A82)</x:f>
        <x:v>5</x:v>
      </x:c>
      <x:c r="K82" s="12" t="n">
        <x:v>4</x:v>
      </x:c>
      <x:c r="L82" s="12" t="n">
        <x:v>4</x:v>
      </x:c>
      <x:c r="M82" s="12" t="n">
        <x:v>2</x:v>
      </x:c>
      <x:c r="N82" s="12" t="n">
        <x:v>1</x:v>
      </x:c>
      <x:c r="O82" s="12" t="str">
        <x:v>Recurring</x:v>
      </x:c>
      <x:c r="P82" s="12" t="n">
        <x:f>ROUND(MIN(100,(J82*1.5)+(K82*8)+(L82*4)+(M82*3)+((I82-H82+1)*3)),0)</x:f>
        <x:v>74</x:v>
      </x:c>
      <x:c r="Q82" s="12" t="str">
        <x:v>No</x:v>
      </x:c>
      <x:c r="R82" s="12" t="str"/>
      <x:c r="S82" s="12" t="str"/>
      <x:c r="T82" s="12" t="str"/>
      <x:c r="U82" s="12" t="str">
        <x:v>AI-assisted draft cluster; human review required.</x:v>
      </x:c>
    </x:row>
    <x:row r="83">
      <x:c r="A83" s="12" t="str">
        <x:v>NEED-0082</x:v>
      </x:c>
      <x:c r="B83" s="12" t="str">
        <x:v>Earthdata users need lP DAAC UWG is supportive of the NASA Earthdata GIS Team (EGIST) integrating ASTER GDEM and OPERA DIST-ALERT products into the platform.</x:v>
      </x:c>
      <x:c r="C83" s="12" t="str">
        <x:v>The LP DAAC UWG is supportive of the NASA Earthdata GIS Team (EGIST) integrating ASTER GDEM and OPERA DIST-ALERT products into the platform.</x:v>
      </x:c>
      <x:c r="D83" s="12" t="str">
        <x:v>Data Products &amp; Formats</x:v>
      </x:c>
      <x:c r="E83" s="12" t="str"/>
      <x:c r="F83" s="12" t="str">
        <x:v>Candidate</x:v>
      </x:c>
      <x:c r="G83" s="12" t="str">
        <x:v>Unassigned</x:v>
      </x:c>
      <x:c r="H83" s="14" t="n">
        <x:f>MINIFS(Evidence!$H$2:$H$1026,Evidence!$B$2:$B$1026,A83)</x:f>
        <x:v>2021</x:v>
      </x:c>
      <x:c r="I83" s="14" t="n">
        <x:f>MAXIFS(Evidence!$H$2:$H$1026,Evidence!$B$2:$B$1026,A83)</x:f>
        <x:v>2024</x:v>
      </x:c>
      <x:c r="J83" s="12" t="n">
        <x:f>COUNTIF(Evidence!$B$2:$B$1026,A83)</x:f>
        <x:v>6</x:v>
      </x:c>
      <x:c r="K83" s="12" t="n">
        <x:v>3</x:v>
      </x:c>
      <x:c r="L83" s="12" t="n">
        <x:v>3</x:v>
      </x:c>
      <x:c r="M83" s="12" t="n">
        <x:v>3</x:v>
      </x:c>
      <x:c r="N83" s="12" t="n">
        <x:v>4</x:v>
      </x:c>
      <x:c r="O83" s="12" t="str">
        <x:v>Recurring</x:v>
      </x:c>
      <x:c r="P83" s="12" t="n">
        <x:f>ROUND(MIN(100,(J83*1.5)+(K83*8)+(L83*4)+(M83*3)+((I83-H83+1)*3)),0)</x:f>
        <x:v>66</x:v>
      </x:c>
      <x:c r="Q83" s="12" t="str">
        <x:v>No</x:v>
      </x:c>
      <x:c r="R83" s="12" t="str"/>
      <x:c r="S83" s="12" t="str"/>
      <x:c r="T83" s="12" t="str"/>
      <x:c r="U83" s="12" t="str">
        <x:v>AI-assisted draft cluster; human review required.</x:v>
      </x:c>
    </x:row>
    <x:row r="84">
      <x:c r="A84" s="12" t="str">
        <x:v>NEED-0083</x:v>
      </x:c>
      <x:c r="B84" s="12" t="str">
        <x:v>Earthdata users need of users and availability of strengths/weakness information (e.g., new data has less scientific community assessment).</x:v>
      </x:c>
      <x:c r="C84" s="12" t="str">
        <x:v>Number of users and availability of strengths/weakness information (e.g., new data has less scientific community assessment).</x:v>
      </x:c>
      <x:c r="D84" s="12" t="str">
        <x:v>Data Products &amp; Formats</x:v>
      </x:c>
      <x:c r="E84" s="12" t="str"/>
      <x:c r="F84" s="12" t="str">
        <x:v>Candidate</x:v>
      </x:c>
      <x:c r="G84" s="12" t="str">
        <x:v>Unassigned</x:v>
      </x:c>
      <x:c r="H84" s="14" t="n">
        <x:f>MINIFS(Evidence!$H$2:$H$1026,Evidence!$B$2:$B$1026,A84)</x:f>
        <x:v>2021</x:v>
      </x:c>
      <x:c r="I84" s="14" t="n">
        <x:f>MAXIFS(Evidence!$H$2:$H$1026,Evidence!$B$2:$B$1026,A84)</x:f>
        <x:v>2024</x:v>
      </x:c>
      <x:c r="J84" s="12" t="n">
        <x:f>COUNTIF(Evidence!$B$2:$B$1026,A84)</x:f>
        <x:v>5</x:v>
      </x:c>
      <x:c r="K84" s="12" t="n">
        <x:v>3</x:v>
      </x:c>
      <x:c r="L84" s="12" t="n">
        <x:v>4</x:v>
      </x:c>
      <x:c r="M84" s="12" t="n">
        <x:v>2</x:v>
      </x:c>
      <x:c r="N84" s="12" t="n">
        <x:v>2</x:v>
      </x:c>
      <x:c r="O84" s="12" t="str">
        <x:v>Recurring</x:v>
      </x:c>
      <x:c r="P84" s="12" t="n">
        <x:f>ROUND(MIN(100,(J84*1.5)+(K84*8)+(L84*4)+(M84*3)+((I84-H84+1)*3)),0)</x:f>
        <x:v>66</x:v>
      </x:c>
      <x:c r="Q84" s="12" t="str">
        <x:v>No</x:v>
      </x:c>
      <x:c r="R84" s="12" t="str"/>
      <x:c r="S84" s="12" t="str"/>
      <x:c r="T84" s="12" t="str"/>
      <x:c r="U84" s="12" t="str">
        <x:v>AI-assisted draft cluster; human review required.</x:v>
      </x:c>
    </x:row>
    <x:row r="85">
      <x:c r="A85" s="12" t="str">
        <x:v>NEED-0084</x:v>
      </x:c>
      <x:c r="B85" s="12" t="str">
        <x:v>Earthdata users need select SEDAC datasets, assess what it would look like to perform data co-production and/or validation with interim users (e.g. academia, industry, NGO) and end users (e.g., community-based organizations, local government), and identify the funding requirements needed to do so.</x:v>
      </x:c>
      <x:c r="C85" s="12" t="str">
        <x:v>For select SEDAC datasets, assess what it would look like to perform data co-production and/or validation with interim users (e.g. academia, industry, NGO) and end users (e.g., com</x:v>
      </x:c>
      <x:c r="D85" s="12" t="str">
        <x:v>Data Products &amp; Formats</x:v>
      </x:c>
      <x:c r="E85" s="12" t="str"/>
      <x:c r="F85" s="12" t="str">
        <x:v>Candidate</x:v>
      </x:c>
      <x:c r="G85" s="12" t="str">
        <x:v>Unassigned</x:v>
      </x:c>
      <x:c r="H85" s="14" t="n">
        <x:f>MINIFS(Evidence!$H$2:$H$1026,Evidence!$B$2:$B$1026,A85)</x:f>
        <x:v>2022</x:v>
      </x:c>
      <x:c r="I85" s="14" t="n">
        <x:f>MAXIFS(Evidence!$H$2:$H$1026,Evidence!$B$2:$B$1026,A85)</x:f>
        <x:v>2024</x:v>
      </x:c>
      <x:c r="J85" s="12" t="n">
        <x:f>COUNTIF(Evidence!$B$2:$B$1026,A85)</x:f>
        <x:v>4</x:v>
      </x:c>
      <x:c r="K85" s="12" t="n">
        <x:v>3</x:v>
      </x:c>
      <x:c r="L85" s="12" t="n">
        <x:v>3</x:v>
      </x:c>
      <x:c r="M85" s="12" t="n">
        <x:v>1</x:v>
      </x:c>
      <x:c r="N85" s="12" t="n">
        <x:v>2</x:v>
      </x:c>
      <x:c r="O85" s="12" t="str">
        <x:v>Recurring</x:v>
      </x:c>
      <x:c r="P85" s="12" t="n">
        <x:f>ROUND(MIN(100,(J85*1.5)+(K85*8)+(L85*4)+(M85*3)+((I85-H85+1)*3)),0)</x:f>
        <x:v>54</x:v>
      </x:c>
      <x:c r="Q85" s="12" t="str">
        <x:v>No</x:v>
      </x:c>
      <x:c r="R85" s="12" t="str"/>
      <x:c r="S85" s="12" t="str"/>
      <x:c r="T85" s="12" t="str"/>
      <x:c r="U85" s="12" t="str">
        <x:v>AI-assisted draft cluster; human review required.</x:v>
      </x:c>
    </x:row>
    <x:row r="86">
      <x:c r="A86" s="12" t="str">
        <x:v>NEED-0085</x:v>
      </x:c>
      <x:c r="B86" s="12" t="str">
        <x:v>Earthdata users need the community for the upcoming format change to Zarr for Sentinel-1.</x:v>
      </x:c>
      <x:c r="C86" s="12" t="str">
        <x:v>Prepare the community for the upcoming format change to Zarr for Sentinel-1.</x:v>
      </x:c>
      <x:c r="D86" s="12" t="str">
        <x:v>Data Products &amp; Formats</x:v>
      </x:c>
      <x:c r="E86" s="12" t="str"/>
      <x:c r="F86" s="12" t="str">
        <x:v>Candidate</x:v>
      </x:c>
      <x:c r="G86" s="12" t="str">
        <x:v>Unassigned</x:v>
      </x:c>
      <x:c r="H86" s="14" t="n">
        <x:f>MINIFS(Evidence!$H$2:$H$1026,Evidence!$B$2:$B$1026,A86)</x:f>
        <x:v>2022</x:v>
      </x:c>
      <x:c r="I86" s="14" t="n">
        <x:f>MAXIFS(Evidence!$H$2:$H$1026,Evidence!$B$2:$B$1026,A86)</x:f>
        <x:v>2024</x:v>
      </x:c>
      <x:c r="J86" s="12" t="n">
        <x:f>COUNTIF(Evidence!$B$2:$B$1026,A86)</x:f>
        <x:v>4</x:v>
      </x:c>
      <x:c r="K86" s="12" t="n">
        <x:v>2</x:v>
      </x:c>
      <x:c r="L86" s="12" t="n">
        <x:v>3</x:v>
      </x:c>
      <x:c r="M86" s="12" t="n">
        <x:v>1</x:v>
      </x:c>
      <x:c r="N86" s="12" t="n">
        <x:v>1</x:v>
      </x:c>
      <x:c r="O86" s="12" t="str">
        <x:v>Recurring</x:v>
      </x:c>
      <x:c r="P86" s="12" t="n">
        <x:f>ROUND(MIN(100,(J86*1.5)+(K86*8)+(L86*4)+(M86*3)+((I86-H86+1)*3)),0)</x:f>
        <x:v>46</x:v>
      </x:c>
      <x:c r="Q86" s="12" t="str">
        <x:v>No</x:v>
      </x:c>
      <x:c r="R86" s="12" t="str"/>
      <x:c r="S86" s="12" t="str"/>
      <x:c r="T86" s="12" t="str"/>
      <x:c r="U86" s="12" t="str">
        <x:v>AI-assisted draft cluster; human review required.</x:v>
      </x:c>
    </x:row>
    <x:row r="87">
      <x:c r="A87" s="12" t="str">
        <x:v>NEED-0086</x:v>
      </x:c>
      <x:c r="B87" s="12" t="str">
        <x:v>Earthdata users need recommended the NISAR project be contacted to articulate the need for a Flood validated standard product.</x:v>
      </x:c>
      <x:c r="C87" s="12" t="str">
        <x:v>Miguel recommended the NISAR project be contacted to articulate the need for a Flood validated standard product.</x:v>
      </x:c>
      <x:c r="D87" s="12" t="str">
        <x:v>Data Products &amp; Formats</x:v>
      </x:c>
      <x:c r="E87" s="12" t="str"/>
      <x:c r="F87" s="12" t="str">
        <x:v>Candidate</x:v>
      </x:c>
      <x:c r="G87" s="12" t="str">
        <x:v>Unassigned</x:v>
      </x:c>
      <x:c r="H87" s="14" t="n">
        <x:f>MINIFS(Evidence!$H$2:$H$1026,Evidence!$B$2:$B$1026,A87)</x:f>
        <x:v>2021</x:v>
      </x:c>
      <x:c r="I87" s="14" t="n">
        <x:f>MAXIFS(Evidence!$H$2:$H$1026,Evidence!$B$2:$B$1026,A87)</x:f>
        <x:v>2023</x:v>
      </x:c>
      <x:c r="J87" s="12" t="n">
        <x:f>COUNTIF(Evidence!$B$2:$B$1026,A87)</x:f>
        <x:v>6</x:v>
      </x:c>
      <x:c r="K87" s="12" t="n">
        <x:v>2</x:v>
      </x:c>
      <x:c r="L87" s="12" t="n">
        <x:v>1</x:v>
      </x:c>
      <x:c r="M87" s="12" t="n">
        <x:v>3</x:v>
      </x:c>
      <x:c r="N87" s="12" t="n">
        <x:v>3</x:v>
      </x:c>
      <x:c r="O87" s="12" t="str">
        <x:v>Recurring</x:v>
      </x:c>
      <x:c r="P87" s="12" t="n">
        <x:f>ROUND(MIN(100,(J87*1.5)+(K87*8)+(L87*4)+(M87*3)+((I87-H87+1)*3)),0)</x:f>
        <x:v>47</x:v>
      </x:c>
      <x:c r="Q87" s="12" t="str">
        <x:v>No</x:v>
      </x:c>
      <x:c r="R87" s="12" t="str"/>
      <x:c r="S87" s="12" t="str"/>
      <x:c r="T87" s="12" t="str"/>
      <x:c r="U87" s="12" t="str">
        <x:v>AI-assisted draft cluster; human review required.</x:v>
      </x:c>
    </x:row>
    <x:row r="88">
      <x:c r="A88" s="12" t="str">
        <x:v>NEED-0087</x:v>
      </x:c>
      <x:c r="B88" s="12" t="str">
        <x:v>Earthdata users need with Earth Action’s Collaborative Network for Valuing Earth Information (CONVEI) to develop better metrics to evaluate impact.</x:v>
      </x:c>
      <x:c r="C88" s="12" t="str">
        <x:v>Connect with Earth Action’s Collaborative Network for Valuing Earth Information (CONVEI) to develop better metrics to evaluate impact.</x:v>
      </x:c>
      <x:c r="D88" s="12" t="str">
        <x:v>Data Products &amp; Formats</x:v>
      </x:c>
      <x:c r="E88" s="12" t="str"/>
      <x:c r="F88" s="12" t="str">
        <x:v>Candidate</x:v>
      </x:c>
      <x:c r="G88" s="12" t="str">
        <x:v>Unassigned</x:v>
      </x:c>
      <x:c r="H88" s="14" t="n">
        <x:f>MINIFS(Evidence!$H$2:$H$1026,Evidence!$B$2:$B$1026,A88)</x:f>
        <x:v>2021</x:v>
      </x:c>
      <x:c r="I88" s="14" t="n">
        <x:f>MAXIFS(Evidence!$H$2:$H$1026,Evidence!$B$2:$B$1026,A88)</x:f>
        <x:v>2024</x:v>
      </x:c>
      <x:c r="J88" s="12" t="n">
        <x:f>COUNTIF(Evidence!$B$2:$B$1026,A88)</x:f>
        <x:v>2</x:v>
      </x:c>
      <x:c r="K88" s="12" t="n">
        <x:v>2</x:v>
      </x:c>
      <x:c r="L88" s="12" t="n">
        <x:v>2</x:v>
      </x:c>
      <x:c r="M88" s="12" t="n">
        <x:v>2</x:v>
      </x:c>
      <x:c r="N88" s="12" t="n">
        <x:v>2</x:v>
      </x:c>
      <x:c r="O88" s="12" t="str">
        <x:v>Recurring</x:v>
      </x:c>
      <x:c r="P88" s="12" t="n">
        <x:f>ROUND(MIN(100,(J88*1.5)+(K88*8)+(L88*4)+(M88*3)+((I88-H88+1)*3)),0)</x:f>
        <x:v>45</x:v>
      </x:c>
      <x:c r="Q88" s="12" t="str">
        <x:v>No</x:v>
      </x:c>
      <x:c r="R88" s="12" t="str"/>
      <x:c r="S88" s="12" t="str"/>
      <x:c r="T88" s="12" t="str"/>
      <x:c r="U88" s="12" t="str">
        <x:v>AI-assisted draft cluster; human review required.</x:v>
      </x:c>
    </x:row>
    <x:row r="89">
      <x:c r="A89" s="12" t="str">
        <x:v>NEED-0088</x:v>
      </x:c>
      <x:c r="B89" s="12" t="str">
        <x:v>Earthdata users need [UWG22-S02] Clarify what "provisional" means for preprint datasets and provide information to help users determine appropriate use.</x:v>
      </x:c>
      <x:c r="C89" s="12" t="str">
        <x:v>[UWG22-S02] Clarify what "provisional" means for preprint datasets and provide information to help users determine appropriate use.</x:v>
      </x:c>
      <x:c r="D89" s="12" t="str">
        <x:v>Data Products &amp; Formats</x:v>
      </x:c>
      <x:c r="E89" s="12" t="str"/>
      <x:c r="F89" s="12" t="str">
        <x:v>Candidate</x:v>
      </x:c>
      <x:c r="G89" s="12" t="str">
        <x:v>Unassigned</x:v>
      </x:c>
      <x:c r="H89" s="14" t="n">
        <x:f>MINIFS(Evidence!$H$2:$H$1026,Evidence!$B$2:$B$1026,A89)</x:f>
        <x:v>2022</x:v>
      </x:c>
      <x:c r="I89" s="14" t="n">
        <x:f>MAXIFS(Evidence!$H$2:$H$1026,Evidence!$B$2:$B$1026,A89)</x:f>
        <x:v>2023</x:v>
      </x:c>
      <x:c r="J89" s="12" t="n">
        <x:f>COUNTIF(Evidence!$B$2:$B$1026,A89)</x:f>
        <x:v>3</x:v>
      </x:c>
      <x:c r="K89" s="12" t="n">
        <x:v>2</x:v>
      </x:c>
      <x:c r="L89" s="12" t="n">
        <x:v>3</x:v>
      </x:c>
      <x:c r="M89" s="12" t="n">
        <x:v>2</x:v>
      </x:c>
      <x:c r="N89" s="12" t="n">
        <x:v>1</x:v>
      </x:c>
      <x:c r="O89" s="12" t="str">
        <x:v>Recurring</x:v>
      </x:c>
      <x:c r="P89" s="12" t="n">
        <x:f>ROUND(MIN(100,(J89*1.5)+(K89*8)+(L89*4)+(M89*3)+((I89-H89+1)*3)),0)</x:f>
        <x:v>45</x:v>
      </x:c>
      <x:c r="Q89" s="12" t="str">
        <x:v>No</x:v>
      </x:c>
      <x:c r="R89" s="12" t="str"/>
      <x:c r="S89" s="12" t="str"/>
      <x:c r="T89" s="12" t="str"/>
      <x:c r="U89" s="12" t="str">
        <x:v>AI-assisted draft cluster; human review required.</x:v>
      </x:c>
    </x:row>
    <x:row r="90">
      <x:c r="A90" s="12" t="str">
        <x:v>NEED-0089</x:v>
      </x:c>
      <x:c r="B90" s="12" t="str">
        <x:v>Earthdata users need seftor to put together a LANCE enhancement request to continue the Aerosol Index (AI) product, generated from the OMPS sensor, for NOAA-20/21. This should include flow charts on how AI triggers more in-depth analysis and be submitted to the LANCE managers prior to the next LANCE UWG meeting.</x:v>
      </x:c>
      <x:c r="C90" s="12" t="str">
        <x:v>Colin Seftor to put together a LANCE enhancement request to continue the Aerosol Index (AI) product, generated from the OMPS sensor, for NOAA-20/21. This should include flow charts</x:v>
      </x:c>
      <x:c r="D90" s="12" t="str">
        <x:v>Data Products &amp; Formats</x:v>
      </x:c>
      <x:c r="E90" s="12" t="str"/>
      <x:c r="F90" s="12" t="str">
        <x:v>Candidate</x:v>
      </x:c>
      <x:c r="G90" s="12" t="str">
        <x:v>Unassigned</x:v>
      </x:c>
      <x:c r="H90" s="14" t="n">
        <x:f>MINIFS(Evidence!$H$2:$H$1026,Evidence!$B$2:$B$1026,A90)</x:f>
        <x:v>2022</x:v>
      </x:c>
      <x:c r="I90" s="14" t="n">
        <x:f>MAXIFS(Evidence!$H$2:$H$1026,Evidence!$B$2:$B$1026,A90)</x:f>
        <x:v>2023</x:v>
      </x:c>
      <x:c r="J90" s="12" t="n">
        <x:f>COUNTIF(Evidence!$B$2:$B$1026,A90)</x:f>
        <x:v>3</x:v>
      </x:c>
      <x:c r="K90" s="12" t="n">
        <x:v>2</x:v>
      </x:c>
      <x:c r="L90" s="12" t="n">
        <x:v>2</x:v>
      </x:c>
      <x:c r="M90" s="12" t="n">
        <x:v>3</x:v>
      </x:c>
      <x:c r="N90" s="12" t="n">
        <x:v>2</x:v>
      </x:c>
      <x:c r="O90" s="12" t="str">
        <x:v>Recurring</x:v>
      </x:c>
      <x:c r="P90" s="12" t="n">
        <x:f>ROUND(MIN(100,(J90*1.5)+(K90*8)+(L90*4)+(M90*3)+((I90-H90+1)*3)),0)</x:f>
        <x:v>44</x:v>
      </x:c>
      <x:c r="Q90" s="12" t="str">
        <x:v>No</x:v>
      </x:c>
      <x:c r="R90" s="12" t="str"/>
      <x:c r="S90" s="12" t="str"/>
      <x:c r="T90" s="12" t="str"/>
      <x:c r="U90" s="12" t="str">
        <x:v>AI-assisted draft cluster; human review required.</x:v>
      </x:c>
    </x:row>
    <x:row r="91">
      <x:c r="A91" s="12" t="str">
        <x:v>NEED-0090</x:v>
      </x:c>
      <x:c r="B91" s="12" t="str">
        <x:v>Earthdata users need will domain redirects work after ECS is decommissioned? Will programmatic requests to ECS get an informative error message?.</x:v>
      </x:c>
      <x:c r="C91" s="12" t="str">
        <x:v>How will domain redirects work after ECS is decommissioned? Will programmatic requests to ECS get an informative error message?</x:v>
      </x:c>
      <x:c r="D91" s="12" t="str">
        <x:v>Data Products &amp; Formats</x:v>
      </x:c>
      <x:c r="E91" s="12" t="str"/>
      <x:c r="F91" s="12" t="str">
        <x:v>Candidate</x:v>
      </x:c>
      <x:c r="G91" s="12" t="str">
        <x:v>Unassigned</x:v>
      </x:c>
      <x:c r="H91" s="14" t="n">
        <x:f>MINIFS(Evidence!$H$2:$H$1026,Evidence!$B$2:$B$1026,A91)</x:f>
        <x:v>2024</x:v>
      </x:c>
      <x:c r="I91" s="14" t="n">
        <x:f>MAXIFS(Evidence!$H$2:$H$1026,Evidence!$B$2:$B$1026,A91)</x:f>
        <x:v>2024</x:v>
      </x:c>
      <x:c r="J91" s="12" t="n">
        <x:f>COUNTIF(Evidence!$B$2:$B$1026,A91)</x:f>
        <x:v>1</x:v>
      </x:c>
      <x:c r="K91" s="12" t="n">
        <x:v>1</x:v>
      </x:c>
      <x:c r="L91" s="12" t="n">
        <x:v>1</x:v>
      </x:c>
      <x:c r="M91" s="12" t="n">
        <x:v>2</x:v>
      </x:c>
      <x:c r="N91" s="12" t="n">
        <x:v>2</x:v>
      </x:c>
      <x:c r="O91" s="12" t="str">
        <x:v>Single-year signal</x:v>
      </x:c>
      <x:c r="P91" s="12" t="n">
        <x:f>ROUND(MIN(100,(J91*1.5)+(K91*8)+(L91*4)+(M91*3)+((I91-H91+1)*3)),0)</x:f>
        <x:v>23</x:v>
      </x:c>
      <x:c r="Q91" s="12" t="str">
        <x:v>No</x:v>
      </x:c>
      <x:c r="R91" s="12" t="str"/>
      <x:c r="S91" s="12" t="str"/>
      <x:c r="T91" s="12" t="str"/>
      <x:c r="U91" s="12" t="str">
        <x:v>AI-assisted draft cluster; human review required.</x:v>
      </x:c>
    </x:row>
    <x:row r="92">
      <x:c r="A92" s="12" t="str">
        <x:v>NEED-0091</x:v>
      </x:c>
      <x:c r="B92" s="12" t="str">
        <x:v>Earthdata users need [UWG23-S10] Improve how data-related software, workflows, provenance, and maturity information are preserved and presented, to increase the transparency of science data creation and ensure proper data use. (4 votes).</x:v>
      </x:c>
      <x:c r="C92" s="12" t="str">
        <x:v>[UWG23-S10] Improve how data-related software, workflows, provenance, and maturity information are preserved and presented, to increase the transparency of science data creation an</x:v>
      </x:c>
      <x:c r="D92" s="12" t="str">
        <x:v>Data Products &amp; Formats</x:v>
      </x:c>
      <x:c r="E92" s="12" t="str"/>
      <x:c r="F92" s="12" t="str">
        <x:v>Candidate</x:v>
      </x:c>
      <x:c r="G92" s="12" t="str">
        <x:v>Unassigned</x:v>
      </x:c>
      <x:c r="H92" s="14" t="n">
        <x:f>MINIFS(Evidence!$H$2:$H$1026,Evidence!$B$2:$B$1026,A92)</x:f>
        <x:v>2023</x:v>
      </x:c>
      <x:c r="I92" s="14" t="n">
        <x:f>MAXIFS(Evidence!$H$2:$H$1026,Evidence!$B$2:$B$1026,A92)</x:f>
        <x:v>2024</x:v>
      </x:c>
      <x:c r="J92" s="12" t="n">
        <x:f>COUNTIF(Evidence!$B$2:$B$1026,A92)</x:f>
        <x:v>4</x:v>
      </x:c>
      <x:c r="K92" s="12" t="n">
        <x:v>2</x:v>
      </x:c>
      <x:c r="L92" s="12" t="n">
        <x:v>2</x:v>
      </x:c>
      <x:c r="M92" s="12" t="n">
        <x:v>3</x:v>
      </x:c>
      <x:c r="N92" s="12" t="n">
        <x:v>3</x:v>
      </x:c>
      <x:c r="O92" s="12" t="str">
        <x:v>Recurring</x:v>
      </x:c>
      <x:c r="P92" s="12" t="n">
        <x:f>ROUND(MIN(100,(J92*1.5)+(K92*8)+(L92*4)+(M92*3)+((I92-H92+1)*3)),0)</x:f>
        <x:v>45</x:v>
      </x:c>
      <x:c r="Q92" s="12" t="str">
        <x:v>No</x:v>
      </x:c>
      <x:c r="R92" s="12" t="str"/>
      <x:c r="S92" s="12" t="str"/>
      <x:c r="T92" s="12" t="str"/>
      <x:c r="U92" s="12" t="str">
        <x:v>AI-assisted draft cluster; human review required.</x:v>
      </x:c>
    </x:row>
    <x:row r="93">
      <x:c r="A93" s="12" t="str">
        <x:v>NEED-0092</x:v>
      </x:c>
      <x:c r="B93" s="12" t="str">
        <x:v>Earthdata users need should continue to explore a path to generate a VIIRS NRT Burned Area product.</x:v>
      </x:c>
      <x:c r="C93" s="12" t="str">
        <x:v>FIRMS should continue to explore a path to generate a VIIRS NRT Burned Area product.</x:v>
      </x:c>
      <x:c r="D93" s="12" t="str">
        <x:v>Data Products &amp; Formats</x:v>
      </x:c>
      <x:c r="E93" s="12" t="str"/>
      <x:c r="F93" s="12" t="str">
        <x:v>Candidate</x:v>
      </x:c>
      <x:c r="G93" s="12" t="str">
        <x:v>Unassigned</x:v>
      </x:c>
      <x:c r="H93" s="14" t="n">
        <x:f>MINIFS(Evidence!$H$2:$H$1026,Evidence!$B$2:$B$1026,A93)</x:f>
        <x:v>2021</x:v>
      </x:c>
      <x:c r="I93" s="14" t="n">
        <x:f>MAXIFS(Evidence!$H$2:$H$1026,Evidence!$B$2:$B$1026,A93)</x:f>
        <x:v>2023</x:v>
      </x:c>
      <x:c r="J93" s="12" t="n">
        <x:f>COUNTIF(Evidence!$B$2:$B$1026,A93)</x:f>
        <x:v>4</x:v>
      </x:c>
      <x:c r="K93" s="12" t="n">
        <x:v>3</x:v>
      </x:c>
      <x:c r="L93" s="12" t="n">
        <x:v>2</x:v>
      </x:c>
      <x:c r="M93" s="12" t="n">
        <x:v>2</x:v>
      </x:c>
      <x:c r="N93" s="12" t="n">
        <x:v>2</x:v>
      </x:c>
      <x:c r="O93" s="12" t="str">
        <x:v>Recurring</x:v>
      </x:c>
      <x:c r="P93" s="12" t="n">
        <x:f>ROUND(MIN(100,(J93*1.5)+(K93*8)+(L93*4)+(M93*3)+((I93-H93+1)*3)),0)</x:f>
        <x:v>53</x:v>
      </x:c>
      <x:c r="Q93" s="12" t="str">
        <x:v>No</x:v>
      </x:c>
      <x:c r="R93" s="12" t="str"/>
      <x:c r="S93" s="12" t="str"/>
      <x:c r="T93" s="12" t="str"/>
      <x:c r="U93" s="12" t="str">
        <x:v>AI-assisted draft cluster; human review required.</x:v>
      </x:c>
    </x:row>
    <x:row r="94">
      <x:c r="A94" s="12" t="str">
        <x:v>NEED-0093</x:v>
      </x:c>
      <x:c r="B94" s="12" t="str">
        <x:v>Earthdata users need [UWG23-S08] Enhance the ORNL DAAC’s expertise and leadership on data sovereignty, data equity, and indigenous data governance. (5 votes).</x:v>
      </x:c>
      <x:c r="C94" s="12" t="str">
        <x:v>[UWG23-S08] Enhance the ORNL DAAC’s expertise and leadership on data sovereignty, data equity, and indigenous data governance. (5 votes)</x:v>
      </x:c>
      <x:c r="D94" s="12" t="str">
        <x:v>Equity &amp; Accessibility</x:v>
      </x:c>
      <x:c r="E94" s="12" t="str"/>
      <x:c r="F94" s="12" t="str">
        <x:v>Candidate</x:v>
      </x:c>
      <x:c r="G94" s="12" t="str">
        <x:v>Unassigned</x:v>
      </x:c>
      <x:c r="H94" s="14" t="n">
        <x:f>MINIFS(Evidence!$H$2:$H$1026,Evidence!$B$2:$B$1026,A94)</x:f>
        <x:v>2023</x:v>
      </x:c>
      <x:c r="I94" s="14" t="n">
        <x:f>MAXIFS(Evidence!$H$2:$H$1026,Evidence!$B$2:$B$1026,A94)</x:f>
        <x:v>2023</x:v>
      </x:c>
      <x:c r="J94" s="12" t="n">
        <x:f>COUNTIF(Evidence!$B$2:$B$1026,A94)</x:f>
        <x:v>2</x:v>
      </x:c>
      <x:c r="K94" s="12" t="n">
        <x:v>1</x:v>
      </x:c>
      <x:c r="L94" s="12" t="n">
        <x:v>2</x:v>
      </x:c>
      <x:c r="M94" s="12" t="n">
        <x:v>2</x:v>
      </x:c>
      <x:c r="N94" s="12" t="n">
        <x:v>1</x:v>
      </x:c>
      <x:c r="O94" s="12" t="str">
        <x:v>Single-year signal</x:v>
      </x:c>
      <x:c r="P94" s="12" t="n">
        <x:f>ROUND(MIN(100,(J94*1.5)+(K94*8)+(L94*4)+(M94*3)+((I94-H94+1)*3)),0)</x:f>
        <x:v>28</x:v>
      </x:c>
      <x:c r="Q94" s="12" t="str">
        <x:v>No</x:v>
      </x:c>
      <x:c r="R94" s="12" t="str"/>
      <x:c r="S94" s="12" t="str"/>
      <x:c r="T94" s="12" t="str"/>
      <x:c r="U94" s="12" t="str">
        <x:v>AI-assisted draft cluster; human review required.</x:v>
      </x:c>
    </x:row>
    <x:row r="95">
      <x:c r="A95" s="12" t="str">
        <x:v>NEED-0094</x:v>
      </x:c>
      <x:c r="B95" s="12" t="str">
        <x:v>Earthdata users need are they located, and the relative make up of international vs domestic users?.</x:v>
      </x:c>
      <x:c r="C95" s="12" t="str">
        <x:v>Where are they located, and the relative make up of international vs domestic users?</x:v>
      </x:c>
      <x:c r="D95" s="12" t="str">
        <x:v>Equity &amp; Accessibility</x:v>
      </x:c>
      <x:c r="E95" s="12" t="str"/>
      <x:c r="F95" s="12" t="str">
        <x:v>Candidate</x:v>
      </x:c>
      <x:c r="G95" s="12" t="str">
        <x:v>Unassigned</x:v>
      </x:c>
      <x:c r="H95" s="14" t="n">
        <x:f>MINIFS(Evidence!$H$2:$H$1026,Evidence!$B$2:$B$1026,A95)</x:f>
        <x:v>2022</x:v>
      </x:c>
      <x:c r="I95" s="14" t="n">
        <x:f>MAXIFS(Evidence!$H$2:$H$1026,Evidence!$B$2:$B$1026,A95)</x:f>
        <x:v>2022</x:v>
      </x:c>
      <x:c r="J95" s="12" t="n">
        <x:f>COUNTIF(Evidence!$B$2:$B$1026,A95)</x:f>
        <x:v>1</x:v>
      </x:c>
      <x:c r="K95" s="12" t="n">
        <x:v>1</x:v>
      </x:c>
      <x:c r="L95" s="12" t="n">
        <x:v>1</x:v>
      </x:c>
      <x:c r="M95" s="12" t="n">
        <x:v>1</x:v>
      </x:c>
      <x:c r="N95" s="12" t="n">
        <x:v>1</x:v>
      </x:c>
      <x:c r="O95" s="12" t="str">
        <x:v>Single-year signal</x:v>
      </x:c>
      <x:c r="P95" s="12" t="n">
        <x:f>ROUND(MIN(100,(J95*1.5)+(K95*8)+(L95*4)+(M95*3)+((I95-H95+1)*3)),0)</x:f>
        <x:v>20</x:v>
      </x:c>
      <x:c r="Q95" s="12" t="str">
        <x:v>No</x:v>
      </x:c>
      <x:c r="R95" s="12" t="str"/>
      <x:c r="S95" s="12" t="str"/>
      <x:c r="T95" s="12" t="str"/>
      <x:c r="U95" s="12" t="str">
        <x:v>AI-assisted draft cluster; human review required.</x:v>
      </x:c>
    </x:row>
    <x:row r="96">
      <x:c r="A96" s="12" t="str">
        <x:v>NEED-0095</x:v>
      </x:c>
      <x:c r="B96" s="12" t="str">
        <x:v>Earthdata users need from underserved and underrepresented communities.</x:v>
      </x:c>
      <x:c r="C96" s="12" t="str">
        <x:v>Representatives from underserved and underrepresented communities.</x:v>
      </x:c>
      <x:c r="D96" s="12" t="str">
        <x:v>Equity &amp; Accessibility</x:v>
      </x:c>
      <x:c r="E96" s="12" t="str"/>
      <x:c r="F96" s="12" t="str">
        <x:v>Candidate</x:v>
      </x:c>
      <x:c r="G96" s="12" t="str">
        <x:v>Unassigned</x:v>
      </x:c>
      <x:c r="H96" s="14" t="n">
        <x:f>MINIFS(Evidence!$H$2:$H$1026,Evidence!$B$2:$B$1026,A96)</x:f>
        <x:v>2022</x:v>
      </x:c>
      <x:c r="I96" s="14" t="n">
        <x:f>MAXIFS(Evidence!$H$2:$H$1026,Evidence!$B$2:$B$1026,A96)</x:f>
        <x:v>2023</x:v>
      </x:c>
      <x:c r="J96" s="12" t="n">
        <x:f>COUNTIF(Evidence!$B$2:$B$1026,A96)</x:f>
        <x:v>2</x:v>
      </x:c>
      <x:c r="K96" s="12" t="n">
        <x:v>2</x:v>
      </x:c>
      <x:c r="L96" s="12" t="n">
        <x:v>2</x:v>
      </x:c>
      <x:c r="M96" s="12" t="n">
        <x:v>1</x:v>
      </x:c>
      <x:c r="N96" s="12" t="n">
        <x:v>1</x:v>
      </x:c>
      <x:c r="O96" s="12" t="str">
        <x:v>Recurring</x:v>
      </x:c>
      <x:c r="P96" s="12" t="n">
        <x:f>ROUND(MIN(100,(J96*1.5)+(K96*8)+(L96*4)+(M96*3)+((I96-H96+1)*3)),0)</x:f>
        <x:v>36</x:v>
      </x:c>
      <x:c r="Q96" s="12" t="str">
        <x:v>No</x:v>
      </x:c>
      <x:c r="R96" s="12" t="str"/>
      <x:c r="S96" s="12" t="str"/>
      <x:c r="T96" s="12" t="str"/>
      <x:c r="U96" s="12" t="str">
        <x:v>AI-assisted draft cluster; human review required.</x:v>
      </x:c>
    </x:row>
    <x:row r="97">
      <x:c r="A97" s="12" t="str">
        <x:v>NEED-0096</x:v>
      </x:c>
      <x:c r="B97" s="12" t="str">
        <x:v>Earthdata users need should align its operations and development efforts accordingly to this strategy.</x:v>
      </x:c>
      <x:c r="C97" s="12" t="str">
        <x:v>GHRC should align its operations and development efforts accordingly to this strategy.</x:v>
      </x:c>
      <x:c r="D97" s="12" t="str">
        <x:v>Governance &amp; Coordination</x:v>
      </x:c>
      <x:c r="E97" s="12" t="str"/>
      <x:c r="F97" s="12" t="str">
        <x:v>Candidate</x:v>
      </x:c>
      <x:c r="G97" s="12" t="str">
        <x:v>Unassigned</x:v>
      </x:c>
      <x:c r="H97" s="14" t="n">
        <x:f>MINIFS(Evidence!$H$2:$H$1026,Evidence!$B$2:$B$1026,A97)</x:f>
        <x:v>2021</x:v>
      </x:c>
      <x:c r="I97" s="14" t="n">
        <x:f>MAXIFS(Evidence!$H$2:$H$1026,Evidence!$B$2:$B$1026,A97)</x:f>
        <x:v>2024</x:v>
      </x:c>
      <x:c r="J97" s="12" t="n">
        <x:f>COUNTIF(Evidence!$B$2:$B$1026,A97)</x:f>
        <x:v>8</x:v>
      </x:c>
      <x:c r="K97" s="12" t="n">
        <x:v>4</x:v>
      </x:c>
      <x:c r="L97" s="12" t="n">
        <x:v>3</x:v>
      </x:c>
      <x:c r="M97" s="12" t="n">
        <x:v>2</x:v>
      </x:c>
      <x:c r="N97" s="12" t="n">
        <x:v>3</x:v>
      </x:c>
      <x:c r="O97" s="12" t="str">
        <x:v>Recurring</x:v>
      </x:c>
      <x:c r="P97" s="12" t="n">
        <x:f>ROUND(MIN(100,(J97*1.5)+(K97*8)+(L97*4)+(M97*3)+((I97-H97+1)*3)),0)</x:f>
        <x:v>74</x:v>
      </x:c>
      <x:c r="Q97" s="12" t="str">
        <x:v>No</x:v>
      </x:c>
      <x:c r="R97" s="12" t="str"/>
      <x:c r="S97" s="12" t="str"/>
      <x:c r="T97" s="12" t="str"/>
      <x:c r="U97" s="12" t="str">
        <x:v>AI-assisted draft cluster; human review required.</x:v>
      </x:c>
    </x:row>
    <x:row r="98">
      <x:c r="A98" s="12" t="str">
        <x:v>NEED-0097</x:v>
      </x:c>
      <x:c r="B98" s="12" t="str">
        <x:v>Earthdata users need does it fit with LANCE? ASF should work with LANCE to coordinate.</x:v>
      </x:c>
      <x:c r="C98" s="12" t="str">
        <x:v>How does it fit with LANCE? ASF should work with LANCE to coordinate.</x:v>
      </x:c>
      <x:c r="D98" s="12" t="str">
        <x:v>Governance &amp; Coordination</x:v>
      </x:c>
      <x:c r="E98" s="12" t="str"/>
      <x:c r="F98" s="12" t="str">
        <x:v>Candidate</x:v>
      </x:c>
      <x:c r="G98" s="12" t="str">
        <x:v>Unassigned</x:v>
      </x:c>
      <x:c r="H98" s="14" t="n">
        <x:f>MINIFS(Evidence!$H$2:$H$1026,Evidence!$B$2:$B$1026,A98)</x:f>
        <x:v>2023</x:v>
      </x:c>
      <x:c r="I98" s="14" t="n">
        <x:f>MAXIFS(Evidence!$H$2:$H$1026,Evidence!$B$2:$B$1026,A98)</x:f>
        <x:v>2023</x:v>
      </x:c>
      <x:c r="J98" s="12" t="n">
        <x:f>COUNTIF(Evidence!$B$2:$B$1026,A98)</x:f>
        <x:v>2</x:v>
      </x:c>
      <x:c r="K98" s="12" t="n">
        <x:v>1</x:v>
      </x:c>
      <x:c r="L98" s="12" t="n">
        <x:v>1</x:v>
      </x:c>
      <x:c r="M98" s="12" t="n">
        <x:v>2</x:v>
      </x:c>
      <x:c r="N98" s="12" t="n">
        <x:v>2</x:v>
      </x:c>
      <x:c r="O98" s="12" t="str">
        <x:v>Single-year signal</x:v>
      </x:c>
      <x:c r="P98" s="12" t="n">
        <x:f>ROUND(MIN(100,(J98*1.5)+(K98*8)+(L98*4)+(M98*3)+((I98-H98+1)*3)),0)</x:f>
        <x:v>24</x:v>
      </x:c>
      <x:c r="Q98" s="12" t="str">
        <x:v>No</x:v>
      </x:c>
      <x:c r="R98" s="12" t="str"/>
      <x:c r="S98" s="12" t="str"/>
      <x:c r="T98" s="12" t="str"/>
      <x:c r="U98" s="12" t="str">
        <x:v>AI-assisted draft cluster; human review required.</x:v>
      </x:c>
    </x:row>
    <x:row r="99">
      <x:c r="A99" s="12" t="str">
        <x:v>NEED-0098</x:v>
      </x:c>
      <x:c r="B99" s="12" t="str">
        <x:v>Earthdata users need and HazPop: identify collaboration opportunities.</x:v>
      </x:c>
      <x:c r="C99" s="12" t="str">
        <x:v>SEDAC and HazPop: identify collaboration opportunities.</x:v>
      </x:c>
      <x:c r="D99" s="12" t="str">
        <x:v>Governance &amp; Coordination</x:v>
      </x:c>
      <x:c r="E99" s="12" t="str"/>
      <x:c r="F99" s="12" t="str">
        <x:v>Candidate</x:v>
      </x:c>
      <x:c r="G99" s="12" t="str">
        <x:v>Unassigned</x:v>
      </x:c>
      <x:c r="H99" s="14" t="n">
        <x:f>MINIFS(Evidence!$H$2:$H$1026,Evidence!$B$2:$B$1026,A99)</x:f>
        <x:v>2023</x:v>
      </x:c>
      <x:c r="I99" s="14" t="n">
        <x:f>MAXIFS(Evidence!$H$2:$H$1026,Evidence!$B$2:$B$1026,A99)</x:f>
        <x:v>2023</x:v>
      </x:c>
      <x:c r="J99" s="12" t="n">
        <x:f>COUNTIF(Evidence!$B$2:$B$1026,A99)</x:f>
        <x:v>2</x:v>
      </x:c>
      <x:c r="K99" s="12" t="n">
        <x:v>1</x:v>
      </x:c>
      <x:c r="L99" s="12" t="n">
        <x:v>2</x:v>
      </x:c>
      <x:c r="M99" s="12" t="n">
        <x:v>1</x:v>
      </x:c>
      <x:c r="N99" s="12" t="n">
        <x:v>1</x:v>
      </x:c>
      <x:c r="O99" s="12" t="str">
        <x:v>Single-year signal</x:v>
      </x:c>
      <x:c r="P99" s="12" t="n">
        <x:f>ROUND(MIN(100,(J99*1.5)+(K99*8)+(L99*4)+(M99*3)+((I99-H99+1)*3)),0)</x:f>
        <x:v>25</x:v>
      </x:c>
      <x:c r="Q99" s="12" t="str">
        <x:v>No</x:v>
      </x:c>
      <x:c r="R99" s="12" t="str"/>
      <x:c r="S99" s="12" t="str"/>
      <x:c r="T99" s="12" t="str"/>
      <x:c r="U99" s="12" t="str">
        <x:v>AI-assisted draft cluster; human review required.</x:v>
      </x:c>
    </x:row>
    <x:row r="100">
      <x:c r="A100" s="12" t="str">
        <x:v>NEED-0099</x:v>
      </x:c>
      <x:c r="B100" s="12" t="str">
        <x:v>Earthdata users need for classroom/university settings is uncertain.</x:v>
      </x:c>
      <x:c r="C100" s="12" t="str">
        <x:v>Funding for classroom/university settings is uncertain.</x:v>
      </x:c>
      <x:c r="D100" s="12" t="str">
        <x:v>Governance &amp; Coordination</x:v>
      </x:c>
      <x:c r="E100" s="12" t="str"/>
      <x:c r="F100" s="12" t="str">
        <x:v>Candidate</x:v>
      </x:c>
      <x:c r="G100" s="12" t="str">
        <x:v>Unassigned</x:v>
      </x:c>
      <x:c r="H100" s="14" t="n">
        <x:f>MINIFS(Evidence!$H$2:$H$1026,Evidence!$B$2:$B$1026,A100)</x:f>
        <x:v>2024</x:v>
      </x:c>
      <x:c r="I100" s="14" t="n">
        <x:f>MAXIFS(Evidence!$H$2:$H$1026,Evidence!$B$2:$B$1026,A100)</x:f>
        <x:v>2024</x:v>
      </x:c>
      <x:c r="J100" s="12" t="n">
        <x:f>COUNTIF(Evidence!$B$2:$B$1026,A100)</x:f>
        <x:v>1</x:v>
      </x:c>
      <x:c r="K100" s="12" t="n">
        <x:v>1</x:v>
      </x:c>
      <x:c r="L100" s="12" t="n">
        <x:v>1</x:v>
      </x:c>
      <x:c r="M100" s="12" t="n">
        <x:v>1</x:v>
      </x:c>
      <x:c r="N100" s="12" t="n">
        <x:v>1</x:v>
      </x:c>
      <x:c r="O100" s="12" t="str">
        <x:v>Single-year signal</x:v>
      </x:c>
      <x:c r="P100" s="12" t="n">
        <x:f>ROUND(MIN(100,(J100*1.5)+(K100*8)+(L100*4)+(M100*3)+((I100-H100+1)*3)),0)</x:f>
        <x:v>20</x:v>
      </x:c>
      <x:c r="Q100" s="12" t="str">
        <x:v>No</x:v>
      </x:c>
      <x:c r="R100" s="12" t="str"/>
      <x:c r="S100" s="12" t="str"/>
      <x:c r="T100" s="12" t="str"/>
      <x:c r="U100" s="12" t="str">
        <x:v>AI-assisted draft cluster; human review required.</x:v>
      </x:c>
    </x:row>
    <x:row r="101">
      <x:c r="A101" s="12" t="str">
        <x:v>NEED-0100</x:v>
      </x:c>
      <x:c r="B101" s="12" t="str">
        <x:v>Earthdata users need collaborating with the NASA Earthdata team (via ESDIS EUMSO) to share and highlight relevant user stories.</x:v>
      </x:c>
      <x:c r="C101" s="12" t="str">
        <x:v>Continue collaborating with the NASA Earthdata team (via ESDIS EUMSO) to share and highlight relevant user stories.</x:v>
      </x:c>
      <x:c r="D101" s="12" t="str">
        <x:v>Governance &amp; Coordination</x:v>
      </x:c>
      <x:c r="E101" s="12" t="str"/>
      <x:c r="F101" s="12" t="str">
        <x:v>Candidate</x:v>
      </x:c>
      <x:c r="G101" s="12" t="str">
        <x:v>Unassigned</x:v>
      </x:c>
      <x:c r="H101" s="14" t="n">
        <x:f>MINIFS(Evidence!$H$2:$H$1026,Evidence!$B$2:$B$1026,A101)</x:f>
        <x:v>2024</x:v>
      </x:c>
      <x:c r="I101" s="14" t="n">
        <x:f>MAXIFS(Evidence!$H$2:$H$1026,Evidence!$B$2:$B$1026,A101)</x:f>
        <x:v>2024</x:v>
      </x:c>
      <x:c r="J101" s="12" t="n">
        <x:f>COUNTIF(Evidence!$B$2:$B$1026,A101)</x:f>
        <x:v>1</x:v>
      </x:c>
      <x:c r="K101" s="12" t="n">
        <x:v>1</x:v>
      </x:c>
      <x:c r="L101" s="12" t="n">
        <x:v>1</x:v>
      </x:c>
      <x:c r="M101" s="12" t="n">
        <x:v>1</x:v>
      </x:c>
      <x:c r="N101" s="12" t="n">
        <x:v>1</x:v>
      </x:c>
      <x:c r="O101" s="12" t="str">
        <x:v>Single-year signal</x:v>
      </x:c>
      <x:c r="P101" s="12" t="n">
        <x:f>ROUND(MIN(100,(J101*1.5)+(K101*8)+(L101*4)+(M101*3)+((I101-H101+1)*3)),0)</x:f>
        <x:v>20</x:v>
      </x:c>
      <x:c r="Q101" s="12" t="str">
        <x:v>No</x:v>
      </x:c>
      <x:c r="R101" s="12" t="str"/>
      <x:c r="S101" s="12" t="str"/>
      <x:c r="T101" s="12" t="str"/>
      <x:c r="U101" s="12" t="str">
        <x:v>AI-assisted draft cluster; human review required.</x:v>
      </x:c>
    </x:row>
    <x:row r="102">
      <x:c r="A102" s="12" t="str">
        <x:v>NEED-0101</x:v>
      </x:c>
      <x:c r="B102" s="12" t="str">
        <x:v>Earthdata users need [UWG21-S08] Continue with the new data versioning policy to improve science reproducibility and transparency. Investigate if there are better ways to manage old versions of data other than placing them in “deep archive” and making them available upon request.</x:v>
      </x:c>
      <x:c r="C102" s="12" t="str">
        <x:v>[UWG21-S08] Continue with the new data versioning policy to improve science reproducibility and transparency. Investigate if there are better ways to manage old versions of data ot</x:v>
      </x:c>
      <x:c r="D102" s="12" t="str">
        <x:v>Governance &amp; Coordination</x:v>
      </x:c>
      <x:c r="E102" s="12" t="str"/>
      <x:c r="F102" s="12" t="str">
        <x:v>Candidate</x:v>
      </x:c>
      <x:c r="G102" s="12" t="str">
        <x:v>Unassigned</x:v>
      </x:c>
      <x:c r="H102" s="14" t="n">
        <x:f>MINIFS(Evidence!$H$2:$H$1026,Evidence!$B$2:$B$1026,A102)</x:f>
        <x:v>2021</x:v>
      </x:c>
      <x:c r="I102" s="14" t="n">
        <x:f>MAXIFS(Evidence!$H$2:$H$1026,Evidence!$B$2:$B$1026,A102)</x:f>
        <x:v>2021</x:v>
      </x:c>
      <x:c r="J102" s="12" t="n">
        <x:f>COUNTIF(Evidence!$B$2:$B$1026,A102)</x:f>
        <x:v>1</x:v>
      </x:c>
      <x:c r="K102" s="12" t="n">
        <x:v>1</x:v>
      </x:c>
      <x:c r="L102" s="12" t="n">
        <x:v>1</x:v>
      </x:c>
      <x:c r="M102" s="12" t="n">
        <x:v>1</x:v>
      </x:c>
      <x:c r="N102" s="12" t="n">
        <x:v>1</x:v>
      </x:c>
      <x:c r="O102" s="12" t="str">
        <x:v>Single-year signal</x:v>
      </x:c>
      <x:c r="P102" s="12" t="n">
        <x:f>ROUND(MIN(100,(J102*1.5)+(K102*8)+(L102*4)+(M102*3)+((I102-H102+1)*3)),0)</x:f>
        <x:v>20</x:v>
      </x:c>
      <x:c r="Q102" s="12" t="str">
        <x:v>No</x:v>
      </x:c>
      <x:c r="R102" s="12" t="str"/>
      <x:c r="S102" s="12" t="str"/>
      <x:c r="T102" s="12" t="str"/>
      <x:c r="U102" s="12" t="str">
        <x:v>AI-assisted draft cluster; human review required.</x:v>
      </x:c>
    </x:row>
    <x:row r="103">
      <x:c r="A103" s="12" t="str">
        <x:v>NEED-0102</x:v>
      </x:c>
      <x:c r="B103" s="12" t="str">
        <x:v>Earthdata users need between NASA, NSF, and NIH to improve coordination and avoid cost traps.</x:v>
      </x:c>
      <x:c r="C103" s="12" t="str">
        <x:v>Collaborate between NASA, NSF, and NIH to improve coordination and avoid cost traps.</x:v>
      </x:c>
      <x:c r="D103" s="12" t="str">
        <x:v>Governance &amp; Coordination</x:v>
      </x:c>
      <x:c r="E103" s="12" t="str"/>
      <x:c r="F103" s="12" t="str">
        <x:v>Candidate</x:v>
      </x:c>
      <x:c r="G103" s="12" t="str">
        <x:v>Unassigned</x:v>
      </x:c>
      <x:c r="H103" s="14" t="n">
        <x:f>MINIFS(Evidence!$H$2:$H$1026,Evidence!$B$2:$B$1026,A103)</x:f>
        <x:v>2024</x:v>
      </x:c>
      <x:c r="I103" s="14" t="n">
        <x:f>MAXIFS(Evidence!$H$2:$H$1026,Evidence!$B$2:$B$1026,A103)</x:f>
        <x:v>2024</x:v>
      </x:c>
      <x:c r="J103" s="12" t="n">
        <x:f>COUNTIF(Evidence!$B$2:$B$1026,A103)</x:f>
        <x:v>1</x:v>
      </x:c>
      <x:c r="K103" s="12" t="n">
        <x:v>1</x:v>
      </x:c>
      <x:c r="L103" s="12" t="n">
        <x:v>1</x:v>
      </x:c>
      <x:c r="M103" s="12" t="n">
        <x:v>1</x:v>
      </x:c>
      <x:c r="N103" s="12" t="n">
        <x:v>1</x:v>
      </x:c>
      <x:c r="O103" s="12" t="str">
        <x:v>Single-year signal</x:v>
      </x:c>
      <x:c r="P103" s="12" t="n">
        <x:f>ROUND(MIN(100,(J103*1.5)+(K103*8)+(L103*4)+(M103*3)+((I103-H103+1)*3)),0)</x:f>
        <x:v>20</x:v>
      </x:c>
      <x:c r="Q103" s="12" t="str">
        <x:v>No</x:v>
      </x:c>
      <x:c r="R103" s="12" t="str"/>
      <x:c r="S103" s="12" t="str"/>
      <x:c r="T103" s="12" t="str"/>
      <x:c r="U103" s="12" t="str">
        <x:v>AI-assisted draft cluster; human review required.</x:v>
      </x:c>
    </x:row>
    <x:row r="104">
      <x:c r="A104" s="12" t="str">
        <x:v>NEED-0103</x:v>
      </x:c>
      <x:c r="B104" s="12" t="str">
        <x:v>Earthdata users need [UWG22-S05] Improve data provider guidelines to further clarify the ORNL DAAC's versioning and DOI practices.</x:v>
      </x:c>
      <x:c r="C104" s="12" t="str">
        <x:v>[UWG22-S05] Improve data provider guidelines to further clarify the ORNL DAAC's versioning and DOI practices.</x:v>
      </x:c>
      <x:c r="D104" s="12" t="str">
        <x:v>Interoperability &amp; Standards</x:v>
      </x:c>
      <x:c r="E104" s="12" t="str"/>
      <x:c r="F104" s="12" t="str">
        <x:v>Candidate</x:v>
      </x:c>
      <x:c r="G104" s="12" t="str">
        <x:v>Unassigned</x:v>
      </x:c>
      <x:c r="H104" s="14" t="n">
        <x:f>MINIFS(Evidence!$H$2:$H$1026,Evidence!$B$2:$B$1026,A104)</x:f>
        <x:v>2022</x:v>
      </x:c>
      <x:c r="I104" s="14" t="n">
        <x:f>MAXIFS(Evidence!$H$2:$H$1026,Evidence!$B$2:$B$1026,A104)</x:f>
        <x:v>2024</x:v>
      </x:c>
      <x:c r="J104" s="12" t="n">
        <x:f>COUNTIF(Evidence!$B$2:$B$1026,A104)</x:f>
        <x:v>6</x:v>
      </x:c>
      <x:c r="K104" s="12" t="n">
        <x:v>3</x:v>
      </x:c>
      <x:c r="L104" s="12" t="n">
        <x:v>3</x:v>
      </x:c>
      <x:c r="M104" s="12" t="n">
        <x:v>1</x:v>
      </x:c>
      <x:c r="N104" s="12" t="n">
        <x:v>3</x:v>
      </x:c>
      <x:c r="O104" s="12" t="str">
        <x:v>Recurring</x:v>
      </x:c>
      <x:c r="P104" s="12" t="n">
        <x:f>ROUND(MIN(100,(J104*1.5)+(K104*8)+(L104*4)+(M104*3)+((I104-H104+1)*3)),0)</x:f>
        <x:v>57</x:v>
      </x:c>
      <x:c r="Q104" s="12" t="str">
        <x:v>No</x:v>
      </x:c>
      <x:c r="R104" s="12" t="str"/>
      <x:c r="S104" s="12" t="str"/>
      <x:c r="T104" s="12" t="str"/>
      <x:c r="U104" s="12" t="str">
        <x:v>AI-assisted draft cluster; human review required.</x:v>
      </x:c>
    </x:row>
    <x:row r="105">
      <x:c r="A105" s="12" t="str">
        <x:v>NEED-0104</x:v>
      </x:c>
      <x:c r="B105" s="12" t="str">
        <x:v>Earthdata users need a heat map for GUNW, of the locations that are covered and where to get the data, regularly updated and needs a DOI.</x:v>
      </x:c>
      <x:c r="C105" s="12" t="str">
        <x:v>Create a heat map for GUNW, of the locations that are covered and where to get the data, regularly updated and needs a DOI.</x:v>
      </x:c>
      <x:c r="D105" s="12" t="str">
        <x:v>Interoperability &amp; Standards</x:v>
      </x:c>
      <x:c r="E105" s="12" t="str"/>
      <x:c r="F105" s="12" t="str">
        <x:v>Candidate</x:v>
      </x:c>
      <x:c r="G105" s="12" t="str">
        <x:v>Unassigned</x:v>
      </x:c>
      <x:c r="H105" s="14" t="n">
        <x:f>MINIFS(Evidence!$H$2:$H$1026,Evidence!$B$2:$B$1026,A105)</x:f>
        <x:v>2021</x:v>
      </x:c>
      <x:c r="I105" s="14" t="n">
        <x:f>MAXIFS(Evidence!$H$2:$H$1026,Evidence!$B$2:$B$1026,A105)</x:f>
        <x:v>2023</x:v>
      </x:c>
      <x:c r="J105" s="12" t="n">
        <x:f>COUNTIF(Evidence!$B$2:$B$1026,A105)</x:f>
        <x:v>2</x:v>
      </x:c>
      <x:c r="K105" s="12" t="n">
        <x:v>2</x:v>
      </x:c>
      <x:c r="L105" s="12" t="n">
        <x:v>2</x:v>
      </x:c>
      <x:c r="M105" s="12" t="n">
        <x:v>2</x:v>
      </x:c>
      <x:c r="N105" s="12" t="n">
        <x:v>3</x:v>
      </x:c>
      <x:c r="O105" s="12" t="str">
        <x:v>Recurring</x:v>
      </x:c>
      <x:c r="P105" s="12" t="n">
        <x:f>ROUND(MIN(100,(J105*1.5)+(K105*8)+(L105*4)+(M105*3)+((I105-H105+1)*3)),0)</x:f>
        <x:v>42</x:v>
      </x:c>
      <x:c r="Q105" s="12" t="str">
        <x:v>No</x:v>
      </x:c>
      <x:c r="R105" s="12" t="str"/>
      <x:c r="S105" s="12" t="str"/>
      <x:c r="T105" s="12" t="str"/>
      <x:c r="U105" s="12" t="str">
        <x:v>AI-assisted draft cluster; human review required.</x:v>
      </x:c>
    </x:row>
    <x:row r="106">
      <x:c r="A106" s="12" t="str">
        <x:v>NEED-0105</x:v>
      </x:c>
      <x:c r="B106" s="12" t="str">
        <x:v>Earthdata users need considers community standards, system requirements, and user/human needs when establishing and evolving the content requested from data producers and how that content is stored and disseminated.</x:v>
      </x:c>
      <x:c r="C106" s="12" t="str">
        <x:v>DAAC considers community standards, system requirements, and user/human needs when establishing and evolving the content requested from data producers and how that content is store</x:v>
      </x:c>
      <x:c r="D106" s="12" t="str">
        <x:v>Interoperability &amp; Standards</x:v>
      </x:c>
      <x:c r="E106" s="12" t="str"/>
      <x:c r="F106" s="12" t="str">
        <x:v>Candidate</x:v>
      </x:c>
      <x:c r="G106" s="12" t="str">
        <x:v>Unassigned</x:v>
      </x:c>
      <x:c r="H106" s="14" t="n">
        <x:f>MINIFS(Evidence!$H$2:$H$1026,Evidence!$B$2:$B$1026,A106)</x:f>
        <x:v>2021</x:v>
      </x:c>
      <x:c r="I106" s="14" t="n">
        <x:f>MAXIFS(Evidence!$H$2:$H$1026,Evidence!$B$2:$B$1026,A106)</x:f>
        <x:v>2022</x:v>
      </x:c>
      <x:c r="J106" s="12" t="n">
        <x:f>COUNTIF(Evidence!$B$2:$B$1026,A106)</x:f>
        <x:v>3</x:v>
      </x:c>
      <x:c r="K106" s="12" t="n">
        <x:v>2</x:v>
      </x:c>
      <x:c r="L106" s="12" t="n">
        <x:v>2</x:v>
      </x:c>
      <x:c r="M106" s="12" t="n">
        <x:v>2</x:v>
      </x:c>
      <x:c r="N106" s="12" t="n">
        <x:v>2</x:v>
      </x:c>
      <x:c r="O106" s="12" t="str">
        <x:v>Recurring</x:v>
      </x:c>
      <x:c r="P106" s="12" t="n">
        <x:f>ROUND(MIN(100,(J106*1.5)+(K106*8)+(L106*4)+(M106*3)+((I106-H106+1)*3)),0)</x:f>
        <x:v>41</x:v>
      </x:c>
      <x:c r="Q106" s="12" t="str">
        <x:v>No</x:v>
      </x:c>
      <x:c r="R106" s="12" t="str"/>
      <x:c r="S106" s="12" t="str"/>
      <x:c r="T106" s="12" t="str"/>
      <x:c r="U106" s="12" t="str">
        <x:v>AI-assisted draft cluster; human review required.</x:v>
      </x:c>
    </x:row>
    <x:row r="107">
      <x:c r="A107" s="12" t="str">
        <x:v>NEED-0106</x:v>
      </x:c>
      <x:c r="B107" s="12" t="str">
        <x:v>Earthdata users need the presentation of the SEDAC citation analysis, UWG members wondered how SEDAC data are actually cited, and if it is possible that citations are underestimated because authors are citing the original journal articles, or getting the data from other repositories (e.g., the Special Report on Emission Scenarios data). Members suggested following influential articles citing SEDAC data to get their citations.</x:v>
      </x:c>
      <x:c r="C107" s="12" t="str">
        <x:v>During the presentation of the SEDAC citation analysis, UWG members wondered how SEDAC data are actually cited, and if it is possible that citations are underestimated because auth</x:v>
      </x:c>
      <x:c r="D107" s="12" t="str">
        <x:v>Interoperability &amp; Standards</x:v>
      </x:c>
      <x:c r="E107" s="12" t="str"/>
      <x:c r="F107" s="12" t="str">
        <x:v>Candidate</x:v>
      </x:c>
      <x:c r="G107" s="12" t="str">
        <x:v>Unassigned</x:v>
      </x:c>
      <x:c r="H107" s="14" t="n">
        <x:f>MINIFS(Evidence!$H$2:$H$1026,Evidence!$B$2:$B$1026,A107)</x:f>
        <x:v>2021</x:v>
      </x:c>
      <x:c r="I107" s="14" t="n">
        <x:f>MAXIFS(Evidence!$H$2:$H$1026,Evidence!$B$2:$B$1026,A107)</x:f>
        <x:v>2022</x:v>
      </x:c>
      <x:c r="J107" s="12" t="n">
        <x:f>COUNTIF(Evidence!$B$2:$B$1026,A107)</x:f>
        <x:v>4</x:v>
      </x:c>
      <x:c r="K107" s="12" t="n">
        <x:v>2</x:v>
      </x:c>
      <x:c r="L107" s="12" t="n">
        <x:v>1</x:v>
      </x:c>
      <x:c r="M107" s="12" t="n">
        <x:v>2</x:v>
      </x:c>
      <x:c r="N107" s="12" t="n">
        <x:v>2</x:v>
      </x:c>
      <x:c r="O107" s="12" t="str">
        <x:v>Recurring</x:v>
      </x:c>
      <x:c r="P107" s="12" t="n">
        <x:f>ROUND(MIN(100,(J107*1.5)+(K107*8)+(L107*4)+(M107*3)+((I107-H107+1)*3)),0)</x:f>
        <x:v>38</x:v>
      </x:c>
      <x:c r="Q107" s="12" t="str">
        <x:v>No</x:v>
      </x:c>
      <x:c r="R107" s="12" t="str"/>
      <x:c r="S107" s="12" t="str"/>
      <x:c r="T107" s="12" t="str"/>
      <x:c r="U107" s="12" t="str">
        <x:v>AI-assisted draft cluster; human review required.</x:v>
      </x:c>
    </x:row>
    <x:row r="108">
      <x:c r="A108" s="12" t="str">
        <x:v>NEED-0107</x:v>
      </x:c>
      <x:c r="B108" s="12" t="str">
        <x:v>Earthdata users need on Analysis Ready Data. Make the data as easy as possible to use. Implement the CEOS standards.</x:v>
      </x:c>
      <x:c r="C108" s="12" t="str">
        <x:v>Focus on Analysis Ready Data. Make the data as easy as possible to use. Implement the CEOS standards.</x:v>
      </x:c>
      <x:c r="D108" s="12" t="str">
        <x:v>Interoperability &amp; Standards</x:v>
      </x:c>
      <x:c r="E108" s="12" t="str"/>
      <x:c r="F108" s="12" t="str">
        <x:v>Candidate</x:v>
      </x:c>
      <x:c r="G108" s="12" t="str">
        <x:v>Unassigned</x:v>
      </x:c>
      <x:c r="H108" s="14" t="n">
        <x:f>MINIFS(Evidence!$H$2:$H$1026,Evidence!$B$2:$B$1026,A108)</x:f>
        <x:v>2023</x:v>
      </x:c>
      <x:c r="I108" s="14" t="n">
        <x:f>MAXIFS(Evidence!$H$2:$H$1026,Evidence!$B$2:$B$1026,A108)</x:f>
        <x:v>2024</x:v>
      </x:c>
      <x:c r="J108" s="12" t="n">
        <x:f>COUNTIF(Evidence!$B$2:$B$1026,A108)</x:f>
        <x:v>2</x:v>
      </x:c>
      <x:c r="K108" s="12" t="n">
        <x:v>2</x:v>
      </x:c>
      <x:c r="L108" s="12" t="n">
        <x:v>1</x:v>
      </x:c>
      <x:c r="M108" s="12" t="n">
        <x:v>2</x:v>
      </x:c>
      <x:c r="N108" s="12" t="n">
        <x:v>1</x:v>
      </x:c>
      <x:c r="O108" s="12" t="str">
        <x:v>Recurring</x:v>
      </x:c>
      <x:c r="P108" s="12" t="n">
        <x:f>ROUND(MIN(100,(J108*1.5)+(K108*8)+(L108*4)+(M108*3)+((I108-H108+1)*3)),0)</x:f>
        <x:v>35</x:v>
      </x:c>
      <x:c r="Q108" s="12" t="str">
        <x:v>No</x:v>
      </x:c>
      <x:c r="R108" s="12" t="str"/>
      <x:c r="S108" s="12" t="str"/>
      <x:c r="T108" s="12" t="str"/>
      <x:c r="U108" s="12" t="str">
        <x:v>AI-assisted draft cluster; human review required.</x:v>
      </x:c>
    </x:row>
    <x:row r="109">
      <x:c r="A109" s="12" t="str">
        <x:v>NEED-0108</x:v>
      </x:c>
      <x:c r="B109" s="12" t="str">
        <x:v>Earthdata users need to work with the NISAR ST on making the ATBDs useful and available to the public. Also, coordinate with other teams at NASA who might be doing similar efforts, MAAP, VEDA.</x:v>
      </x:c>
      <x:c r="C109" s="12" t="str">
        <x:v>ASF to work with the NISAR ST on making the ATBDs useful and available to the public. Also, coordinate with other teams at NASA who might be doing similar efforts, MAAP, VEDA.</x:v>
      </x:c>
      <x:c r="D109" s="12" t="str">
        <x:v>Interoperability &amp; Standards</x:v>
      </x:c>
      <x:c r="E109" s="12" t="str"/>
      <x:c r="F109" s="12" t="str">
        <x:v>Candidate</x:v>
      </x:c>
      <x:c r="G109" s="12" t="str">
        <x:v>Unassigned</x:v>
      </x:c>
      <x:c r="H109" s="14" t="n">
        <x:f>MINIFS(Evidence!$H$2:$H$1026,Evidence!$B$2:$B$1026,A109)</x:f>
        <x:v>2023</x:v>
      </x:c>
      <x:c r="I109" s="14" t="n">
        <x:f>MAXIFS(Evidence!$H$2:$H$1026,Evidence!$B$2:$B$1026,A109)</x:f>
        <x:v>2023</x:v>
      </x:c>
      <x:c r="J109" s="12" t="n">
        <x:f>COUNTIF(Evidence!$B$2:$B$1026,A109)</x:f>
        <x:v>2</x:v>
      </x:c>
      <x:c r="K109" s="12" t="n">
        <x:v>1</x:v>
      </x:c>
      <x:c r="L109" s="12" t="n">
        <x:v>1</x:v>
      </x:c>
      <x:c r="M109" s="12" t="n">
        <x:v>2</x:v>
      </x:c>
      <x:c r="N109" s="12" t="n">
        <x:v>2</x:v>
      </x:c>
      <x:c r="O109" s="12" t="str">
        <x:v>Single-year signal</x:v>
      </x:c>
      <x:c r="P109" s="12" t="n">
        <x:f>ROUND(MIN(100,(J109*1.5)+(K109*8)+(L109*4)+(M109*3)+((I109-H109+1)*3)),0)</x:f>
        <x:v>24</x:v>
      </x:c>
      <x:c r="Q109" s="12" t="str">
        <x:v>No</x:v>
      </x:c>
      <x:c r="R109" s="12" t="str"/>
      <x:c r="S109" s="12" t="str"/>
      <x:c r="T109" s="12" t="str"/>
      <x:c r="U109" s="12" t="str">
        <x:v>AI-assisted draft cluster; human review required.</x:v>
      </x:c>
    </x:row>
    <x:row r="110">
      <x:c r="A110" s="12" t="str">
        <x:v>NEED-0109</x:v>
      </x:c>
      <x:c r="B110" s="12" t="str">
        <x:v>Earthdata users need aSF put data holdings in STAC (Spatio- Temporal Asset Catalog) catalogs?.</x:v>
      </x:c>
      <x:c r="C110" s="12" t="str">
        <x:v>Will ASF put data holdings in STAC (Spatio- Temporal Asset Catalog) catalogs?</x:v>
      </x:c>
      <x:c r="D110" s="12" t="str">
        <x:v>Interoperability &amp; Standards</x:v>
      </x:c>
      <x:c r="E110" s="12" t="str"/>
      <x:c r="F110" s="12" t="str">
        <x:v>Candidate</x:v>
      </x:c>
      <x:c r="G110" s="12" t="str">
        <x:v>Unassigned</x:v>
      </x:c>
      <x:c r="H110" s="14" t="n">
        <x:f>MINIFS(Evidence!$H$2:$H$1026,Evidence!$B$2:$B$1026,A110)</x:f>
        <x:v>2024</x:v>
      </x:c>
      <x:c r="I110" s="14" t="n">
        <x:f>MAXIFS(Evidence!$H$2:$H$1026,Evidence!$B$2:$B$1026,A110)</x:f>
        <x:v>2024</x:v>
      </x:c>
      <x:c r="J110" s="12" t="n">
        <x:f>COUNTIF(Evidence!$B$2:$B$1026,A110)</x:f>
        <x:v>1</x:v>
      </x:c>
      <x:c r="K110" s="12" t="n">
        <x:v>1</x:v>
      </x:c>
      <x:c r="L110" s="12" t="n">
        <x:v>1</x:v>
      </x:c>
      <x:c r="M110" s="12" t="n">
        <x:v>1</x:v>
      </x:c>
      <x:c r="N110" s="12" t="n">
        <x:v>1</x:v>
      </x:c>
      <x:c r="O110" s="12" t="str">
        <x:v>Single-year signal</x:v>
      </x:c>
      <x:c r="P110" s="12" t="n">
        <x:f>ROUND(MIN(100,(J110*1.5)+(K110*8)+(L110*4)+(M110*3)+((I110-H110+1)*3)),0)</x:f>
        <x:v>20</x:v>
      </x:c>
      <x:c r="Q110" s="12" t="str">
        <x:v>No</x:v>
      </x:c>
      <x:c r="R110" s="12" t="str"/>
      <x:c r="S110" s="12" t="str"/>
      <x:c r="T110" s="12" t="str"/>
      <x:c r="U110" s="12" t="str">
        <x:v>AI-assisted draft cluster; human review required.</x:v>
      </x:c>
    </x:row>
    <x:row r="111">
      <x:c r="A111" s="12" t="str">
        <x:v>NEED-0110</x:v>
      </x:c>
      <x:c r="B111" s="12" t="str">
        <x:v>Earthdata users need discussions with Thorsten Markus (Cryospheric Sciences Program Scientist) on the idea of doing a review of some DAAC distributed data.</x:v>
      </x:c>
      <x:c r="C111" s="12" t="str">
        <x:v>Continue discussions with Thorsten Markus (Cryospheric Sciences Program Scientist) on the idea of doing a review of some DAAC distributed data.</x:v>
      </x:c>
      <x:c r="D111" s="12" t="str">
        <x:v>Interoperability &amp; Standards</x:v>
      </x:c>
      <x:c r="E111" s="12" t="str"/>
      <x:c r="F111" s="12" t="str">
        <x:v>Candidate</x:v>
      </x:c>
      <x:c r="G111" s="12" t="str">
        <x:v>Unassigned</x:v>
      </x:c>
      <x:c r="H111" s="14" t="n">
        <x:f>MINIFS(Evidence!$H$2:$H$1026,Evidence!$B$2:$B$1026,A111)</x:f>
        <x:v>2023</x:v>
      </x:c>
      <x:c r="I111" s="14" t="n">
        <x:f>MAXIFS(Evidence!$H$2:$H$1026,Evidence!$B$2:$B$1026,A111)</x:f>
        <x:v>2023</x:v>
      </x:c>
      <x:c r="J111" s="12" t="n">
        <x:f>COUNTIF(Evidence!$B$2:$B$1026,A111)</x:f>
        <x:v>1</x:v>
      </x:c>
      <x:c r="K111" s="12" t="n">
        <x:v>1</x:v>
      </x:c>
      <x:c r="L111" s="12" t="n">
        <x:v>1</x:v>
      </x:c>
      <x:c r="M111" s="12" t="n">
        <x:v>1</x:v>
      </x:c>
      <x:c r="N111" s="12" t="n">
        <x:v>1</x:v>
      </x:c>
      <x:c r="O111" s="12" t="str">
        <x:v>Single-year signal</x:v>
      </x:c>
      <x:c r="P111" s="12" t="n">
        <x:f>ROUND(MIN(100,(J111*1.5)+(K111*8)+(L111*4)+(M111*3)+((I111-H111+1)*3)),0)</x:f>
        <x:v>20</x:v>
      </x:c>
      <x:c r="Q111" s="12" t="str">
        <x:v>No</x:v>
      </x:c>
      <x:c r="R111" s="12" t="str"/>
      <x:c r="S111" s="12" t="str"/>
      <x:c r="T111" s="12" t="str"/>
      <x:c r="U111" s="12" t="str">
        <x:v>AI-assisted draft cluster; human review required.</x:v>
      </x:c>
    </x:row>
    <x:row r="112">
      <x:c r="A112" s="12" t="str">
        <x:v>NEED-0111</x:v>
      </x:c>
      <x:c r="B112" s="12" t="str">
        <x:v>Earthdata users need lP DAAC UWG suggests reviewing resources produced by the EnMAP project and assessing for interoperability with EMIT and future pre-SBG resources.</x:v>
      </x:c>
      <x:c r="C112" s="12" t="str">
        <x:v>The LP DAAC UWG suggests reviewing resources produced by the EnMAP project and assessing for interoperability with EMIT and future pre-SBG resources.</x:v>
      </x:c>
      <x:c r="D112" s="12" t="str">
        <x:v>Interoperability &amp; Standards</x:v>
      </x:c>
      <x:c r="E112" s="12" t="str"/>
      <x:c r="F112" s="12" t="str">
        <x:v>Candidate</x:v>
      </x:c>
      <x:c r="G112" s="12" t="str">
        <x:v>Unassigned</x:v>
      </x:c>
      <x:c r="H112" s="14" t="n">
        <x:f>MINIFS(Evidence!$H$2:$H$1026,Evidence!$B$2:$B$1026,A112)</x:f>
        <x:v>2023</x:v>
      </x:c>
      <x:c r="I112" s="14" t="n">
        <x:f>MAXIFS(Evidence!$H$2:$H$1026,Evidence!$B$2:$B$1026,A112)</x:f>
        <x:v>2023</x:v>
      </x:c>
      <x:c r="J112" s="12" t="n">
        <x:f>COUNTIF(Evidence!$B$2:$B$1026,A112)</x:f>
        <x:v>1</x:v>
      </x:c>
      <x:c r="K112" s="12" t="n">
        <x:v>1</x:v>
      </x:c>
      <x:c r="L112" s="12" t="n">
        <x:v>1</x:v>
      </x:c>
      <x:c r="M112" s="12" t="n">
        <x:v>1</x:v>
      </x:c>
      <x:c r="N112" s="12" t="n">
        <x:v>1</x:v>
      </x:c>
      <x:c r="O112" s="12" t="str">
        <x:v>Single-year signal</x:v>
      </x:c>
      <x:c r="P112" s="12" t="n">
        <x:f>ROUND(MIN(100,(J112*1.5)+(K112*8)+(L112*4)+(M112*3)+((I112-H112+1)*3)),0)</x:f>
        <x:v>20</x:v>
      </x:c>
      <x:c r="Q112" s="12" t="str">
        <x:v>No</x:v>
      </x:c>
      <x:c r="R112" s="12" t="str"/>
      <x:c r="S112" s="12" t="str"/>
      <x:c r="T112" s="12" t="str"/>
      <x:c r="U112" s="12" t="str">
        <x:v>AI-assisted draft cluster; human review required.</x:v>
      </x:c>
    </x:row>
    <x:row r="113">
      <x:c r="A113" s="12" t="str">
        <x:v>NEED-0112</x:v>
      </x:c>
      <x:c r="B113" s="12" t="str">
        <x:v>Earthdata users need lP DAAC should resume the standard virtual mid-year update (winter) and in-person Annual UWG Meeting (summer) cadence in 2024.</x:v>
      </x:c>
      <x:c r="C113" s="12" t="str">
        <x:v>The LP DAAC should resume the standard virtual mid-year update (winter) and in-person Annual UWG Meeting (summer) cadence in 2024.</x:v>
      </x:c>
      <x:c r="D113" s="12" t="str">
        <x:v>Interoperability &amp; Standards</x:v>
      </x:c>
      <x:c r="E113" s="12" t="str"/>
      <x:c r="F113" s="12" t="str">
        <x:v>Candidate</x:v>
      </x:c>
      <x:c r="G113" s="12" t="str">
        <x:v>Unassigned</x:v>
      </x:c>
      <x:c r="H113" s="14" t="n">
        <x:f>MINIFS(Evidence!$H$2:$H$1026,Evidence!$B$2:$B$1026,A113)</x:f>
        <x:v>2023</x:v>
      </x:c>
      <x:c r="I113" s="14" t="n">
        <x:f>MAXIFS(Evidence!$H$2:$H$1026,Evidence!$B$2:$B$1026,A113)</x:f>
        <x:v>2023</x:v>
      </x:c>
      <x:c r="J113" s="12" t="n">
        <x:f>COUNTIF(Evidence!$B$2:$B$1026,A113)</x:f>
        <x:v>1</x:v>
      </x:c>
      <x:c r="K113" s="12" t="n">
        <x:v>1</x:v>
      </x:c>
      <x:c r="L113" s="12" t="n">
        <x:v>1</x:v>
      </x:c>
      <x:c r="M113" s="12" t="n">
        <x:v>1</x:v>
      </x:c>
      <x:c r="N113" s="12" t="n">
        <x:v>1</x:v>
      </x:c>
      <x:c r="O113" s="12" t="str">
        <x:v>Single-year signal</x:v>
      </x:c>
      <x:c r="P113" s="12" t="n">
        <x:f>ROUND(MIN(100,(J113*1.5)+(K113*8)+(L113*4)+(M113*3)+((I113-H113+1)*3)),0)</x:f>
        <x:v>20</x:v>
      </x:c>
      <x:c r="Q113" s="12" t="str">
        <x:v>No</x:v>
      </x:c>
      <x:c r="R113" s="12" t="str"/>
      <x:c r="S113" s="12" t="str"/>
      <x:c r="T113" s="12" t="str"/>
      <x:c r="U113" s="12" t="str">
        <x:v>AI-assisted draft cluster; human review required.</x:v>
      </x:c>
    </x:row>
    <x:row r="114">
      <x:c r="A114" s="12" t="str">
        <x:v>NEED-0113</x:v>
      </x:c>
      <x:c r="B114" s="12" t="str">
        <x:v>Earthdata users need green recommended that LANCE UWG engage with NGOs to collect user needs.</x:v>
      </x:c>
      <x:c r="C114" s="12" t="str">
        <x:v>David Green recommended that LANCE UWG engage with NGOs to collect user needs.</x:v>
      </x:c>
      <x:c r="D114" s="12" t="str">
        <x:v>Near Real-Time &amp; Operations</x:v>
      </x:c>
      <x:c r="E114" s="12" t="str"/>
      <x:c r="F114" s="12" t="str">
        <x:v>Candidate</x:v>
      </x:c>
      <x:c r="G114" s="12" t="str">
        <x:v>Unassigned</x:v>
      </x:c>
      <x:c r="H114" s="14" t="n">
        <x:f>MINIFS(Evidence!$H$2:$H$1026,Evidence!$B$2:$B$1026,A114)</x:f>
        <x:v>2022</x:v>
      </x:c>
      <x:c r="I114" s="14" t="n">
        <x:f>MAXIFS(Evidence!$H$2:$H$1026,Evidence!$B$2:$B$1026,A114)</x:f>
        <x:v>2022</x:v>
      </x:c>
      <x:c r="J114" s="12" t="n">
        <x:f>COUNTIF(Evidence!$B$2:$B$1026,A114)</x:f>
        <x:v>3</x:v>
      </x:c>
      <x:c r="K114" s="12" t="n">
        <x:v>1</x:v>
      </x:c>
      <x:c r="L114" s="12" t="n">
        <x:v>1</x:v>
      </x:c>
      <x:c r="M114" s="12" t="n">
        <x:v>1</x:v>
      </x:c>
      <x:c r="N114" s="12" t="n">
        <x:v>1</x:v>
      </x:c>
      <x:c r="O114" s="12" t="str">
        <x:v>Single-year signal</x:v>
      </x:c>
      <x:c r="P114" s="12" t="n">
        <x:f>ROUND(MIN(100,(J114*1.5)+(K114*8)+(L114*4)+(M114*3)+((I114-H114+1)*3)),0)</x:f>
        <x:v>23</x:v>
      </x:c>
      <x:c r="Q114" s="12" t="str">
        <x:v>No</x:v>
      </x:c>
      <x:c r="R114" s="12" t="str"/>
      <x:c r="S114" s="12" t="str"/>
      <x:c r="T114" s="12" t="str"/>
      <x:c r="U114" s="12" t="str">
        <x:v>AI-assisted draft cluster; human review required.</x:v>
      </x:c>
    </x:row>
    <x:row r="115">
      <x:c r="A115" s="12" t="str">
        <x:v>NEED-0114</x:v>
      </x:c>
      <x:c r="B115" s="12" t="str">
        <x:v>Earthdata users need asked if LANCE would consider facilitating the implementation of NRT GEO aerosol data. Diane/Karen to follow up.</x:v>
      </x:c>
      <x:c r="C115" s="12" t="str">
        <x:v>Arlindo asked if LANCE would consider facilitating the implementation of NRT GEO aerosol data. Diane/Karen to follow up.</x:v>
      </x:c>
      <x:c r="D115" s="12" t="str">
        <x:v>Near Real-Time &amp; Operations</x:v>
      </x:c>
      <x:c r="E115" s="12" t="str"/>
      <x:c r="F115" s="12" t="str">
        <x:v>Candidate</x:v>
      </x:c>
      <x:c r="G115" s="12" t="str">
        <x:v>Unassigned</x:v>
      </x:c>
      <x:c r="H115" s="14" t="n">
        <x:f>MINIFS(Evidence!$H$2:$H$1026,Evidence!$B$2:$B$1026,A115)</x:f>
        <x:v>2021</x:v>
      </x:c>
      <x:c r="I115" s="14" t="n">
        <x:f>MAXIFS(Evidence!$H$2:$H$1026,Evidence!$B$2:$B$1026,A115)</x:f>
        <x:v>2022</x:v>
      </x:c>
      <x:c r="J115" s="12" t="n">
        <x:f>COUNTIF(Evidence!$B$2:$B$1026,A115)</x:f>
        <x:v>4</x:v>
      </x:c>
      <x:c r="K115" s="12" t="n">
        <x:v>2</x:v>
      </x:c>
      <x:c r="L115" s="12" t="n">
        <x:v>2</x:v>
      </x:c>
      <x:c r="M115" s="12" t="n">
        <x:v>1</x:v>
      </x:c>
      <x:c r="N115" s="12" t="n">
        <x:v>1</x:v>
      </x:c>
      <x:c r="O115" s="12" t="str">
        <x:v>Recurring</x:v>
      </x:c>
      <x:c r="P115" s="12" t="n">
        <x:f>ROUND(MIN(100,(J115*1.5)+(K115*8)+(L115*4)+(M115*3)+((I115-H115+1)*3)),0)</x:f>
        <x:v>39</x:v>
      </x:c>
      <x:c r="Q115" s="12" t="str">
        <x:v>No</x:v>
      </x:c>
      <x:c r="R115" s="12" t="str"/>
      <x:c r="S115" s="12" t="str"/>
      <x:c r="T115" s="12" t="str"/>
      <x:c r="U115" s="12" t="str">
        <x:v>AI-assisted draft cluster; human review required.</x:v>
      </x:c>
    </x:row>
    <x:row r="116">
      <x:c r="A116" s="12" t="str">
        <x:v>NEED-0115</x:v>
      </x:c>
      <x:c r="B116" s="12" t="str">
        <x:v>Earthdata users need nASA Sentinel Gateway currently acquires the OLCI NRT data, and distributes it to the OB.DAAC in less than 3 hours from observation. If requested, the SLSTR NRT data can also be acquired and distributed by the NSG in less than 3 hours from observation.</x:v>
      </x:c>
      <x:c r="C116" s="12" t="str">
        <x:v>The NASA Sentinel Gateway currently acquires the OLCI NRT data, and distributes it to the OB.DAAC in less than 3 hours from observation. If requested, the SLSTR NRT data can also b</x:v>
      </x:c>
      <x:c r="D116" s="12" t="str">
        <x:v>Near Real-Time &amp; Operations</x:v>
      </x:c>
      <x:c r="E116" s="12" t="str"/>
      <x:c r="F116" s="12" t="str">
        <x:v>Candidate</x:v>
      </x:c>
      <x:c r="G116" s="12" t="str">
        <x:v>Unassigned</x:v>
      </x:c>
      <x:c r="H116" s="14" t="n">
        <x:f>MINIFS(Evidence!$H$2:$H$1026,Evidence!$B$2:$B$1026,A116)</x:f>
        <x:v>2022</x:v>
      </x:c>
      <x:c r="I116" s="14" t="n">
        <x:f>MAXIFS(Evidence!$H$2:$H$1026,Evidence!$B$2:$B$1026,A116)</x:f>
        <x:v>2022</x:v>
      </x:c>
      <x:c r="J116" s="12" t="n">
        <x:f>COUNTIF(Evidence!$B$2:$B$1026,A116)</x:f>
        <x:v>1</x:v>
      </x:c>
      <x:c r="K116" s="12" t="n">
        <x:v>1</x:v>
      </x:c>
      <x:c r="L116" s="12" t="n">
        <x:v>1</x:v>
      </x:c>
      <x:c r="M116" s="12" t="n">
        <x:v>1</x:v>
      </x:c>
      <x:c r="N116" s="12" t="n">
        <x:v>1</x:v>
      </x:c>
      <x:c r="O116" s="12" t="str">
        <x:v>Single-year signal</x:v>
      </x:c>
      <x:c r="P116" s="12" t="n">
        <x:f>ROUND(MIN(100,(J116*1.5)+(K116*8)+(L116*4)+(M116*3)+((I116-H116+1)*3)),0)</x:f>
        <x:v>20</x:v>
      </x:c>
      <x:c r="Q116" s="12" t="str">
        <x:v>No</x:v>
      </x:c>
      <x:c r="R116" s="12" t="str"/>
      <x:c r="S116" s="12" t="str"/>
      <x:c r="T116" s="12" t="str"/>
      <x:c r="U116" s="12" t="str">
        <x:v>AI-assisted draft cluster; human review required.</x:v>
      </x:c>
    </x:row>
    <x:row r="117">
      <x:c r="A117" s="12" t="str">
        <x:v>NEED-0116</x:v>
      </x:c>
      <x:c r="B117" s="12" t="str">
        <x:v>Earthdata users need could be a substantial contributor to Earth Science to Action (esp. real-time having great potential). There is value in messaging to the community.</x:v>
      </x:c>
      <x:c r="C117" s="12" t="str">
        <x:v>CDDIS could be a substantial contributor to Earth Science to Action (esp. real-time having great potential). There is value in messaging to the community.</x:v>
      </x:c>
      <x:c r="D117" s="12" t="str">
        <x:v>Near Real-Time &amp; Operations</x:v>
      </x:c>
      <x:c r="E117" s="12" t="str"/>
      <x:c r="F117" s="12" t="str">
        <x:v>Candidate</x:v>
      </x:c>
      <x:c r="G117" s="12" t="str">
        <x:v>Unassigned</x:v>
      </x:c>
      <x:c r="H117" s="14" t="n">
        <x:f>MINIFS(Evidence!$H$2:$H$1026,Evidence!$B$2:$B$1026,A117)</x:f>
        <x:v>2024</x:v>
      </x:c>
      <x:c r="I117" s="14" t="n">
        <x:f>MAXIFS(Evidence!$H$2:$H$1026,Evidence!$B$2:$B$1026,A117)</x:f>
        <x:v>2024</x:v>
      </x:c>
      <x:c r="J117" s="12" t="n">
        <x:f>COUNTIF(Evidence!$B$2:$B$1026,A117)</x:f>
        <x:v>1</x:v>
      </x:c>
      <x:c r="K117" s="12" t="n">
        <x:v>1</x:v>
      </x:c>
      <x:c r="L117" s="12" t="n">
        <x:v>1</x:v>
      </x:c>
      <x:c r="M117" s="12" t="n">
        <x:v>1</x:v>
      </x:c>
      <x:c r="N117" s="12" t="n">
        <x:v>1</x:v>
      </x:c>
      <x:c r="O117" s="12" t="str">
        <x:v>Single-year signal</x:v>
      </x:c>
      <x:c r="P117" s="12" t="n">
        <x:f>ROUND(MIN(100,(J117*1.5)+(K117*8)+(L117*4)+(M117*3)+((I117-H117+1)*3)),0)</x:f>
        <x:v>20</x:v>
      </x:c>
      <x:c r="Q117" s="12" t="str">
        <x:v>No</x:v>
      </x:c>
      <x:c r="R117" s="12" t="str"/>
      <x:c r="S117" s="12" t="str"/>
      <x:c r="T117" s="12" t="str"/>
      <x:c r="U117" s="12" t="str">
        <x:v>AI-assisted draft cluster; human review required.</x:v>
      </x:c>
    </x:row>
    <x:row r="118">
      <x:c r="A118" s="12" t="str">
        <x:v>NEED-0117</x:v>
      </x:c>
      <x:c r="B118" s="12" t="str">
        <x:v>Earthdata users need to set up a discussion with Maggie Glasscoe to see how LANCE data can be integrated into the flood risk Model of Models approach, to provide outputs to the Pacific Disaster Center.</x:v>
      </x:c>
      <x:c r="C118" s="12" t="str">
        <x:v>LANCE to set up a discussion with Maggie Glasscoe to see how LANCE data can be integrated into the flood risk Model of Models approach, to provide outputs to the Pacific Disaster C</x:v>
      </x:c>
      <x:c r="D118" s="12" t="str">
        <x:v>Near Real-Time &amp; Operations</x:v>
      </x:c>
      <x:c r="E118" s="12" t="str"/>
      <x:c r="F118" s="12" t="str">
        <x:v>Candidate</x:v>
      </x:c>
      <x:c r="G118" s="12" t="str">
        <x:v>Unassigned</x:v>
      </x:c>
      <x:c r="H118" s="14" t="n">
        <x:f>MINIFS(Evidence!$H$2:$H$1026,Evidence!$B$2:$B$1026,A118)</x:f>
        <x:v>2021</x:v>
      </x:c>
      <x:c r="I118" s="14" t="n">
        <x:f>MAXIFS(Evidence!$H$2:$H$1026,Evidence!$B$2:$B$1026,A118)</x:f>
        <x:v>2021</x:v>
      </x:c>
      <x:c r="J118" s="12" t="n">
        <x:f>COUNTIF(Evidence!$B$2:$B$1026,A118)</x:f>
        <x:v>2</x:v>
      </x:c>
      <x:c r="K118" s="12" t="n">
        <x:v>1</x:v>
      </x:c>
      <x:c r="L118" s="12" t="n">
        <x:v>1</x:v>
      </x:c>
      <x:c r="M118" s="12" t="n">
        <x:v>2</x:v>
      </x:c>
      <x:c r="N118" s="12" t="n">
        <x:v>2</x:v>
      </x:c>
      <x:c r="O118" s="12" t="str">
        <x:v>Single-year signal</x:v>
      </x:c>
      <x:c r="P118" s="12" t="n">
        <x:f>ROUND(MIN(100,(J118*1.5)+(K118*8)+(L118*4)+(M118*3)+((I118-H118+1)*3)),0)</x:f>
        <x:v>24</x:v>
      </x:c>
      <x:c r="Q118" s="12" t="str">
        <x:v>No</x:v>
      </x:c>
      <x:c r="R118" s="12" t="str"/>
      <x:c r="S118" s="12" t="str"/>
      <x:c r="T118" s="12" t="str"/>
      <x:c r="U118" s="12" t="str">
        <x:v>AI-assisted draft cluster; human review required.</x:v>
      </x:c>
    </x:row>
    <x:row r="119">
      <x:c r="A119" s="12" t="str">
        <x:v>NEED-0118</x:v>
      </x:c>
      <x:c r="B119" s="12" t="str">
        <x:v>Earthdata users need pahlevan is encouraged to submit a LANCE UWG enhancement Request.</x:v>
      </x:c>
      <x:c r="C119" s="12" t="str">
        <x:v>Nima Pahlevan is encouraged to submit a LANCE UWG enhancement Request.</x:v>
      </x:c>
      <x:c r="D119" s="12" t="str">
        <x:v>Near Real-Time &amp; Operations</x:v>
      </x:c>
      <x:c r="E119" s="12" t="str"/>
      <x:c r="F119" s="12" t="str">
        <x:v>Candidate</x:v>
      </x:c>
      <x:c r="G119" s="12" t="str">
        <x:v>Unassigned</x:v>
      </x:c>
      <x:c r="H119" s="14" t="n">
        <x:f>MINIFS(Evidence!$H$2:$H$1026,Evidence!$B$2:$B$1026,A119)</x:f>
        <x:v>2023</x:v>
      </x:c>
      <x:c r="I119" s="14" t="n">
        <x:f>MAXIFS(Evidence!$H$2:$H$1026,Evidence!$B$2:$B$1026,A119)</x:f>
        <x:v>2023</x:v>
      </x:c>
      <x:c r="J119" s="12" t="n">
        <x:f>COUNTIF(Evidence!$B$2:$B$1026,A119)</x:f>
        <x:v>1</x:v>
      </x:c>
      <x:c r="K119" s="12" t="n">
        <x:v>1</x:v>
      </x:c>
      <x:c r="L119" s="12" t="n">
        <x:v>1</x:v>
      </x:c>
      <x:c r="M119" s="12" t="n">
        <x:v>1</x:v>
      </x:c>
      <x:c r="N119" s="12" t="n">
        <x:v>1</x:v>
      </x:c>
      <x:c r="O119" s="12" t="str">
        <x:v>Single-year signal</x:v>
      </x:c>
      <x:c r="P119" s="12" t="n">
        <x:f>ROUND(MIN(100,(J119*1.5)+(K119*8)+(L119*4)+(M119*3)+((I119-H119+1)*3)),0)</x:f>
        <x:v>20</x:v>
      </x:c>
      <x:c r="Q119" s="12" t="str">
        <x:v>No</x:v>
      </x:c>
      <x:c r="R119" s="12" t="str"/>
      <x:c r="S119" s="12" t="str"/>
      <x:c r="T119" s="12" t="str"/>
      <x:c r="U119" s="12" t="str">
        <x:v>AI-assisted draft cluster; human review required.</x:v>
      </x:c>
    </x:row>
    <x:row r="120">
      <x:c r="A120" s="12" t="str">
        <x:v>NEED-0119</x:v>
      </x:c>
      <x:c r="B120" s="12" t="str">
        <x:v>Earthdata users need on the long-term consistency of PM sea ice data is very important as they should be considered the authoritative data. Inter-sensor calibrations and land masks should be well-documented and well-understood, so users who are not remote sensing scientists can use them. Getting this right is very important, so no one can argue against their validity.</x:v>
      </x:c>
      <x:c r="C120" s="12" t="str">
        <x:v>Focusing on the long-term consistency of PM sea ice data is very important as they should be considered the authoritative data. Inter-sensor calibrations and land masks should be w</x:v>
      </x:c>
      <x:c r="D120" s="12" t="str">
        <x:v>Other</x:v>
      </x:c>
      <x:c r="E120" s="12" t="str"/>
      <x:c r="F120" s="12" t="str">
        <x:v>Candidate</x:v>
      </x:c>
      <x:c r="G120" s="12" t="str">
        <x:v>Unassigned</x:v>
      </x:c>
      <x:c r="H120" s="14" t="n">
        <x:f>MINIFS(Evidence!$H$2:$H$1026,Evidence!$B$2:$B$1026,A120)</x:f>
        <x:v>2021</x:v>
      </x:c>
      <x:c r="I120" s="14" t="n">
        <x:f>MAXIFS(Evidence!$H$2:$H$1026,Evidence!$B$2:$B$1026,A120)</x:f>
        <x:v>2024</x:v>
      </x:c>
      <x:c r="J120" s="12" t="n">
        <x:f>COUNTIF(Evidence!$B$2:$B$1026,A120)</x:f>
        <x:v>16</x:v>
      </x:c>
      <x:c r="K120" s="12" t="n">
        <x:v>4</x:v>
      </x:c>
      <x:c r="L120" s="12" t="n">
        <x:v>9</x:v>
      </x:c>
      <x:c r="M120" s="12" t="n">
        <x:v>4</x:v>
      </x:c>
      <x:c r="N120" s="12" t="n">
        <x:v>2</x:v>
      </x:c>
      <x:c r="O120" s="12" t="str">
        <x:v>Recurring</x:v>
      </x:c>
      <x:c r="P120" s="12" t="n">
        <x:f>ROUND(MIN(100,(J120*1.5)+(K120*8)+(L120*4)+(M120*3)+((I120-H120+1)*3)),0)</x:f>
        <x:v>100</x:v>
      </x:c>
      <x:c r="Q120" s="12" t="str">
        <x:v>No</x:v>
      </x:c>
      <x:c r="R120" s="12" t="str"/>
      <x:c r="S120" s="12" t="str"/>
      <x:c r="T120" s="12" t="str"/>
      <x:c r="U120" s="12" t="str">
        <x:v>AI-assisted draft cluster; human review required.</x:v>
      </x:c>
    </x:row>
    <x:row r="121">
      <x:c r="A121" s="12" t="str">
        <x:v>NEED-0120</x:v>
      </x:c>
      <x:c r="B121" s="12" t="str">
        <x:v>Earthdata users need recommend that ESDIS develops a short white paper defining and describing the vision for a “Science Enabling Center”. At present, the boundaries between “IT and Archive” (i.e., the traditional DAAC role), “Science Enabling”, and “Science” are unclear.</x:v>
      </x:c>
      <x:c r="C121" s="12" t="str">
        <x:v>We recommend that ESDIS develops a short white paper defining and describing the vision for a “Science Enabling Center”. At present, the boundaries between “IT and Archive” (i.e., </x:v>
      </x:c>
      <x:c r="D121" s="12" t="str">
        <x:v>Other</x:v>
      </x:c>
      <x:c r="E121" s="12" t="str"/>
      <x:c r="F121" s="12" t="str">
        <x:v>Candidate</x:v>
      </x:c>
      <x:c r="G121" s="12" t="str">
        <x:v>Unassigned</x:v>
      </x:c>
      <x:c r="H121" s="14" t="n">
        <x:f>MINIFS(Evidence!$H$2:$H$1026,Evidence!$B$2:$B$1026,A121)</x:f>
        <x:v>2021</x:v>
      </x:c>
      <x:c r="I121" s="14" t="n">
        <x:f>MAXIFS(Evidence!$H$2:$H$1026,Evidence!$B$2:$B$1026,A121)</x:f>
        <x:v>2024</x:v>
      </x:c>
      <x:c r="J121" s="12" t="n">
        <x:f>COUNTIF(Evidence!$B$2:$B$1026,A121)</x:f>
        <x:v>25</x:v>
      </x:c>
      <x:c r="K121" s="12" t="n">
        <x:v>4</x:v>
      </x:c>
      <x:c r="L121" s="12" t="n">
        <x:v>8</x:v>
      </x:c>
      <x:c r="M121" s="12" t="n">
        <x:v>4</x:v>
      </x:c>
      <x:c r="N121" s="12" t="n">
        <x:v>2</x:v>
      </x:c>
      <x:c r="O121" s="12" t="str">
        <x:v>Recurring</x:v>
      </x:c>
      <x:c r="P121" s="12" t="n">
        <x:f>ROUND(MIN(100,(J121*1.5)+(K121*8)+(L121*4)+(M121*3)+((I121-H121+1)*3)),0)</x:f>
        <x:v>100</x:v>
      </x:c>
      <x:c r="Q121" s="12" t="str">
        <x:v>No</x:v>
      </x:c>
      <x:c r="R121" s="12" t="str"/>
      <x:c r="S121" s="12" t="str"/>
      <x:c r="T121" s="12" t="str"/>
      <x:c r="U121" s="12" t="str">
        <x:v>AI-assisted draft cluster; human review required.</x:v>
      </x:c>
    </x:row>
    <x:row r="122">
      <x:c r="A122" s="12" t="str">
        <x:v>NEED-0121</x:v>
      </x:c>
      <x:c r="B122" s="12" t="str">
        <x:v>Earthdata users need uWG has submitted a list of hydrologists candidates for the new UWG member. The UWG recommended PO.DAAC to approach the SWOT Hydrology Science Lead Tamlin Pavelsky for further suggestions.</x:v>
      </x:c>
      <x:c r="C122" s="12" t="str">
        <x:v>The UWG has submitted a list of hydrologists candidates for the new UWG member. The UWG recommended PO.DAAC to approach the SWOT Hydrology Science Lead Tamlin Pavelsky for further </x:v>
      </x:c>
      <x:c r="D122" s="12" t="str">
        <x:v>Other</x:v>
      </x:c>
      <x:c r="E122" s="12" t="str"/>
      <x:c r="F122" s="12" t="str">
        <x:v>Candidate</x:v>
      </x:c>
      <x:c r="G122" s="12" t="str">
        <x:v>Unassigned</x:v>
      </x:c>
      <x:c r="H122" s="14" t="n">
        <x:f>MINIFS(Evidence!$H$2:$H$1026,Evidence!$B$2:$B$1026,A122)</x:f>
        <x:v>2021</x:v>
      </x:c>
      <x:c r="I122" s="14" t="n">
        <x:f>MAXIFS(Evidence!$H$2:$H$1026,Evidence!$B$2:$B$1026,A122)</x:f>
        <x:v>2024</x:v>
      </x:c>
      <x:c r="J122" s="12" t="n">
        <x:f>COUNTIF(Evidence!$B$2:$B$1026,A122)</x:f>
        <x:v>22</x:v>
      </x:c>
      <x:c r="K122" s="12" t="n">
        <x:v>4</x:v>
      </x:c>
      <x:c r="L122" s="12" t="n">
        <x:v>6</x:v>
      </x:c>
      <x:c r="M122" s="12" t="n">
        <x:v>5</x:v>
      </x:c>
      <x:c r="N122" s="12" t="n">
        <x:v>3</x:v>
      </x:c>
      <x:c r="O122" s="12" t="str">
        <x:v>Recurring</x:v>
      </x:c>
      <x:c r="P122" s="12" t="n">
        <x:f>ROUND(MIN(100,(J122*1.5)+(K122*8)+(L122*4)+(M122*3)+((I122-H122+1)*3)),0)</x:f>
        <x:v>100</x:v>
      </x:c>
      <x:c r="Q122" s="12" t="str">
        <x:v>No</x:v>
      </x:c>
      <x:c r="R122" s="12" t="str"/>
      <x:c r="S122" s="12" t="str"/>
      <x:c r="T122" s="12" t="str"/>
      <x:c r="U122" s="12" t="str">
        <x:v>AI-assisted draft cluster; human review required.</x:v>
      </x:c>
    </x:row>
    <x:row r="123">
      <x:c r="A123" s="12" t="str">
        <x:v>NEED-0122</x:v>
      </x:c>
      <x:c r="B123" s="12" t="str">
        <x:v>Earthdata users need effort to better understand SEDAC’s community of users.</x:v>
      </x:c>
      <x:c r="C123" s="12" t="str">
        <x:v>The UWG suggests extra effort to better understand SEDAC’s community of users.</x:v>
      </x:c>
      <x:c r="D123" s="12" t="str">
        <x:v>Other</x:v>
      </x:c>
      <x:c r="E123" s="12" t="str"/>
      <x:c r="F123" s="12" t="str">
        <x:v>Candidate</x:v>
      </x:c>
      <x:c r="G123" s="12" t="str">
        <x:v>Unassigned</x:v>
      </x:c>
      <x:c r="H123" s="14" t="n">
        <x:f>MINIFS(Evidence!$H$2:$H$1026,Evidence!$B$2:$B$1026,A123)</x:f>
        <x:v>2021</x:v>
      </x:c>
      <x:c r="I123" s="14" t="n">
        <x:f>MAXIFS(Evidence!$H$2:$H$1026,Evidence!$B$2:$B$1026,A123)</x:f>
        <x:v>2024</x:v>
      </x:c>
      <x:c r="J123" s="12" t="n">
        <x:f>COUNTIF(Evidence!$B$2:$B$1026,A123)</x:f>
        <x:v>18</x:v>
      </x:c>
      <x:c r="K123" s="12" t="n">
        <x:v>4</x:v>
      </x:c>
      <x:c r="L123" s="12" t="n">
        <x:v>6</x:v>
      </x:c>
      <x:c r="M123" s="12" t="n">
        <x:v>2</x:v>
      </x:c>
      <x:c r="N123" s="12" t="n">
        <x:v>2</x:v>
      </x:c>
      <x:c r="O123" s="12" t="str">
        <x:v>Recurring</x:v>
      </x:c>
      <x:c r="P123" s="12" t="n">
        <x:f>ROUND(MIN(100,(J123*1.5)+(K123*8)+(L123*4)+(M123*3)+((I123-H123+1)*3)),0)</x:f>
        <x:v>100</x:v>
      </x:c>
      <x:c r="Q123" s="12" t="str">
        <x:v>No</x:v>
      </x:c>
      <x:c r="R123" s="12" t="str"/>
      <x:c r="S123" s="12" t="str"/>
      <x:c r="T123" s="12" t="str"/>
      <x:c r="U123" s="12" t="str">
        <x:v>AI-assisted draft cluster; human review required.</x:v>
      </x:c>
    </x:row>
    <x:row r="124">
      <x:c r="A124" s="12" t="str">
        <x:v>NEED-0123</x:v>
      </x:c>
      <x:c r="B124" s="12" t="str">
        <x:v>Earthdata users need guidance on how UWG members should review the community data.</x:v>
      </x:c>
      <x:c r="C124" s="12" t="str">
        <x:v>Provide guidance on how UWG members should review the community data.</x:v>
      </x:c>
      <x:c r="D124" s="12" t="str">
        <x:v>Other</x:v>
      </x:c>
      <x:c r="E124" s="12" t="str"/>
      <x:c r="F124" s="12" t="str">
        <x:v>Candidate</x:v>
      </x:c>
      <x:c r="G124" s="12" t="str">
        <x:v>Unassigned</x:v>
      </x:c>
      <x:c r="H124" s="14" t="n">
        <x:f>MINIFS(Evidence!$H$2:$H$1026,Evidence!$B$2:$B$1026,A124)</x:f>
        <x:v>2021</x:v>
      </x:c>
      <x:c r="I124" s="14" t="n">
        <x:f>MAXIFS(Evidence!$H$2:$H$1026,Evidence!$B$2:$B$1026,A124)</x:f>
        <x:v>2024</x:v>
      </x:c>
      <x:c r="J124" s="12" t="n">
        <x:f>COUNTIF(Evidence!$B$2:$B$1026,A124)</x:f>
        <x:v>20</x:v>
      </x:c>
      <x:c r="K124" s="12" t="n">
        <x:v>4</x:v>
      </x:c>
      <x:c r="L124" s="12" t="n">
        <x:v>8</x:v>
      </x:c>
      <x:c r="M124" s="12" t="n">
        <x:v>3</x:v>
      </x:c>
      <x:c r="N124" s="12" t="n">
        <x:v>1</x:v>
      </x:c>
      <x:c r="O124" s="12" t="str">
        <x:v>Recurring</x:v>
      </x:c>
      <x:c r="P124" s="12" t="n">
        <x:f>ROUND(MIN(100,(J124*1.5)+(K124*8)+(L124*4)+(M124*3)+((I124-H124+1)*3)),0)</x:f>
        <x:v>100</x:v>
      </x:c>
      <x:c r="Q124" s="12" t="str">
        <x:v>No</x:v>
      </x:c>
      <x:c r="R124" s="12" t="str"/>
      <x:c r="S124" s="12" t="str"/>
      <x:c r="T124" s="12" t="str"/>
      <x:c r="U124" s="12" t="str">
        <x:v>AI-assisted draft cluster; human review required.</x:v>
      </x:c>
    </x:row>
    <x:row r="125">
      <x:c r="A125" s="12" t="str">
        <x:v>NEED-0124</x:v>
      </x:c>
      <x:c r="B125" s="12" t="str">
        <x:v>Earthdata users need uWG membership to stay in line with stakeholder needs.</x:v>
      </x:c>
      <x:c r="C125" s="12" t="str">
        <x:v>Evolve UWG membership to stay in line with stakeholder needs.</x:v>
      </x:c>
      <x:c r="D125" s="12" t="str">
        <x:v>Other</x:v>
      </x:c>
      <x:c r="E125" s="12" t="str"/>
      <x:c r="F125" s="12" t="str">
        <x:v>Candidate</x:v>
      </x:c>
      <x:c r="G125" s="12" t="str">
        <x:v>Unassigned</x:v>
      </x:c>
      <x:c r="H125" s="14" t="n">
        <x:f>MINIFS(Evidence!$H$2:$H$1026,Evidence!$B$2:$B$1026,A125)</x:f>
        <x:v>2021</x:v>
      </x:c>
      <x:c r="I125" s="14" t="n">
        <x:f>MAXIFS(Evidence!$H$2:$H$1026,Evidence!$B$2:$B$1026,A125)</x:f>
        <x:v>2024</x:v>
      </x:c>
      <x:c r="J125" s="12" t="n">
        <x:f>COUNTIF(Evidence!$B$2:$B$1026,A125)</x:f>
        <x:v>21</x:v>
      </x:c>
      <x:c r="K125" s="12" t="n">
        <x:v>4</x:v>
      </x:c>
      <x:c r="L125" s="12" t="n">
        <x:v>7</x:v>
      </x:c>
      <x:c r="M125" s="12" t="n">
        <x:v>2</x:v>
      </x:c>
      <x:c r="N125" s="12" t="n">
        <x:v>1</x:v>
      </x:c>
      <x:c r="O125" s="12" t="str">
        <x:v>Recurring</x:v>
      </x:c>
      <x:c r="P125" s="12" t="n">
        <x:f>ROUND(MIN(100,(J125*1.5)+(K125*8)+(L125*4)+(M125*3)+((I125-H125+1)*3)),0)</x:f>
        <x:v>100</x:v>
      </x:c>
      <x:c r="Q125" s="12" t="str">
        <x:v>No</x:v>
      </x:c>
      <x:c r="R125" s="12" t="str"/>
      <x:c r="S125" s="12" t="str"/>
      <x:c r="T125" s="12" t="str"/>
      <x:c r="U125" s="12" t="str">
        <x:v>AI-assisted draft cluster; human review required.</x:v>
      </x:c>
    </x:row>
    <x:row r="126">
      <x:c r="A126" s="12" t="str">
        <x:v>NEED-0125</x:v>
      </x:c>
      <x:c r="B126" s="12" t="str">
        <x:v>Earthdata users need recommend creating a one-page data submission guide that includes the procedure and task list for first-time data providers. This will help these new users quickly understand the process, find the necessary resources, and know when and who to ask for help.</x:v>
      </x:c>
      <x:c r="C126" s="12" t="str">
        <x:v>We recommend creating a one-page data submission guide that includes the procedure and task list for first-time data providers. This will help these new users quickly understand th</x:v>
      </x:c>
      <x:c r="D126" s="12" t="str">
        <x:v>Other</x:v>
      </x:c>
      <x:c r="E126" s="12" t="str"/>
      <x:c r="F126" s="12" t="str">
        <x:v>Candidate</x:v>
      </x:c>
      <x:c r="G126" s="12" t="str">
        <x:v>Unassigned</x:v>
      </x:c>
      <x:c r="H126" s="14" t="n">
        <x:f>MINIFS(Evidence!$H$2:$H$1026,Evidence!$B$2:$B$1026,A126)</x:f>
        <x:v>2021</x:v>
      </x:c>
      <x:c r="I126" s="14" t="n">
        <x:f>MAXIFS(Evidence!$H$2:$H$1026,Evidence!$B$2:$B$1026,A126)</x:f>
        <x:v>2024</x:v>
      </x:c>
      <x:c r="J126" s="12" t="n">
        <x:f>COUNTIF(Evidence!$B$2:$B$1026,A126)</x:f>
        <x:v>20</x:v>
      </x:c>
      <x:c r="K126" s="12" t="n">
        <x:v>4</x:v>
      </x:c>
      <x:c r="L126" s="12" t="n">
        <x:v>8</x:v>
      </x:c>
      <x:c r="M126" s="12" t="n">
        <x:v>4</x:v>
      </x:c>
      <x:c r="N126" s="12" t="n">
        <x:v>2</x:v>
      </x:c>
      <x:c r="O126" s="12" t="str">
        <x:v>Recurring</x:v>
      </x:c>
      <x:c r="P126" s="12" t="n">
        <x:f>ROUND(MIN(100,(J126*1.5)+(K126*8)+(L126*4)+(M126*3)+((I126-H126+1)*3)),0)</x:f>
        <x:v>100</x:v>
      </x:c>
      <x:c r="Q126" s="12" t="str">
        <x:v>No</x:v>
      </x:c>
      <x:c r="R126" s="12" t="str"/>
      <x:c r="S126" s="12" t="str"/>
      <x:c r="T126" s="12" t="str"/>
      <x:c r="U126" s="12" t="str">
        <x:v>AI-assisted draft cluster; human review required.</x:v>
      </x:c>
    </x:row>
    <x:row r="127">
      <x:c r="A127" s="12" t="str">
        <x:v>NEED-0126</x:v>
      </x:c>
      <x:c r="B127" s="12" t="str">
        <x:v>Earthdata users need suggestions to Karen on how data from event-based monitoring from DR should be made available to users.</x:v>
      </x:c>
      <x:c r="C127" s="12" t="str">
        <x:v>Send suggestions to Karen on how data from event-based monitoring from DR should be made available to users.</x:v>
      </x:c>
      <x:c r="D127" s="12" t="str">
        <x:v>Other</x:v>
      </x:c>
      <x:c r="E127" s="12" t="str"/>
      <x:c r="F127" s="12" t="str">
        <x:v>Candidate</x:v>
      </x:c>
      <x:c r="G127" s="12" t="str">
        <x:v>Unassigned</x:v>
      </x:c>
      <x:c r="H127" s="14" t="n">
        <x:f>MINIFS(Evidence!$H$2:$H$1026,Evidence!$B$2:$B$1026,A127)</x:f>
        <x:v>2021</x:v>
      </x:c>
      <x:c r="I127" s="14" t="n">
        <x:f>MAXIFS(Evidence!$H$2:$H$1026,Evidence!$B$2:$B$1026,A127)</x:f>
        <x:v>2024</x:v>
      </x:c>
      <x:c r="J127" s="12" t="n">
        <x:f>COUNTIF(Evidence!$B$2:$B$1026,A127)</x:f>
        <x:v>25</x:v>
      </x:c>
      <x:c r="K127" s="12" t="n">
        <x:v>4</x:v>
      </x:c>
      <x:c r="L127" s="12" t="n">
        <x:v>10</x:v>
      </x:c>
      <x:c r="M127" s="12" t="n">
        <x:v>2</x:v>
      </x:c>
      <x:c r="N127" s="12" t="n">
        <x:v>4</x:v>
      </x:c>
      <x:c r="O127" s="12" t="str">
        <x:v>Recurring</x:v>
      </x:c>
      <x:c r="P127" s="12" t="n">
        <x:f>ROUND(MIN(100,(J127*1.5)+(K127*8)+(L127*4)+(M127*3)+((I127-H127+1)*3)),0)</x:f>
        <x:v>100</x:v>
      </x:c>
      <x:c r="Q127" s="12" t="str">
        <x:v>No</x:v>
      </x:c>
      <x:c r="R127" s="12" t="str"/>
      <x:c r="S127" s="12" t="str"/>
      <x:c r="T127" s="12" t="str"/>
      <x:c r="U127" s="12" t="str">
        <x:v>AI-assisted draft cluster; human review required.</x:v>
      </x:c>
    </x:row>
    <x:row r="128">
      <x:c r="A128" s="12" t="str">
        <x:v>NEED-0127</x:v>
      </x:c>
      <x:c r="B128" s="12" t="str">
        <x:v>Earthdata users need was a suggestion to make the code available to increase the usefulness of the data, and another to include a question on EJ issues in the data submission form, which could eventually be used as a metric of SEDAC holdings in the field of EJ.</x:v>
      </x:c>
      <x:c r="C128" s="12" t="str">
        <x:v>There was a suggestion to make the code available to increase the usefulness of the data, and another to include a question on EJ issues in the data submission form, which could ev</x:v>
      </x:c>
      <x:c r="D128" s="12" t="str">
        <x:v>Other</x:v>
      </x:c>
      <x:c r="E128" s="12" t="str"/>
      <x:c r="F128" s="12" t="str">
        <x:v>Candidate</x:v>
      </x:c>
      <x:c r="G128" s="12" t="str">
        <x:v>Unassigned</x:v>
      </x:c>
      <x:c r="H128" s="14" t="n">
        <x:f>MINIFS(Evidence!$H$2:$H$1026,Evidence!$B$2:$B$1026,A128)</x:f>
        <x:v>2021</x:v>
      </x:c>
      <x:c r="I128" s="14" t="n">
        <x:f>MAXIFS(Evidence!$H$2:$H$1026,Evidence!$B$2:$B$1026,A128)</x:f>
        <x:v>2024</x:v>
      </x:c>
      <x:c r="J128" s="12" t="n">
        <x:f>COUNTIF(Evidence!$B$2:$B$1026,A128)</x:f>
        <x:v>15</x:v>
      </x:c>
      <x:c r="K128" s="12" t="n">
        <x:v>4</x:v>
      </x:c>
      <x:c r="L128" s="12" t="n">
        <x:v>7</x:v>
      </x:c>
      <x:c r="M128" s="12" t="n">
        <x:v>5</x:v>
      </x:c>
      <x:c r="N128" s="12" t="n">
        <x:v>2</x:v>
      </x:c>
      <x:c r="O128" s="12" t="str">
        <x:v>Recurring</x:v>
      </x:c>
      <x:c r="P128" s="12" t="n">
        <x:f>ROUND(MIN(100,(J128*1.5)+(K128*8)+(L128*4)+(M128*3)+((I128-H128+1)*3)),0)</x:f>
        <x:v>100</x:v>
      </x:c>
      <x:c r="Q128" s="12" t="str">
        <x:v>No</x:v>
      </x:c>
      <x:c r="R128" s="12" t="str"/>
      <x:c r="S128" s="12" t="str"/>
      <x:c r="T128" s="12" t="str"/>
      <x:c r="U128" s="12" t="str">
        <x:v>AI-assisted draft cluster; human review required.</x:v>
      </x:c>
    </x:row>
    <x:row r="129">
      <x:c r="A129" s="12" t="str">
        <x:v>NEED-0128</x:v>
      </x:c>
      <x:c r="B129" s="12" t="str">
        <x:v>Earthdata users need geostationary Aerosol Enhancement Request is still pending and should be considered by NASA HQ in FY24.</x:v>
      </x:c>
      <x:c r="C129" s="12" t="str">
        <x:v>The Geostationary Aerosol Enhancement Request is still pending and should be considered by NASA HQ in FY24.</x:v>
      </x:c>
      <x:c r="D129" s="12" t="str">
        <x:v>Other</x:v>
      </x:c>
      <x:c r="E129" s="12" t="str"/>
      <x:c r="F129" s="12" t="str">
        <x:v>Candidate</x:v>
      </x:c>
      <x:c r="G129" s="12" t="str">
        <x:v>Unassigned</x:v>
      </x:c>
      <x:c r="H129" s="14" t="n">
        <x:f>MINIFS(Evidence!$H$2:$H$1026,Evidence!$B$2:$B$1026,A129)</x:f>
        <x:v>2021</x:v>
      </x:c>
      <x:c r="I129" s="14" t="n">
        <x:f>MAXIFS(Evidence!$H$2:$H$1026,Evidence!$B$2:$B$1026,A129)</x:f>
        <x:v>2024</x:v>
      </x:c>
      <x:c r="J129" s="12" t="n">
        <x:f>COUNTIF(Evidence!$B$2:$B$1026,A129)</x:f>
        <x:v>9</x:v>
      </x:c>
      <x:c r="K129" s="12" t="n">
        <x:v>3</x:v>
      </x:c>
      <x:c r="L129" s="12" t="n">
        <x:v>5</x:v>
      </x:c>
      <x:c r="M129" s="12" t="n">
        <x:v>1</x:v>
      </x:c>
      <x:c r="N129" s="12" t="n">
        <x:v>1</x:v>
      </x:c>
      <x:c r="O129" s="12" t="str">
        <x:v>Recurring</x:v>
      </x:c>
      <x:c r="P129" s="12" t="n">
        <x:f>ROUND(MIN(100,(J129*1.5)+(K129*8)+(L129*4)+(M129*3)+((I129-H129+1)*3)),0)</x:f>
        <x:v>73</x:v>
      </x:c>
      <x:c r="Q129" s="12" t="str">
        <x:v>No</x:v>
      </x:c>
      <x:c r="R129" s="12" t="str"/>
      <x:c r="S129" s="12" t="str"/>
      <x:c r="T129" s="12" t="str"/>
      <x:c r="U129" s="12" t="str">
        <x:v>AI-assisted draft cluster; human review required.</x:v>
      </x:c>
    </x:row>
    <x:row r="130">
      <x:c r="A130" s="12" t="str">
        <x:v>NEED-0129</x:v>
      </x:c>
      <x:c r="B130" s="12" t="str">
        <x:v>Earthdata users need ways for ASF to allow users to take advantage of NISAR S-band data, and exploit dual-frequency.</x:v>
      </x:c>
      <x:c r="C130" s="12" t="str">
        <x:v>Explore ways for ASF to allow users to take advantage of NISAR S-band data, and exploit dual-frequency.</x:v>
      </x:c>
      <x:c r="D130" s="12" t="str">
        <x:v>Other</x:v>
      </x:c>
      <x:c r="E130" s="12" t="str"/>
      <x:c r="F130" s="12" t="str">
        <x:v>Candidate</x:v>
      </x:c>
      <x:c r="G130" s="12" t="str">
        <x:v>Unassigned</x:v>
      </x:c>
      <x:c r="H130" s="14" t="n">
        <x:f>MINIFS(Evidence!$H$2:$H$1026,Evidence!$B$2:$B$1026,A130)</x:f>
        <x:v>2021</x:v>
      </x:c>
      <x:c r="I130" s="14" t="n">
        <x:f>MAXIFS(Evidence!$H$2:$H$1026,Evidence!$B$2:$B$1026,A130)</x:f>
        <x:v>2024</x:v>
      </x:c>
      <x:c r="J130" s="12" t="n">
        <x:f>COUNTIF(Evidence!$B$2:$B$1026,A130)</x:f>
        <x:v>17</x:v>
      </x:c>
      <x:c r="K130" s="12" t="n">
        <x:v>4</x:v>
      </x:c>
      <x:c r="L130" s="12" t="n">
        <x:v>4</x:v>
      </x:c>
      <x:c r="M130" s="12" t="n">
        <x:v>4</x:v>
      </x:c>
      <x:c r="N130" s="12" t="n">
        <x:v>2</x:v>
      </x:c>
      <x:c r="O130" s="12" t="str">
        <x:v>Recurring</x:v>
      </x:c>
      <x:c r="P130" s="12" t="n">
        <x:f>ROUND(MIN(100,(J130*1.5)+(K130*8)+(L130*4)+(M130*3)+((I130-H130+1)*3)),0)</x:f>
        <x:v>98</x:v>
      </x:c>
      <x:c r="Q130" s="12" t="str">
        <x:v>No</x:v>
      </x:c>
      <x:c r="R130" s="12" t="str"/>
      <x:c r="S130" s="12" t="str"/>
      <x:c r="T130" s="12" t="str"/>
      <x:c r="U130" s="12" t="str">
        <x:v>AI-assisted draft cluster; human review required.</x:v>
      </x:c>
    </x:row>
    <x:row r="131">
      <x:c r="A131" s="12" t="str">
        <x:v>NEED-0130</x:v>
      </x:c>
      <x:c r="B131" s="12" t="str">
        <x:v>Earthdata users need requires an internet connection because it automatically looks for ancillary data even if you already have it locally. This creates a lot of queries from the same IP which ultimately gets the IP blocked by NASA. Can ancillary auto-find be disabled by user?.</x:v>
      </x:c>
      <x:c r="C131" s="12" t="str">
        <x:v>SeaDAS requires an internet connection because it automatically looks for ancillary data even if you already have it locally. This creates a lot of queries from the same IP which u</x:v>
      </x:c>
      <x:c r="D131" s="12" t="str">
        <x:v>Other</x:v>
      </x:c>
      <x:c r="E131" s="12" t="str"/>
      <x:c r="F131" s="12" t="str">
        <x:v>Candidate</x:v>
      </x:c>
      <x:c r="G131" s="12" t="str">
        <x:v>Unassigned</x:v>
      </x:c>
      <x:c r="H131" s="14" t="n">
        <x:f>MINIFS(Evidence!$H$2:$H$1026,Evidence!$B$2:$B$1026,A131)</x:f>
        <x:v>2022</x:v>
      </x:c>
      <x:c r="I131" s="14" t="n">
        <x:f>MAXIFS(Evidence!$H$2:$H$1026,Evidence!$B$2:$B$1026,A131)</x:f>
        <x:v>2024</x:v>
      </x:c>
      <x:c r="J131" s="12" t="n">
        <x:f>COUNTIF(Evidence!$B$2:$B$1026,A131)</x:f>
        <x:v>11</x:v>
      </x:c>
      <x:c r="K131" s="12" t="n">
        <x:v>3</x:v>
      </x:c>
      <x:c r="L131" s="12" t="n">
        <x:v>3</x:v>
      </x:c>
      <x:c r="M131" s="12" t="n">
        <x:v>2</x:v>
      </x:c>
      <x:c r="N131" s="12" t="n">
        <x:v>2</x:v>
      </x:c>
      <x:c r="O131" s="12" t="str">
        <x:v>Recurring</x:v>
      </x:c>
      <x:c r="P131" s="12" t="n">
        <x:f>ROUND(MIN(100,(J131*1.5)+(K131*8)+(L131*4)+(M131*3)+((I131-H131+1)*3)),0)</x:f>
        <x:v>68</x:v>
      </x:c>
      <x:c r="Q131" s="12" t="str">
        <x:v>No</x:v>
      </x:c>
      <x:c r="R131" s="12" t="str"/>
      <x:c r="S131" s="12" t="str"/>
      <x:c r="T131" s="12" t="str"/>
      <x:c r="U131" s="12" t="str">
        <x:v>AI-assisted draft cluster; human review required.</x:v>
      </x:c>
    </x:row>
    <x:row r="132">
      <x:c r="A132" s="12" t="str">
        <x:v>NEED-0131</x:v>
      </x:c>
      <x:c r="B132" s="12" t="str">
        <x:v>Earthdata users need dAAC Data File Requirements and Recommendations.</x:v>
      </x:c>
      <x:c r="C132" s="12" t="str">
        <x:v>NSIDC DAAC Data File Requirements and Recommendations</x:v>
      </x:c>
      <x:c r="D132" s="12" t="str">
        <x:v>Other</x:v>
      </x:c>
      <x:c r="E132" s="12" t="str"/>
      <x:c r="F132" s="12" t="str">
        <x:v>Candidate</x:v>
      </x:c>
      <x:c r="G132" s="12" t="str">
        <x:v>Unassigned</x:v>
      </x:c>
      <x:c r="H132" s="14" t="n">
        <x:f>MINIFS(Evidence!$H$2:$H$1026,Evidence!$B$2:$B$1026,A132)</x:f>
        <x:v>2021</x:v>
      </x:c>
      <x:c r="I132" s="14" t="n">
        <x:f>MAXIFS(Evidence!$H$2:$H$1026,Evidence!$B$2:$B$1026,A132)</x:f>
        <x:v>2024</x:v>
      </x:c>
      <x:c r="J132" s="12" t="n">
        <x:f>COUNTIF(Evidence!$B$2:$B$1026,A132)</x:f>
        <x:v>14</x:v>
      </x:c>
      <x:c r="K132" s="12" t="n">
        <x:v>4</x:v>
      </x:c>
      <x:c r="L132" s="12" t="n">
        <x:v>5</x:v>
      </x:c>
      <x:c r="M132" s="12" t="n">
        <x:v>2</x:v>
      </x:c>
      <x:c r="N132" s="12" t="n">
        <x:v>1</x:v>
      </x:c>
      <x:c r="O132" s="12" t="str">
        <x:v>Recurring</x:v>
      </x:c>
      <x:c r="P132" s="12" t="n">
        <x:f>ROUND(MIN(100,(J132*1.5)+(K132*8)+(L132*4)+(M132*3)+((I132-H132+1)*3)),0)</x:f>
        <x:v>91</x:v>
      </x:c>
      <x:c r="Q132" s="12" t="str">
        <x:v>No</x:v>
      </x:c>
      <x:c r="R132" s="12" t="str"/>
      <x:c r="S132" s="12" t="str"/>
      <x:c r="T132" s="12" t="str"/>
      <x:c r="U132" s="12" t="str">
        <x:v>AI-assisted draft cluster; human review required.</x:v>
      </x:c>
    </x:row>
    <x:row r="133">
      <x:c r="A133" s="12" t="str">
        <x:v>NEED-0132</x:v>
      </x:c>
      <x:c r="B133" s="12" t="str">
        <x:v>Earthdata users need for ways to link to external repositories (e.g. NOAA Coastwatch (https://coastwatch.noaa.gov/cw_html/cwViewer.html), BCO-DMO (https://www.bco-dmo.org/), Go-ship (https://www.go-ship.org/DataDirect.html)).</x:v>
      </x:c>
      <x:c r="C133" s="12" t="str">
        <x:v>Look for ways to link to external repositories (e.g. NOAA Coastwatch (https://coastwatch.noaa.gov/cw_html/cwViewer.html), BCO-DMO (https://www.bco-dmo.org/), Go-ship (https://www.g</x:v>
      </x:c>
      <x:c r="D133" s="12" t="str">
        <x:v>Other</x:v>
      </x:c>
      <x:c r="E133" s="12" t="str"/>
      <x:c r="F133" s="12" t="str">
        <x:v>Candidate</x:v>
      </x:c>
      <x:c r="G133" s="12" t="str">
        <x:v>Unassigned</x:v>
      </x:c>
      <x:c r="H133" s="14" t="n">
        <x:f>MINIFS(Evidence!$H$2:$H$1026,Evidence!$B$2:$B$1026,A133)</x:f>
        <x:v>2021</x:v>
      </x:c>
      <x:c r="I133" s="14" t="n">
        <x:f>MAXIFS(Evidence!$H$2:$H$1026,Evidence!$B$2:$B$1026,A133)</x:f>
        <x:v>2022</x:v>
      </x:c>
      <x:c r="J133" s="12" t="n">
        <x:f>COUNTIF(Evidence!$B$2:$B$1026,A133)</x:f>
        <x:v>5</x:v>
      </x:c>
      <x:c r="K133" s="12" t="n">
        <x:v>2</x:v>
      </x:c>
      <x:c r="L133" s="12" t="n">
        <x:v>3</x:v>
      </x:c>
      <x:c r="M133" s="12" t="n">
        <x:v>1</x:v>
      </x:c>
      <x:c r="N133" s="12" t="n">
        <x:v>2</x:v>
      </x:c>
      <x:c r="O133" s="12" t="str">
        <x:v>Recurring</x:v>
      </x:c>
      <x:c r="P133" s="12" t="n">
        <x:f>ROUND(MIN(100,(J133*1.5)+(K133*8)+(L133*4)+(M133*3)+((I133-H133+1)*3)),0)</x:f>
        <x:v>45</x:v>
      </x:c>
      <x:c r="Q133" s="12" t="str">
        <x:v>No</x:v>
      </x:c>
      <x:c r="R133" s="12" t="str"/>
      <x:c r="S133" s="12" t="str"/>
      <x:c r="T133" s="12" t="str"/>
      <x:c r="U133" s="12" t="str">
        <x:v>AI-assisted draft cluster; human review required.</x:v>
      </x:c>
    </x:row>
    <x:row r="134">
      <x:c r="A134" s="12" t="str">
        <x:v>NEED-0133</x:v>
      </x:c>
      <x:c r="B134" s="12" t="str">
        <x:v>Earthdata users need dAAC will work with ESDIS and the EOSDIS User Needs group to address the question of should there be centralized repositories for DAAC/ESDIS resources.</x:v>
      </x:c>
      <x:c r="C134" s="12" t="str">
        <x:v>The DAAC will work with ESDIS and the EOSDIS User Needs group to address the question of should there be centralized repositories for DAAC/ESDIS resources.</x:v>
      </x:c>
      <x:c r="D134" s="12" t="str">
        <x:v>Other</x:v>
      </x:c>
      <x:c r="E134" s="12" t="str"/>
      <x:c r="F134" s="12" t="str">
        <x:v>Candidate</x:v>
      </x:c>
      <x:c r="G134" s="12" t="str">
        <x:v>Unassigned</x:v>
      </x:c>
      <x:c r="H134" s="14" t="n">
        <x:f>MINIFS(Evidence!$H$2:$H$1026,Evidence!$B$2:$B$1026,A134)</x:f>
        <x:v>2021</x:v>
      </x:c>
      <x:c r="I134" s="14" t="n">
        <x:f>MAXIFS(Evidence!$H$2:$H$1026,Evidence!$B$2:$B$1026,A134)</x:f>
        <x:v>2024</x:v>
      </x:c>
      <x:c r="J134" s="12" t="n">
        <x:f>COUNTIF(Evidence!$B$2:$B$1026,A134)</x:f>
        <x:v>14</x:v>
      </x:c>
      <x:c r="K134" s="12" t="n">
        <x:v>4</x:v>
      </x:c>
      <x:c r="L134" s="12" t="n">
        <x:v>5</x:v>
      </x:c>
      <x:c r="M134" s="12" t="n">
        <x:v>3</x:v>
      </x:c>
      <x:c r="N134" s="12" t="n">
        <x:v>2</x:v>
      </x:c>
      <x:c r="O134" s="12" t="str">
        <x:v>Recurring</x:v>
      </x:c>
      <x:c r="P134" s="12" t="n">
        <x:f>ROUND(MIN(100,(J134*1.5)+(K134*8)+(L134*4)+(M134*3)+((I134-H134+1)*3)),0)</x:f>
        <x:v>94</x:v>
      </x:c>
      <x:c r="Q134" s="12" t="str">
        <x:v>No</x:v>
      </x:c>
      <x:c r="R134" s="12" t="str"/>
      <x:c r="S134" s="12" t="str"/>
      <x:c r="T134" s="12" t="str"/>
      <x:c r="U134" s="12" t="str">
        <x:v>AI-assisted draft cluster; human review required.</x:v>
      </x:c>
    </x:row>
    <x:row r="135">
      <x:c r="A135" s="12" t="str">
        <x:v>NEED-0134</x:v>
      </x:c>
      <x:c r="B135" s="12" t="str">
        <x:v>Earthdata users need common platform where Principal Investigators and Subject Matter Experts can interact with each other and with the users. Earthdata Forum was suggested as a potential platform.</x:v>
      </x:c>
      <x:c r="C135" s="12" t="str">
        <x:v>A common platform where Principal Investigators and Subject Matter Experts can interact with each other and with the users. Earthdata Forum was suggested as a potential platform.</x:v>
      </x:c>
      <x:c r="D135" s="12" t="str">
        <x:v>Other</x:v>
      </x:c>
      <x:c r="E135" s="12" t="str"/>
      <x:c r="F135" s="12" t="str">
        <x:v>Candidate</x:v>
      </x:c>
      <x:c r="G135" s="12" t="str">
        <x:v>Unassigned</x:v>
      </x:c>
      <x:c r="H135" s="14" t="n">
        <x:f>MINIFS(Evidence!$H$2:$H$1026,Evidence!$B$2:$B$1026,A135)</x:f>
        <x:v>2021</x:v>
      </x:c>
      <x:c r="I135" s="14" t="n">
        <x:f>MAXIFS(Evidence!$H$2:$H$1026,Evidence!$B$2:$B$1026,A135)</x:f>
        <x:v>2024</x:v>
      </x:c>
      <x:c r="J135" s="12" t="n">
        <x:f>COUNTIF(Evidence!$B$2:$B$1026,A135)</x:f>
        <x:v>15</x:v>
      </x:c>
      <x:c r="K135" s="12" t="n">
        <x:v>4</x:v>
      </x:c>
      <x:c r="L135" s="12" t="n">
        <x:v>6</x:v>
      </x:c>
      <x:c r="M135" s="12" t="n">
        <x:v>2</x:v>
      </x:c>
      <x:c r="N135" s="12" t="n">
        <x:v>1</x:v>
      </x:c>
      <x:c r="O135" s="12" t="str">
        <x:v>Recurring</x:v>
      </x:c>
      <x:c r="P135" s="12" t="n">
        <x:f>ROUND(MIN(100,(J135*1.5)+(K135*8)+(L135*4)+(M135*3)+((I135-H135+1)*3)),0)</x:f>
        <x:v>97</x:v>
      </x:c>
      <x:c r="Q135" s="12" t="str">
        <x:v>No</x:v>
      </x:c>
      <x:c r="R135" s="12" t="str"/>
      <x:c r="S135" s="12" t="str"/>
      <x:c r="T135" s="12" t="str"/>
      <x:c r="U135" s="12" t="str">
        <x:v>AI-assisted draft cluster; human review required.</x:v>
      </x:c>
    </x:row>
    <x:row r="136">
      <x:c r="A136" s="12" t="str">
        <x:v>NEED-0135</x:v>
      </x:c>
      <x:c r="B136" s="12" t="str">
        <x:v>Earthdata users need intentional procedures on dealing with commercial data.</x:v>
      </x:c>
      <x:c r="C136" s="12" t="str">
        <x:v>Develop intentional procedures on dealing with commercial data.</x:v>
      </x:c>
      <x:c r="D136" s="12" t="str">
        <x:v>Other</x:v>
      </x:c>
      <x:c r="E136" s="12" t="str"/>
      <x:c r="F136" s="12" t="str">
        <x:v>Candidate</x:v>
      </x:c>
      <x:c r="G136" s="12" t="str">
        <x:v>Unassigned</x:v>
      </x:c>
      <x:c r="H136" s="14" t="n">
        <x:f>MINIFS(Evidence!$H$2:$H$1026,Evidence!$B$2:$B$1026,A136)</x:f>
        <x:v>2023</x:v>
      </x:c>
      <x:c r="I136" s="14" t="n">
        <x:f>MAXIFS(Evidence!$H$2:$H$1026,Evidence!$B$2:$B$1026,A136)</x:f>
        <x:v>2023</x:v>
      </x:c>
      <x:c r="J136" s="12" t="n">
        <x:f>COUNTIF(Evidence!$B$2:$B$1026,A136)</x:f>
        <x:v>2</x:v>
      </x:c>
      <x:c r="K136" s="12" t="n">
        <x:v>1</x:v>
      </x:c>
      <x:c r="L136" s="12" t="n">
        <x:v>1</x:v>
      </x:c>
      <x:c r="M136" s="12" t="n">
        <x:v>1</x:v>
      </x:c>
      <x:c r="N136" s="12" t="n">
        <x:v>1</x:v>
      </x:c>
      <x:c r="O136" s="12" t="str">
        <x:v>Single-year signal</x:v>
      </x:c>
      <x:c r="P136" s="12" t="n">
        <x:f>ROUND(MIN(100,(J136*1.5)+(K136*8)+(L136*4)+(M136*3)+((I136-H136+1)*3)),0)</x:f>
        <x:v>21</x:v>
      </x:c>
      <x:c r="Q136" s="12" t="str">
        <x:v>No</x:v>
      </x:c>
      <x:c r="R136" s="12" t="str"/>
      <x:c r="S136" s="12" t="str"/>
      <x:c r="T136" s="12" t="str"/>
      <x:c r="U136" s="12" t="str">
        <x:v>AI-assisted draft cluster; human review required.</x:v>
      </x:c>
    </x:row>
    <x:row r="137">
      <x:c r="A137" s="12" t="str">
        <x:v>NEED-0136</x:v>
      </x:c>
      <x:c r="B137" s="12" t="str">
        <x:v>Earthdata users need a DAAC Selection Progress Tracker.</x:v>
      </x:c>
      <x:c r="C137" s="12" t="str">
        <x:v>Create a DAAC Selection Progress Tracker.</x:v>
      </x:c>
      <x:c r="D137" s="12" t="str">
        <x:v>Other</x:v>
      </x:c>
      <x:c r="E137" s="12" t="str"/>
      <x:c r="F137" s="12" t="str">
        <x:v>Candidate</x:v>
      </x:c>
      <x:c r="G137" s="12" t="str">
        <x:v>Unassigned</x:v>
      </x:c>
      <x:c r="H137" s="14" t="n">
        <x:f>MINIFS(Evidence!$H$2:$H$1026,Evidence!$B$2:$B$1026,A137)</x:f>
        <x:v>2021</x:v>
      </x:c>
      <x:c r="I137" s="14" t="n">
        <x:f>MAXIFS(Evidence!$H$2:$H$1026,Evidence!$B$2:$B$1026,A137)</x:f>
        <x:v>2024</x:v>
      </x:c>
      <x:c r="J137" s="12" t="n">
        <x:f>COUNTIF(Evidence!$B$2:$B$1026,A137)</x:f>
        <x:v>7</x:v>
      </x:c>
      <x:c r="K137" s="12" t="n">
        <x:v>3</x:v>
      </x:c>
      <x:c r="L137" s="12" t="n">
        <x:v>4</x:v>
      </x:c>
      <x:c r="M137" s="12" t="n">
        <x:v>2</x:v>
      </x:c>
      <x:c r="N137" s="12" t="n">
        <x:v>1</x:v>
      </x:c>
      <x:c r="O137" s="12" t="str">
        <x:v>Recurring</x:v>
      </x:c>
      <x:c r="P137" s="12" t="n">
        <x:f>ROUND(MIN(100,(J137*1.5)+(K137*8)+(L137*4)+(M137*3)+((I137-H137+1)*3)),0)</x:f>
        <x:v>69</x:v>
      </x:c>
      <x:c r="Q137" s="12" t="str">
        <x:v>No</x:v>
      </x:c>
      <x:c r="R137" s="12" t="str"/>
      <x:c r="S137" s="12" t="str"/>
      <x:c r="T137" s="12" t="str"/>
      <x:c r="U137" s="12" t="str">
        <x:v>AI-assisted draft cluster; human review required.</x:v>
      </x:c>
    </x:row>
    <x:row r="138">
      <x:c r="A138" s="12" t="str">
        <x:v>NEED-0137</x:v>
      </x:c>
      <x:c r="B138" s="12" t="str">
        <x:v>Earthdata users need an opportunity to experiment with workflows for Earthdata Pub.</x:v>
      </x:c>
      <x:c r="C138" s="12" t="str">
        <x:v>Provides an opportunity to experiment with workflows for Earthdata Pub.</x:v>
      </x:c>
      <x:c r="D138" s="12" t="str">
        <x:v>Other</x:v>
      </x:c>
      <x:c r="E138" s="12" t="str"/>
      <x:c r="F138" s="12" t="str">
        <x:v>Candidate</x:v>
      </x:c>
      <x:c r="G138" s="12" t="str">
        <x:v>Unassigned</x:v>
      </x:c>
      <x:c r="H138" s="14" t="n">
        <x:f>MINIFS(Evidence!$H$2:$H$1026,Evidence!$B$2:$B$1026,A138)</x:f>
        <x:v>2022</x:v>
      </x:c>
      <x:c r="I138" s="14" t="n">
        <x:f>MAXIFS(Evidence!$H$2:$H$1026,Evidence!$B$2:$B$1026,A138)</x:f>
        <x:v>2024</x:v>
      </x:c>
      <x:c r="J138" s="12" t="n">
        <x:f>COUNTIF(Evidence!$B$2:$B$1026,A138)</x:f>
        <x:v>15</x:v>
      </x:c>
      <x:c r="K138" s="12" t="n">
        <x:v>3</x:v>
      </x:c>
      <x:c r="L138" s="12" t="n">
        <x:v>4</x:v>
      </x:c>
      <x:c r="M138" s="12" t="n">
        <x:v>3</x:v>
      </x:c>
      <x:c r="N138" s="12" t="n">
        <x:v>2</x:v>
      </x:c>
      <x:c r="O138" s="12" t="str">
        <x:v>Recurring</x:v>
      </x:c>
      <x:c r="P138" s="12" t="n">
        <x:f>ROUND(MIN(100,(J138*1.5)+(K138*8)+(L138*4)+(M138*3)+((I138-H138+1)*3)),0)</x:f>
        <x:v>81</x:v>
      </x:c>
      <x:c r="Q138" s="12" t="str">
        <x:v>No</x:v>
      </x:c>
      <x:c r="R138" s="12" t="str"/>
      <x:c r="S138" s="12" t="str"/>
      <x:c r="T138" s="12" t="str"/>
      <x:c r="U138" s="12" t="str">
        <x:v>AI-assisted draft cluster; human review required.</x:v>
      </x:c>
    </x:row>
    <x:row r="139">
      <x:c r="A139" s="12" t="str">
        <x:v>NEED-0138</x:v>
      </x:c>
      <x:c r="B139" s="12" t="str">
        <x:v>Earthdata users need for us to confirm with ESA the RTC resolution and justification. ESA intends 10M RTC. Continue the dialogue to ensure future compatibility.</x:v>
      </x:c>
      <x:c r="C139" s="12" t="str">
        <x:v>Action for us to confirm with ESA the RTC resolution and justification. ESA intends 10M RTC. Continue the dialogue to ensure future compatibility.</x:v>
      </x:c>
      <x:c r="D139" s="12" t="str">
        <x:v>Other</x:v>
      </x:c>
      <x:c r="E139" s="12" t="str"/>
      <x:c r="F139" s="12" t="str">
        <x:v>Candidate</x:v>
      </x:c>
      <x:c r="G139" s="12" t="str">
        <x:v>Unassigned</x:v>
      </x:c>
      <x:c r="H139" s="14" t="n">
        <x:f>MINIFS(Evidence!$H$2:$H$1026,Evidence!$B$2:$B$1026,A139)</x:f>
        <x:v>2021</x:v>
      </x:c>
      <x:c r="I139" s="14" t="n">
        <x:f>MAXIFS(Evidence!$H$2:$H$1026,Evidence!$B$2:$B$1026,A139)</x:f>
        <x:v>2023</x:v>
      </x:c>
      <x:c r="J139" s="12" t="n">
        <x:f>COUNTIF(Evidence!$B$2:$B$1026,A139)</x:f>
        <x:v>5</x:v>
      </x:c>
      <x:c r="K139" s="12" t="n">
        <x:v>3</x:v>
      </x:c>
      <x:c r="L139" s="12" t="n">
        <x:v>1</x:v>
      </x:c>
      <x:c r="M139" s="12" t="n">
        <x:v>2</x:v>
      </x:c>
      <x:c r="N139" s="12" t="n">
        <x:v>1</x:v>
      </x:c>
      <x:c r="O139" s="12" t="str">
        <x:v>Recurring</x:v>
      </x:c>
      <x:c r="P139" s="12" t="n">
        <x:f>ROUND(MIN(100,(J139*1.5)+(K139*8)+(L139*4)+(M139*3)+((I139-H139+1)*3)),0)</x:f>
        <x:v>51</x:v>
      </x:c>
      <x:c r="Q139" s="12" t="str">
        <x:v>No</x:v>
      </x:c>
      <x:c r="R139" s="12" t="str"/>
      <x:c r="S139" s="12" t="str"/>
      <x:c r="T139" s="12" t="str"/>
      <x:c r="U139" s="12" t="str">
        <x:v>AI-assisted draft cluster; human review required.</x:v>
      </x:c>
    </x:row>
    <x:row r="140">
      <x:c r="A140" s="12" t="str">
        <x:v>NEED-0139</x:v>
      </x:c>
      <x:c r="B140" s="12" t="str">
        <x:v>Earthdata users need an email out to the science community asking if scientists have SIR-A/B/C data. Look at ADMG best practices (Deb Smith).</x:v>
      </x:c>
      <x:c r="C140" s="12" t="str">
        <x:v>Send an email out to the science community asking if scientists have SIR-A/B/C data. Look at ADMG best practices (Deb Smith).</x:v>
      </x:c>
      <x:c r="D140" s="12" t="str">
        <x:v>Other</x:v>
      </x:c>
      <x:c r="E140" s="12" t="str"/>
      <x:c r="F140" s="12" t="str">
        <x:v>Candidate</x:v>
      </x:c>
      <x:c r="G140" s="12" t="str">
        <x:v>Unassigned</x:v>
      </x:c>
      <x:c r="H140" s="14" t="n">
        <x:f>MINIFS(Evidence!$H$2:$H$1026,Evidence!$B$2:$B$1026,A140)</x:f>
        <x:v>2021</x:v>
      </x:c>
      <x:c r="I140" s="14" t="n">
        <x:f>MAXIFS(Evidence!$H$2:$H$1026,Evidence!$B$2:$B$1026,A140)</x:f>
        <x:v>2023</x:v>
      </x:c>
      <x:c r="J140" s="12" t="n">
        <x:f>COUNTIF(Evidence!$B$2:$B$1026,A140)</x:f>
        <x:v>4</x:v>
      </x:c>
      <x:c r="K140" s="12" t="n">
        <x:v>3</x:v>
      </x:c>
      <x:c r="L140" s="12" t="n">
        <x:v>2</x:v>
      </x:c>
      <x:c r="M140" s="12" t="n">
        <x:v>1</x:v>
      </x:c>
      <x:c r="N140" s="12" t="n">
        <x:v>1</x:v>
      </x:c>
      <x:c r="O140" s="12" t="str">
        <x:v>Recurring</x:v>
      </x:c>
      <x:c r="P140" s="12" t="n">
        <x:f>ROUND(MIN(100,(J140*1.5)+(K140*8)+(L140*4)+(M140*3)+((I140-H140+1)*3)),0)</x:f>
        <x:v>50</x:v>
      </x:c>
      <x:c r="Q140" s="12" t="str">
        <x:v>No</x:v>
      </x:c>
      <x:c r="R140" s="12" t="str"/>
      <x:c r="S140" s="12" t="str"/>
      <x:c r="T140" s="12" t="str"/>
      <x:c r="U140" s="12" t="str">
        <x:v>AI-assisted draft cluster; human review required.</x:v>
      </x:c>
    </x:row>
    <x:row r="141">
      <x:c r="A141" s="12" t="str">
        <x:v>NEED-0140</x:v>
      </x:c>
      <x:c r="B141" s="12" t="str">
        <x:v>Earthdata users need recommendations, comments and concerns from the UWG have been noted and compiled into new action items.</x:v>
      </x:c>
      <x:c r="C141" s="12" t="str">
        <x:v>Recommendations, comments and concerns from the UWG have been noted and compiled into new action items.</x:v>
      </x:c>
      <x:c r="D141" s="12" t="str">
        <x:v>Other</x:v>
      </x:c>
      <x:c r="E141" s="12" t="str"/>
      <x:c r="F141" s="12" t="str">
        <x:v>Candidate</x:v>
      </x:c>
      <x:c r="G141" s="12" t="str">
        <x:v>Unassigned</x:v>
      </x:c>
      <x:c r="H141" s="14" t="n">
        <x:f>MINIFS(Evidence!$H$2:$H$1026,Evidence!$B$2:$B$1026,A141)</x:f>
        <x:v>2021</x:v>
      </x:c>
      <x:c r="I141" s="14" t="n">
        <x:f>MAXIFS(Evidence!$H$2:$H$1026,Evidence!$B$2:$B$1026,A141)</x:f>
        <x:v>2024</x:v>
      </x:c>
      <x:c r="J141" s="12" t="n">
        <x:f>COUNTIF(Evidence!$B$2:$B$1026,A141)</x:f>
        <x:v>11</x:v>
      </x:c>
      <x:c r="K141" s="12" t="n">
        <x:v>4</x:v>
      </x:c>
      <x:c r="L141" s="12" t="n">
        <x:v>4</x:v>
      </x:c>
      <x:c r="M141" s="12" t="n">
        <x:v>1</x:v>
      </x:c>
      <x:c r="N141" s="12" t="n">
        <x:v>1</x:v>
      </x:c>
      <x:c r="O141" s="12" t="str">
        <x:v>Recurring</x:v>
      </x:c>
      <x:c r="P141" s="12" t="n">
        <x:f>ROUND(MIN(100,(J141*1.5)+(K141*8)+(L141*4)+(M141*3)+((I141-H141+1)*3)),0)</x:f>
        <x:v>80</x:v>
      </x:c>
      <x:c r="Q141" s="12" t="str">
        <x:v>No</x:v>
      </x:c>
      <x:c r="R141" s="12" t="str"/>
      <x:c r="S141" s="12" t="str"/>
      <x:c r="T141" s="12" t="str"/>
      <x:c r="U141" s="12" t="str">
        <x:v>AI-assisted draft cluster; human review required.</x:v>
      </x:c>
    </x:row>
    <x:row r="142">
      <x:c r="A142" s="12" t="str">
        <x:v>NEED-0141</x:v>
      </x:c>
      <x:c r="B142" s="12" t="str">
        <x:v>Earthdata users need to use and what users can do with the data.</x:v>
      </x:c>
      <x:c r="C142" s="12" t="str">
        <x:v>How to use and what users can do with the data.</x:v>
      </x:c>
      <x:c r="D142" s="12" t="str">
        <x:v>Other</x:v>
      </x:c>
      <x:c r="E142" s="12" t="str"/>
      <x:c r="F142" s="12" t="str">
        <x:v>Candidate</x:v>
      </x:c>
      <x:c r="G142" s="12" t="str">
        <x:v>Unassigned</x:v>
      </x:c>
      <x:c r="H142" s="14" t="n">
        <x:f>MINIFS(Evidence!$H$2:$H$1026,Evidence!$B$2:$B$1026,A142)</x:f>
        <x:v>2021</x:v>
      </x:c>
      <x:c r="I142" s="14" t="n">
        <x:f>MAXIFS(Evidence!$H$2:$H$1026,Evidence!$B$2:$B$1026,A142)</x:f>
        <x:v>2024</x:v>
      </x:c>
      <x:c r="J142" s="12" t="n">
        <x:f>COUNTIF(Evidence!$B$2:$B$1026,A142)</x:f>
        <x:v>13</x:v>
      </x:c>
      <x:c r="K142" s="12" t="n">
        <x:v>3</x:v>
      </x:c>
      <x:c r="L142" s="12" t="n">
        <x:v>7</x:v>
      </x:c>
      <x:c r="M142" s="12" t="n">
        <x:v>3</x:v>
      </x:c>
      <x:c r="N142" s="12" t="n">
        <x:v>5</x:v>
      </x:c>
      <x:c r="O142" s="12" t="str">
        <x:v>Recurring</x:v>
      </x:c>
      <x:c r="P142" s="12" t="n">
        <x:f>ROUND(MIN(100,(J142*1.5)+(K142*8)+(L142*4)+(M142*3)+((I142-H142+1)*3)),0)</x:f>
        <x:v>93</x:v>
      </x:c>
      <x:c r="Q142" s="12" t="str">
        <x:v>No</x:v>
      </x:c>
      <x:c r="R142" s="12" t="str"/>
      <x:c r="S142" s="12" t="str"/>
      <x:c r="T142" s="12" t="str"/>
      <x:c r="U142" s="12" t="str">
        <x:v>AI-assisted draft cluster; human review required.</x:v>
      </x:c>
    </x:row>
    <x:row r="143">
      <x:c r="A143" s="12" t="str">
        <x:v>NEED-0142</x:v>
      </x:c>
      <x:c r="B143" s="12" t="str">
        <x:v>Earthdata users need association of State Geologists Meeting (next years will be in Park City, UT).</x:v>
      </x:c>
      <x:c r="C143" s="12" t="str">
        <x:v>Attend Association of State Geologists Meeting (next years will be in Park City, UT)</x:v>
      </x:c>
      <x:c r="D143" s="12" t="str">
        <x:v>Other</x:v>
      </x:c>
      <x:c r="E143" s="12" t="str"/>
      <x:c r="F143" s="12" t="str">
        <x:v>Candidate</x:v>
      </x:c>
      <x:c r="G143" s="12" t="str">
        <x:v>Unassigned</x:v>
      </x:c>
      <x:c r="H143" s="14" t="n">
        <x:f>MINIFS(Evidence!$H$2:$H$1026,Evidence!$B$2:$B$1026,A143)</x:f>
        <x:v>2022</x:v>
      </x:c>
      <x:c r="I143" s="14" t="n">
        <x:f>MAXIFS(Evidence!$H$2:$H$1026,Evidence!$B$2:$B$1026,A143)</x:f>
        <x:v>2023</x:v>
      </x:c>
      <x:c r="J143" s="12" t="n">
        <x:f>COUNTIF(Evidence!$B$2:$B$1026,A143)</x:f>
        <x:v>2</x:v>
      </x:c>
      <x:c r="K143" s="12" t="n">
        <x:v>2</x:v>
      </x:c>
      <x:c r="L143" s="12" t="n">
        <x:v>1</x:v>
      </x:c>
      <x:c r="M143" s="12" t="n">
        <x:v>1</x:v>
      </x:c>
      <x:c r="N143" s="12" t="n">
        <x:v>1</x:v>
      </x:c>
      <x:c r="O143" s="12" t="str">
        <x:v>Recurring</x:v>
      </x:c>
      <x:c r="P143" s="12" t="n">
        <x:f>ROUND(MIN(100,(J143*1.5)+(K143*8)+(L143*4)+(M143*3)+((I143-H143+1)*3)),0)</x:f>
        <x:v>32</x:v>
      </x:c>
      <x:c r="Q143" s="12" t="str">
        <x:v>No</x:v>
      </x:c>
      <x:c r="R143" s="12" t="str"/>
      <x:c r="S143" s="12" t="str"/>
      <x:c r="T143" s="12" t="str"/>
      <x:c r="U143" s="12" t="str">
        <x:v>AI-assisted draft cluster; human review required.</x:v>
      </x:c>
    </x:row>
    <x:row r="144">
      <x:c r="A144" s="12" t="str">
        <x:v>NEED-0143</x:v>
      </x:c>
      <x:c r="B144" s="12" t="str">
        <x:v>Earthdata users need NASA to archive DAAC engagement is important for incoming ESO Missions. As the SBG Archive DAAC, LP DAAC needs to continue planning for the SBG I&amp;A architecture, how to support SPD-41a (see point above), and participate in early engagement and outreach activities.</x:v>
      </x:c>
      <x:c r="C144" s="12" t="str">
        <x:v>Early Archive DAAC engagement is important for incoming ESO Missions. As the SBG Archive DAAC, LP DAAC needs to continue planning for the SBG I&amp;A architecture, how to support SPD-4</x:v>
      </x:c>
      <x:c r="D144" s="12" t="str">
        <x:v>Outreach &amp; Communication</x:v>
      </x:c>
      <x:c r="E144" s="12" t="str"/>
      <x:c r="F144" s="12" t="str">
        <x:v>Candidate</x:v>
      </x:c>
      <x:c r="G144" s="12" t="str">
        <x:v>Unassigned</x:v>
      </x:c>
      <x:c r="H144" s="14" t="n">
        <x:f>MINIFS(Evidence!$H$2:$H$1026,Evidence!$B$2:$B$1026,A144)</x:f>
        <x:v>2023</x:v>
      </x:c>
      <x:c r="I144" s="14" t="n">
        <x:f>MAXIFS(Evidence!$H$2:$H$1026,Evidence!$B$2:$B$1026,A144)</x:f>
        <x:v>2024</x:v>
      </x:c>
      <x:c r="J144" s="12" t="n">
        <x:f>COUNTIF(Evidence!$B$2:$B$1026,A144)</x:f>
        <x:v>3</x:v>
      </x:c>
      <x:c r="K144" s="12" t="n">
        <x:v>2</x:v>
      </x:c>
      <x:c r="L144" s="12" t="n">
        <x:v>2</x:v>
      </x:c>
      <x:c r="M144" s="12" t="n">
        <x:v>2</x:v>
      </x:c>
      <x:c r="N144" s="12" t="n">
        <x:v>3</x:v>
      </x:c>
      <x:c r="O144" s="12" t="str">
        <x:v>Recurring</x:v>
      </x:c>
      <x:c r="P144" s="12" t="n">
        <x:f>ROUND(MIN(100,(J144*1.5)+(K144*8)+(L144*4)+(M144*3)+((I144-H144+1)*3)),0)</x:f>
        <x:v>41</x:v>
      </x:c>
      <x:c r="Q144" s="12" t="str">
        <x:v>No</x:v>
      </x:c>
      <x:c r="R144" s="12" t="str"/>
      <x:c r="S144" s="12" t="str"/>
      <x:c r="T144" s="12" t="str"/>
      <x:c r="U144" s="12" t="str">
        <x:v>AI-assisted draft cluster; human review required.</x:v>
      </x:c>
    </x:row>
    <x:row r="145">
      <x:c r="A145" s="12" t="str">
        <x:v>NEED-0144</x:v>
      </x:c>
      <x:c r="B145" s="12" t="str">
        <x:v>Earthdata users need shuttle photographs to SIR-C data products (Steve has them on his website as well).</x:v>
      </x:c>
      <x:c r="C145" s="12" t="str">
        <x:v>Attach shuttle photographs to SIR-C data products (Steve has them on his website as well).</x:v>
      </x:c>
      <x:c r="D145" s="12" t="str">
        <x:v>Outreach &amp; Communication</x:v>
      </x:c>
      <x:c r="E145" s="12" t="str"/>
      <x:c r="F145" s="12" t="str">
        <x:v>Candidate</x:v>
      </x:c>
      <x:c r="G145" s="12" t="str">
        <x:v>Unassigned</x:v>
      </x:c>
      <x:c r="H145" s="14" t="n">
        <x:f>MINIFS(Evidence!$H$2:$H$1026,Evidence!$B$2:$B$1026,A145)</x:f>
        <x:v>2022</x:v>
      </x:c>
      <x:c r="I145" s="14" t="n">
        <x:f>MAXIFS(Evidence!$H$2:$H$1026,Evidence!$B$2:$B$1026,A145)</x:f>
        <x:v>2023</x:v>
      </x:c>
      <x:c r="J145" s="12" t="n">
        <x:f>COUNTIF(Evidence!$B$2:$B$1026,A145)</x:f>
        <x:v>3</x:v>
      </x:c>
      <x:c r="K145" s="12" t="n">
        <x:v>2</x:v>
      </x:c>
      <x:c r="L145" s="12" t="n">
        <x:v>2</x:v>
      </x:c>
      <x:c r="M145" s="12" t="n">
        <x:v>2</x:v>
      </x:c>
      <x:c r="N145" s="12" t="n">
        <x:v>1</x:v>
      </x:c>
      <x:c r="O145" s="12" t="str">
        <x:v>Recurring</x:v>
      </x:c>
      <x:c r="P145" s="12" t="n">
        <x:f>ROUND(MIN(100,(J145*1.5)+(K145*8)+(L145*4)+(M145*3)+((I145-H145+1)*3)),0)</x:f>
        <x:v>41</x:v>
      </x:c>
      <x:c r="Q145" s="12" t="str">
        <x:v>No</x:v>
      </x:c>
      <x:c r="R145" s="12" t="str"/>
      <x:c r="S145" s="12" t="str"/>
      <x:c r="T145" s="12" t="str"/>
      <x:c r="U145" s="12" t="str">
        <x:v>AI-assisted draft cluster; human review required.</x:v>
      </x:c>
    </x:row>
    <x:row r="146">
      <x:c r="A146" s="12" t="str">
        <x:v>NEED-0145</x:v>
      </x:c>
      <x:c r="B146" s="12" t="str">
        <x:v>Earthdata users need should increase its visibility to current and new users by refreshing its branding and outreach strategy in a way that leverages its name recognition and the trust that has established within the social and Earth science communities (for example, work with NASA’s Earth Information Center to include SEDAC data as part of their data visualizations). Differentiation of SEDAC could become increasingly important as the DAACs migrate to the unified web platform.</x:v>
      </x:c>
      <x:c r="C146" s="12" t="str">
        <x:v>SEDAC should increase its visibility to current and new users by refreshing its branding and outreach strategy in a way that leverages its name recognition and the trust that has e</x:v>
      </x:c>
      <x:c r="D146" s="12" t="str">
        <x:v>Outreach &amp; Communication</x:v>
      </x:c>
      <x:c r="E146" s="12" t="str"/>
      <x:c r="F146" s="12" t="str">
        <x:v>Candidate</x:v>
      </x:c>
      <x:c r="G146" s="12" t="str">
        <x:v>Unassigned</x:v>
      </x:c>
      <x:c r="H146" s="14" t="n">
        <x:f>MINIFS(Evidence!$H$2:$H$1026,Evidence!$B$2:$B$1026,A146)</x:f>
        <x:v>2022</x:v>
      </x:c>
      <x:c r="I146" s="14" t="n">
        <x:f>MAXIFS(Evidence!$H$2:$H$1026,Evidence!$B$2:$B$1026,A146)</x:f>
        <x:v>2024</x:v>
      </x:c>
      <x:c r="J146" s="12" t="n">
        <x:f>COUNTIF(Evidence!$B$2:$B$1026,A146)</x:f>
        <x:v>3</x:v>
      </x:c>
      <x:c r="K146" s="12" t="n">
        <x:v>2</x:v>
      </x:c>
      <x:c r="L146" s="12" t="n">
        <x:v>1</x:v>
      </x:c>
      <x:c r="M146" s="12" t="n">
        <x:v>3</x:v>
      </x:c>
      <x:c r="N146" s="12" t="n">
        <x:v>4</x:v>
      </x:c>
      <x:c r="O146" s="12" t="str">
        <x:v>Recurring</x:v>
      </x:c>
      <x:c r="P146" s="12" t="n">
        <x:f>ROUND(MIN(100,(J146*1.5)+(K146*8)+(L146*4)+(M146*3)+((I146-H146+1)*3)),0)</x:f>
        <x:v>43</x:v>
      </x:c>
      <x:c r="Q146" s="12" t="str">
        <x:v>No</x:v>
      </x:c>
      <x:c r="R146" s="12" t="str"/>
      <x:c r="S146" s="12" t="str"/>
      <x:c r="T146" s="12" t="str"/>
      <x:c r="U146" s="12" t="str">
        <x:v>AI-assisted draft cluster; human review required.</x:v>
      </x:c>
    </x:row>
    <x:row r="147">
      <x:c r="A147" s="12" t="str">
        <x:v>NEED-0146</x:v>
      </x:c>
      <x:c r="B147" s="12" t="str">
        <x:v>Earthdata users need uWG is very supportive of OB.DAAC’s current work and applaud the robust plans for website updates.</x:v>
      </x:c>
      <x:c r="C147" s="12" t="str">
        <x:v>The UWG is very supportive of OB.DAAC’s current work and applaud the robust plans for website updates.</x:v>
      </x:c>
      <x:c r="D147" s="12" t="str">
        <x:v>Outreach &amp; Communication</x:v>
      </x:c>
      <x:c r="E147" s="12" t="str"/>
      <x:c r="F147" s="12" t="str">
        <x:v>Candidate</x:v>
      </x:c>
      <x:c r="G147" s="12" t="str">
        <x:v>Unassigned</x:v>
      </x:c>
      <x:c r="H147" s="14" t="n">
        <x:f>MINIFS(Evidence!$H$2:$H$1026,Evidence!$B$2:$B$1026,A147)</x:f>
        <x:v>2022</x:v>
      </x:c>
      <x:c r="I147" s="14" t="n">
        <x:f>MAXIFS(Evidence!$H$2:$H$1026,Evidence!$B$2:$B$1026,A147)</x:f>
        <x:v>2024</x:v>
      </x:c>
      <x:c r="J147" s="12" t="n">
        <x:f>COUNTIF(Evidence!$B$2:$B$1026,A147)</x:f>
        <x:v>2</x:v>
      </x:c>
      <x:c r="K147" s="12" t="n">
        <x:v>2</x:v>
      </x:c>
      <x:c r="L147" s="12" t="n">
        <x:v>1</x:v>
      </x:c>
      <x:c r="M147" s="12" t="n">
        <x:v>1</x:v>
      </x:c>
      <x:c r="N147" s="12" t="n">
        <x:v>2</x:v>
      </x:c>
      <x:c r="O147" s="12" t="str">
        <x:v>Recurring</x:v>
      </x:c>
      <x:c r="P147" s="12" t="n">
        <x:f>ROUND(MIN(100,(J147*1.5)+(K147*8)+(L147*4)+(M147*3)+((I147-H147+1)*3)),0)</x:f>
        <x:v>35</x:v>
      </x:c>
      <x:c r="Q147" s="12" t="str">
        <x:v>No</x:v>
      </x:c>
      <x:c r="R147" s="12" t="str"/>
      <x:c r="S147" s="12" t="str"/>
      <x:c r="T147" s="12" t="str"/>
      <x:c r="U147" s="12" t="str">
        <x:v>AI-assisted draft cluster; human review required.</x:v>
      </x:c>
    </x:row>
    <x:row r="148">
      <x:c r="A148" s="12" t="str">
        <x:v>NEED-0147</x:v>
      </x:c>
      <x:c r="B148" s="12" t="str">
        <x:v>Earthdata users need - Develop and communicate the policy for accepting PI-provided datasets.</x:v>
      </x:c>
      <x:c r="C148" s="12" t="str">
        <x:v>2021-3.1 - Develop and communicate the policy for accepting PI-provided datasets</x:v>
      </x:c>
      <x:c r="D148" s="12" t="str">
        <x:v>Outreach &amp; Communication</x:v>
      </x:c>
      <x:c r="E148" s="12" t="str"/>
      <x:c r="F148" s="12" t="str">
        <x:v>Candidate</x:v>
      </x:c>
      <x:c r="G148" s="12" t="str">
        <x:v>Unassigned</x:v>
      </x:c>
      <x:c r="H148" s="14" t="n">
        <x:f>MINIFS(Evidence!$H$2:$H$1026,Evidence!$B$2:$B$1026,A148)</x:f>
        <x:v>2021</x:v>
      </x:c>
      <x:c r="I148" s="14" t="n">
        <x:f>MAXIFS(Evidence!$H$2:$H$1026,Evidence!$B$2:$B$1026,A148)</x:f>
        <x:v>2023</x:v>
      </x:c>
      <x:c r="J148" s="12" t="n">
        <x:f>COUNTIF(Evidence!$B$2:$B$1026,A148)</x:f>
        <x:v>2</x:v>
      </x:c>
      <x:c r="K148" s="12" t="n">
        <x:v>2</x:v>
      </x:c>
      <x:c r="L148" s="12" t="n">
        <x:v>2</x:v>
      </x:c>
      <x:c r="M148" s="12" t="n">
        <x:v>1</x:v>
      </x:c>
      <x:c r="N148" s="12" t="n">
        <x:v>1</x:v>
      </x:c>
      <x:c r="O148" s="12" t="str">
        <x:v>Recurring</x:v>
      </x:c>
      <x:c r="P148" s="12" t="n">
        <x:f>ROUND(MIN(100,(J148*1.5)+(K148*8)+(L148*4)+(M148*3)+((I148-H148+1)*3)),0)</x:f>
        <x:v>39</x:v>
      </x:c>
      <x:c r="Q148" s="12" t="str">
        <x:v>No</x:v>
      </x:c>
      <x:c r="R148" s="12" t="str"/>
      <x:c r="S148" s="12" t="str"/>
      <x:c r="T148" s="12" t="str"/>
      <x:c r="U148" s="12" t="str">
        <x:v>AI-assisted draft cluster; human review required.</x:v>
      </x:c>
    </x:row>
    <x:row r="149">
      <x:c r="A149" s="12" t="str">
        <x:v>NEED-0148</x:v>
      </x:c>
      <x:c r="B149" s="12" t="str">
        <x:v>Earthdata users need reach users through a hackathon focused on PO.DAAC datasets that are specific to given science teams (e.g., as was done for the SWOT science team in 2021) (2022.3.2), and enhance the communication between PO.DAAC and Science Teams (2022.3.3).</x:v>
      </x:c>
      <x:c r="C149" s="12" t="str">
        <x:v>UWG suggests that PO.DAAC reach users through a hackathon focused on PO.DAAC datasets that are specific to given science teams (e.g., as was done for the SWOT science team in 2021)</x:v>
      </x:c>
      <x:c r="D149" s="12" t="str">
        <x:v>Outreach &amp; Communication</x:v>
      </x:c>
      <x:c r="E149" s="12" t="str"/>
      <x:c r="F149" s="12" t="str">
        <x:v>Candidate</x:v>
      </x:c>
      <x:c r="G149" s="12" t="str">
        <x:v>Unassigned</x:v>
      </x:c>
      <x:c r="H149" s="14" t="n">
        <x:f>MINIFS(Evidence!$H$2:$H$1026,Evidence!$B$2:$B$1026,A149)</x:f>
        <x:v>2022</x:v>
      </x:c>
      <x:c r="I149" s="14" t="n">
        <x:f>MAXIFS(Evidence!$H$2:$H$1026,Evidence!$B$2:$B$1026,A149)</x:f>
        <x:v>2023</x:v>
      </x:c>
      <x:c r="J149" s="12" t="n">
        <x:f>COUNTIF(Evidence!$B$2:$B$1026,A149)</x:f>
        <x:v>5</x:v>
      </x:c>
      <x:c r="K149" s="12" t="n">
        <x:v>2</x:v>
      </x:c>
      <x:c r="L149" s="12" t="n">
        <x:v>2</x:v>
      </x:c>
      <x:c r="M149" s="12" t="n">
        <x:v>1</x:v>
      </x:c>
      <x:c r="N149" s="12" t="n">
        <x:v>2</x:v>
      </x:c>
      <x:c r="O149" s="12" t="str">
        <x:v>Recurring</x:v>
      </x:c>
      <x:c r="P149" s="12" t="n">
        <x:f>ROUND(MIN(100,(J149*1.5)+(K149*8)+(L149*4)+(M149*3)+((I149-H149+1)*3)),0)</x:f>
        <x:v>41</x:v>
      </x:c>
      <x:c r="Q149" s="12" t="str">
        <x:v>No</x:v>
      </x:c>
      <x:c r="R149" s="12" t="str"/>
      <x:c r="S149" s="12" t="str"/>
      <x:c r="T149" s="12" t="str"/>
      <x:c r="U149" s="12" t="str">
        <x:v>AI-assisted draft cluster; human review required.</x:v>
      </x:c>
    </x:row>
    <x:row r="150">
      <x:c r="A150" s="12" t="str">
        <x:v>NEED-0149</x:v>
      </x:c>
      <x:c r="B150" s="12" t="str">
        <x:v>Earthdata users need uWG compliments the enhanced collaboration between ASF and JPL in past years. UWG suggests that ASF and JPL continue to work on addressing the potential for duplication of efforts. ASF should be mindful and coordinate the communication and press releases with JPL (particularly on the NISAR launch and related activities) due to the overlap of efforts and responsibilities.</x:v>
      </x:c>
      <x:c r="C150" s="12" t="str">
        <x:v>The UWG compliments the enhanced collaboration between ASF and JPL in past years. UWG suggests that ASF and JPL continue to work on addressing the potential for duplication of effo</x:v>
      </x:c>
      <x:c r="D150" s="12" t="str">
        <x:v>Outreach &amp; Communication</x:v>
      </x:c>
      <x:c r="E150" s="12" t="str"/>
      <x:c r="F150" s="12" t="str">
        <x:v>Candidate</x:v>
      </x:c>
      <x:c r="G150" s="12" t="str">
        <x:v>Unassigned</x:v>
      </x:c>
      <x:c r="H150" s="14" t="n">
        <x:f>MINIFS(Evidence!$H$2:$H$1026,Evidence!$B$2:$B$1026,A150)</x:f>
        <x:v>2022</x:v>
      </x:c>
      <x:c r="I150" s="14" t="n">
        <x:f>MAXIFS(Evidence!$H$2:$H$1026,Evidence!$B$2:$B$1026,A150)</x:f>
        <x:v>2023</x:v>
      </x:c>
      <x:c r="J150" s="12" t="n">
        <x:f>COUNTIF(Evidence!$B$2:$B$1026,A150)</x:f>
        <x:v>2</x:v>
      </x:c>
      <x:c r="K150" s="12" t="n">
        <x:v>2</x:v>
      </x:c>
      <x:c r="L150" s="12" t="n">
        <x:v>1</x:v>
      </x:c>
      <x:c r="M150" s="12" t="n">
        <x:v>2</x:v>
      </x:c>
      <x:c r="N150" s="12" t="n">
        <x:v>1</x:v>
      </x:c>
      <x:c r="O150" s="12" t="str">
        <x:v>Recurring</x:v>
      </x:c>
      <x:c r="P150" s="12" t="n">
        <x:f>ROUND(MIN(100,(J150*1.5)+(K150*8)+(L150*4)+(M150*3)+((I150-H150+1)*3)),0)</x:f>
        <x:v>35</x:v>
      </x:c>
      <x:c r="Q150" s="12" t="str">
        <x:v>No</x:v>
      </x:c>
      <x:c r="R150" s="12" t="str"/>
      <x:c r="S150" s="12" t="str"/>
      <x:c r="T150" s="12" t="str"/>
      <x:c r="U150" s="12" t="str">
        <x:v>AI-assisted draft cluster; human review required.</x:v>
      </x:c>
    </x:row>
    <x:row r="151">
      <x:c r="A151" s="12" t="str">
        <x:v>NEED-0150</x:v>
      </x:c>
      <x:c r="B151" s="12" t="str">
        <x:v>Earthdata users need communication and understanding of other DAACs’ activities.</x:v>
      </x:c>
      <x:c r="C151" s="12" t="str">
        <x:v>Better communication and understanding of other DAACs’ activities.</x:v>
      </x:c>
      <x:c r="D151" s="12" t="str">
        <x:v>Outreach &amp; Communication</x:v>
      </x:c>
      <x:c r="E151" s="12" t="str"/>
      <x:c r="F151" s="12" t="str">
        <x:v>Candidate</x:v>
      </x:c>
      <x:c r="G151" s="12" t="str">
        <x:v>Unassigned</x:v>
      </x:c>
      <x:c r="H151" s="14" t="n">
        <x:f>MINIFS(Evidence!$H$2:$H$1026,Evidence!$B$2:$B$1026,A151)</x:f>
        <x:v>2024</x:v>
      </x:c>
      <x:c r="I151" s="14" t="n">
        <x:f>MAXIFS(Evidence!$H$2:$H$1026,Evidence!$B$2:$B$1026,A151)</x:f>
        <x:v>2024</x:v>
      </x:c>
      <x:c r="J151" s="12" t="n">
        <x:f>COUNTIF(Evidence!$B$2:$B$1026,A151)</x:f>
        <x:v>2</x:v>
      </x:c>
      <x:c r="K151" s="12" t="n">
        <x:v>1</x:v>
      </x:c>
      <x:c r="L151" s="12" t="n">
        <x:v>2</x:v>
      </x:c>
      <x:c r="M151" s="12" t="n">
        <x:v>2</x:v>
      </x:c>
      <x:c r="N151" s="12" t="n">
        <x:v>2</x:v>
      </x:c>
      <x:c r="O151" s="12" t="str">
        <x:v>Single-year signal</x:v>
      </x:c>
      <x:c r="P151" s="12" t="n">
        <x:f>ROUND(MIN(100,(J151*1.5)+(K151*8)+(L151*4)+(M151*3)+((I151-H151+1)*3)),0)</x:f>
        <x:v>28</x:v>
      </x:c>
      <x:c r="Q151" s="12" t="str">
        <x:v>No</x:v>
      </x:c>
      <x:c r="R151" s="12" t="str"/>
      <x:c r="S151" s="12" t="str"/>
      <x:c r="T151" s="12" t="str"/>
      <x:c r="U151" s="12" t="str">
        <x:v>AI-assisted draft cluster; human review required.</x:v>
      </x:c>
    </x:row>
    <x:row r="152">
      <x:c r="A152" s="12" t="str">
        <x:v>NEED-0151</x:v>
      </x:c>
      <x:c r="B152" s="12" t="str">
        <x:v>Earthdata users need recommend utilizing an upcoming UWG quarterly call to focus on discussions of PO.DAAC’s website and dataset landing pages.</x:v>
      </x:c>
      <x:c r="C152" s="12" t="str">
        <x:v>We recommend utilizing an upcoming UWG quarterly call to focus on discussions of PO.DAAC’s website and dataset landing pages.</x:v>
      </x:c>
      <x:c r="D152" s="12" t="str">
        <x:v>Outreach &amp; Communication</x:v>
      </x:c>
      <x:c r="E152" s="12" t="str"/>
      <x:c r="F152" s="12" t="str">
        <x:v>Candidate</x:v>
      </x:c>
      <x:c r="G152" s="12" t="str">
        <x:v>Unassigned</x:v>
      </x:c>
      <x:c r="H152" s="14" t="n">
        <x:f>MINIFS(Evidence!$H$2:$H$1026,Evidence!$B$2:$B$1026,A152)</x:f>
        <x:v>2024</x:v>
      </x:c>
      <x:c r="I152" s="14" t="n">
        <x:f>MAXIFS(Evidence!$H$2:$H$1026,Evidence!$B$2:$B$1026,A152)</x:f>
        <x:v>2024</x:v>
      </x:c>
      <x:c r="J152" s="12" t="n">
        <x:f>COUNTIF(Evidence!$B$2:$B$1026,A152)</x:f>
        <x:v>2</x:v>
      </x:c>
      <x:c r="K152" s="12" t="n">
        <x:v>1</x:v>
      </x:c>
      <x:c r="L152" s="12" t="n">
        <x:v>1</x:v>
      </x:c>
      <x:c r="M152" s="12" t="n">
        <x:v>1</x:v>
      </x:c>
      <x:c r="N152" s="12" t="n">
        <x:v>1</x:v>
      </x:c>
      <x:c r="O152" s="12" t="str">
        <x:v>Single-year signal</x:v>
      </x:c>
      <x:c r="P152" s="12" t="n">
        <x:f>ROUND(MIN(100,(J152*1.5)+(K152*8)+(L152*4)+(M152*3)+((I152-H152+1)*3)),0)</x:f>
        <x:v>21</x:v>
      </x:c>
      <x:c r="Q152" s="12" t="str">
        <x:v>No</x:v>
      </x:c>
      <x:c r="R152" s="12" t="str"/>
      <x:c r="S152" s="12" t="str"/>
      <x:c r="T152" s="12" t="str"/>
      <x:c r="U152" s="12" t="str">
        <x:v>AI-assisted draft cluster; human review required.</x:v>
      </x:c>
    </x:row>
    <x:row r="153">
      <x:c r="A153" s="12" t="str">
        <x:v>NEED-0152</x:v>
      </x:c>
      <x:c r="B153" s="12" t="str">
        <x:v>Earthdata users need outreach: newsletter, additional languages…updates (email? – one paragraph); sprint reviews?...keep it quick.</x:v>
      </x:c>
      <x:c r="C153" s="12" t="str">
        <x:v>Expand outreach: newsletter, additional languages…updates (email? – one paragraph); sprint reviews?...keep it quick</x:v>
      </x:c>
      <x:c r="D153" s="12" t="str">
        <x:v>Outreach &amp; Communication</x:v>
      </x:c>
      <x:c r="E153" s="12" t="str"/>
      <x:c r="F153" s="12" t="str">
        <x:v>Candidate</x:v>
      </x:c>
      <x:c r="G153" s="12" t="str">
        <x:v>Unassigned</x:v>
      </x:c>
      <x:c r="H153" s="14" t="n">
        <x:f>MINIFS(Evidence!$H$2:$H$1026,Evidence!$B$2:$B$1026,A153)</x:f>
        <x:v>2022</x:v>
      </x:c>
      <x:c r="I153" s="14" t="n">
        <x:f>MAXIFS(Evidence!$H$2:$H$1026,Evidence!$B$2:$B$1026,A153)</x:f>
        <x:v>2023</x:v>
      </x:c>
      <x:c r="J153" s="12" t="n">
        <x:f>COUNTIF(Evidence!$B$2:$B$1026,A153)</x:f>
        <x:v>2</x:v>
      </x:c>
      <x:c r="K153" s="12" t="n">
        <x:v>2</x:v>
      </x:c>
      <x:c r="L153" s="12" t="n">
        <x:v>1</x:v>
      </x:c>
      <x:c r="M153" s="12" t="n">
        <x:v>1</x:v>
      </x:c>
      <x:c r="N153" s="12" t="n">
        <x:v>1</x:v>
      </x:c>
      <x:c r="O153" s="12" t="str">
        <x:v>Recurring</x:v>
      </x:c>
      <x:c r="P153" s="12" t="n">
        <x:f>ROUND(MIN(100,(J153*1.5)+(K153*8)+(L153*4)+(M153*3)+((I153-H153+1)*3)),0)</x:f>
        <x:v>32</x:v>
      </x:c>
      <x:c r="Q153" s="12" t="str">
        <x:v>No</x:v>
      </x:c>
      <x:c r="R153" s="12" t="str"/>
      <x:c r="S153" s="12" t="str"/>
      <x:c r="T153" s="12" t="str"/>
      <x:c r="U153" s="12" t="str">
        <x:v>AI-assisted draft cluster; human review required.</x:v>
      </x:c>
    </x:row>
    <x:row r="154">
      <x:c r="A154" s="12" t="str">
        <x:v>NEED-0153</x:v>
      </x:c>
      <x:c r="B154" s="12" t="str">
        <x:v>Earthdata users need aSDC will investigate providing generalized readmes in DDD or providing a link on DDD back to the ASDC website landing page.</x:v>
      </x:c>
      <x:c r="C154" s="12" t="str">
        <x:v>The ASDC will investigate providing generalized readmes in DDD or providing a link on DDD back to the ASDC website landing page.</x:v>
      </x:c>
      <x:c r="D154" s="12" t="str">
        <x:v>Outreach &amp; Communication</x:v>
      </x:c>
      <x:c r="E154" s="12" t="str"/>
      <x:c r="F154" s="12" t="str">
        <x:v>Candidate</x:v>
      </x:c>
      <x:c r="G154" s="12" t="str">
        <x:v>Unassigned</x:v>
      </x:c>
      <x:c r="H154" s="14" t="n">
        <x:f>MINIFS(Evidence!$H$2:$H$1026,Evidence!$B$2:$B$1026,A154)</x:f>
        <x:v>2021</x:v>
      </x:c>
      <x:c r="I154" s="14" t="n">
        <x:f>MAXIFS(Evidence!$H$2:$H$1026,Evidence!$B$2:$B$1026,A154)</x:f>
        <x:v>2023</x:v>
      </x:c>
      <x:c r="J154" s="12" t="n">
        <x:f>COUNTIF(Evidence!$B$2:$B$1026,A154)</x:f>
        <x:v>2</x:v>
      </x:c>
      <x:c r="K154" s="12" t="n">
        <x:v>2</x:v>
      </x:c>
      <x:c r="L154" s="12" t="n">
        <x:v>1</x:v>
      </x:c>
      <x:c r="M154" s="12" t="n">
        <x:v>1</x:v>
      </x:c>
      <x:c r="N154" s="12" t="n">
        <x:v>1</x:v>
      </x:c>
      <x:c r="O154" s="12" t="str">
        <x:v>Recurring</x:v>
      </x:c>
      <x:c r="P154" s="12" t="n">
        <x:f>ROUND(MIN(100,(J154*1.5)+(K154*8)+(L154*4)+(M154*3)+((I154-H154+1)*3)),0)</x:f>
        <x:v>35</x:v>
      </x:c>
      <x:c r="Q154" s="12" t="str">
        <x:v>No</x:v>
      </x:c>
      <x:c r="R154" s="12" t="str"/>
      <x:c r="S154" s="12" t="str"/>
      <x:c r="T154" s="12" t="str"/>
      <x:c r="U154" s="12" t="str">
        <x:v>AI-assisted draft cluster; human review required.</x:v>
      </x:c>
    </x:row>
    <x:row r="155">
      <x:c r="A155" s="12" t="str">
        <x:v>NEED-0154</x:v>
      </x:c>
      <x:c r="B155" s="12" t="str">
        <x:v>Earthdata users need should make sure to relay the Open Science information to their users. Via website, social media, and newsletters. (SB41A compliance-software release authority) SB41A is forward-looking. DAACs should be making their codes Open-Source and available to the public.</x:v>
      </x:c>
      <x:c r="C155" s="12" t="str">
        <x:v>ASF should make sure to relay the Open Science information to their users. Via website, social media, and newsletters. (SB41A compliance-software release authority) SB41A is forwar</x:v>
      </x:c>
      <x:c r="D155" s="12" t="str">
        <x:v>Outreach &amp; Communication</x:v>
      </x:c>
      <x:c r="E155" s="12" t="str"/>
      <x:c r="F155" s="12" t="str">
        <x:v>Candidate</x:v>
      </x:c>
      <x:c r="G155" s="12" t="str">
        <x:v>Unassigned</x:v>
      </x:c>
      <x:c r="H155" s="14" t="n">
        <x:f>MINIFS(Evidence!$H$2:$H$1026,Evidence!$B$2:$B$1026,A155)</x:f>
        <x:v>2022</x:v>
      </x:c>
      <x:c r="I155" s="14" t="n">
        <x:f>MAXIFS(Evidence!$H$2:$H$1026,Evidence!$B$2:$B$1026,A155)</x:f>
        <x:v>2023</x:v>
      </x:c>
      <x:c r="J155" s="12" t="n">
        <x:f>COUNTIF(Evidence!$B$2:$B$1026,A155)</x:f>
        <x:v>2</x:v>
      </x:c>
      <x:c r="K155" s="12" t="n">
        <x:v>2</x:v>
      </x:c>
      <x:c r="L155" s="12" t="n">
        <x:v>2</x:v>
      </x:c>
      <x:c r="M155" s="12" t="n">
        <x:v>2</x:v>
      </x:c>
      <x:c r="N155" s="12" t="n">
        <x:v>2</x:v>
      </x:c>
      <x:c r="O155" s="12" t="str">
        <x:v>Recurring</x:v>
      </x:c>
      <x:c r="P155" s="12" t="n">
        <x:f>ROUND(MIN(100,(J155*1.5)+(K155*8)+(L155*4)+(M155*3)+((I155-H155+1)*3)),0)</x:f>
        <x:v>39</x:v>
      </x:c>
      <x:c r="Q155" s="12" t="str">
        <x:v>No</x:v>
      </x:c>
      <x:c r="R155" s="12" t="str"/>
      <x:c r="S155" s="12" t="str"/>
      <x:c r="T155" s="12" t="str"/>
      <x:c r="U155" s="12" t="str">
        <x:v>AI-assisted draft cluster; human review required.</x:v>
      </x:c>
    </x:row>
    <x:row r="156">
      <x:c r="A156" s="12" t="str">
        <x:v>NEED-0155</x:v>
      </x:c>
      <x:c r="B156" s="12" t="str">
        <x:v>Earthdata users need move to virtual meetings has had advantages and disadvantages. One advantage is that the two channels of communication (verbal and via the chat function) have enabled more feedback. There is also less of a time-commitment since travel is not required. But as time is generally more limited for virtual meetings, discussions are often rushed, and some UWG members felt they were drinking out of a fire hose. A possibility could be to create video of some of the presentations (e.g., the SEDAC update) in advance and go over the questions to the UWG during the actual meeting.</x:v>
      </x:c>
      <x:c r="C156" s="12" t="str">
        <x:v>The move to virtual meetings has had advantages and disadvantages. One advantage is that the two channels of communication (verbal and via the chat function) have enabled more feed</x:v>
      </x:c>
      <x:c r="D156" s="12" t="str">
        <x:v>Outreach &amp; Communication</x:v>
      </x:c>
      <x:c r="E156" s="12" t="str"/>
      <x:c r="F156" s="12" t="str">
        <x:v>Candidate</x:v>
      </x:c>
      <x:c r="G156" s="12" t="str">
        <x:v>Unassigned</x:v>
      </x:c>
      <x:c r="H156" s="14" t="n">
        <x:f>MINIFS(Evidence!$H$2:$H$1026,Evidence!$B$2:$B$1026,A156)</x:f>
        <x:v>2021</x:v>
      </x:c>
      <x:c r="I156" s="14" t="n">
        <x:f>MAXIFS(Evidence!$H$2:$H$1026,Evidence!$B$2:$B$1026,A156)</x:f>
        <x:v>2021</x:v>
      </x:c>
      <x:c r="J156" s="12" t="n">
        <x:f>COUNTIF(Evidence!$B$2:$B$1026,A156)</x:f>
        <x:v>1</x:v>
      </x:c>
      <x:c r="K156" s="12" t="n">
        <x:v>1</x:v>
      </x:c>
      <x:c r="L156" s="12" t="n">
        <x:v>1</x:v>
      </x:c>
      <x:c r="M156" s="12" t="n">
        <x:v>1</x:v>
      </x:c>
      <x:c r="N156" s="12" t="n">
        <x:v>2</x:v>
      </x:c>
      <x:c r="O156" s="12" t="str">
        <x:v>Single-year signal</x:v>
      </x:c>
      <x:c r="P156" s="12" t="n">
        <x:f>ROUND(MIN(100,(J156*1.5)+(K156*8)+(L156*4)+(M156*3)+((I156-H156+1)*3)),0)</x:f>
        <x:v>20</x:v>
      </x:c>
      <x:c r="Q156" s="12" t="str">
        <x:v>No</x:v>
      </x:c>
      <x:c r="R156" s="12" t="str"/>
      <x:c r="S156" s="12" t="str"/>
      <x:c r="T156" s="12" t="str"/>
      <x:c r="U156" s="12" t="str">
        <x:v>AI-assisted draft cluster; human review required.</x:v>
      </x:c>
    </x:row>
    <x:row r="157">
      <x:c r="A157" s="12" t="str">
        <x:v>NEED-0156</x:v>
      </x:c>
      <x:c r="B157" s="12" t="str">
        <x:v>Earthdata users need uWG23-10. Report on the website update and the status of web unification. Status: Open. Target Date: next UWG telecon.</x:v>
      </x:c>
      <x:c r="C157" s="12" t="str">
        <x:v>Action UWG23-10. Report on the website update and the status of web unification. Status: Open. Target Date: next UWG telecon.</x:v>
      </x:c>
      <x:c r="D157" s="12" t="str">
        <x:v>Outreach &amp; Communication</x:v>
      </x:c>
      <x:c r="E157" s="12" t="str"/>
      <x:c r="F157" s="12" t="str">
        <x:v>Candidate</x:v>
      </x:c>
      <x:c r="G157" s="12" t="str">
        <x:v>Unassigned</x:v>
      </x:c>
      <x:c r="H157" s="14" t="n">
        <x:f>MINIFS(Evidence!$H$2:$H$1026,Evidence!$B$2:$B$1026,A157)</x:f>
        <x:v>2023</x:v>
      </x:c>
      <x:c r="I157" s="14" t="n">
        <x:f>MAXIFS(Evidence!$H$2:$H$1026,Evidence!$B$2:$B$1026,A157)</x:f>
        <x:v>2023</x:v>
      </x:c>
      <x:c r="J157" s="12" t="n">
        <x:f>COUNTIF(Evidence!$B$2:$B$1026,A157)</x:f>
        <x:v>1</x:v>
      </x:c>
      <x:c r="K157" s="12" t="n">
        <x:v>1</x:v>
      </x:c>
      <x:c r="L157" s="12" t="n">
        <x:v>1</x:v>
      </x:c>
      <x:c r="M157" s="12" t="n">
        <x:v>1</x:v>
      </x:c>
      <x:c r="N157" s="12" t="n">
        <x:v>1</x:v>
      </x:c>
      <x:c r="O157" s="12" t="str">
        <x:v>Single-year signal</x:v>
      </x:c>
      <x:c r="P157" s="12" t="n">
        <x:f>ROUND(MIN(100,(J157*1.5)+(K157*8)+(L157*4)+(M157*3)+((I157-H157+1)*3)),0)</x:f>
        <x:v>20</x:v>
      </x:c>
      <x:c r="Q157" s="12" t="str">
        <x:v>No</x:v>
      </x:c>
      <x:c r="R157" s="12" t="str"/>
      <x:c r="S157" s="12" t="str"/>
      <x:c r="T157" s="12" t="str"/>
      <x:c r="U157" s="12" t="str">
        <x:v>Possible administrative/non-need cluster; human review required.</x:v>
      </x:c>
    </x:row>
    <x:row r="158">
      <x:c r="A158" s="12" t="str">
        <x:v>NEED-0157</x:v>
      </x:c>
      <x:c r="B158" s="12" t="str">
        <x:v>Earthdata users need storyMaps as another science communication content type.</x:v>
      </x:c>
      <x:c r="C158" s="12" t="str">
        <x:v>Create StoryMaps as another science communication content type.</x:v>
      </x:c>
      <x:c r="D158" s="12" t="str">
        <x:v>Outreach &amp; Communication</x:v>
      </x:c>
      <x:c r="E158" s="12" t="str"/>
      <x:c r="F158" s="12" t="str">
        <x:v>Candidate</x:v>
      </x:c>
      <x:c r="G158" s="12" t="str">
        <x:v>Unassigned</x:v>
      </x:c>
      <x:c r="H158" s="14" t="n">
        <x:f>MINIFS(Evidence!$H$2:$H$1026,Evidence!$B$2:$B$1026,A158)</x:f>
        <x:v>2023</x:v>
      </x:c>
      <x:c r="I158" s="14" t="n">
        <x:f>MAXIFS(Evidence!$H$2:$H$1026,Evidence!$B$2:$B$1026,A158)</x:f>
        <x:v>2024</x:v>
      </x:c>
      <x:c r="J158" s="12" t="n">
        <x:f>COUNTIF(Evidence!$B$2:$B$1026,A158)</x:f>
        <x:v>2</x:v>
      </x:c>
      <x:c r="K158" s="12" t="n">
        <x:v>2</x:v>
      </x:c>
      <x:c r="L158" s="12" t="n">
        <x:v>2</x:v>
      </x:c>
      <x:c r="M158" s="12" t="n">
        <x:v>1</x:v>
      </x:c>
      <x:c r="N158" s="12" t="n">
        <x:v>2</x:v>
      </x:c>
      <x:c r="O158" s="12" t="str">
        <x:v>Recurring</x:v>
      </x:c>
      <x:c r="P158" s="12" t="n">
        <x:f>ROUND(MIN(100,(J158*1.5)+(K158*8)+(L158*4)+(M158*3)+((I158-H158+1)*3)),0)</x:f>
        <x:v>36</x:v>
      </x:c>
      <x:c r="Q158" s="12" t="str">
        <x:v>No</x:v>
      </x:c>
      <x:c r="R158" s="12" t="str"/>
      <x:c r="S158" s="12" t="str"/>
      <x:c r="T158" s="12" t="str"/>
      <x:c r="U158" s="12" t="str">
        <x:v>AI-assisted draft cluster; human review required.</x:v>
      </x:c>
    </x:row>
    <x:row r="159">
      <x:c r="A159" s="12" t="str">
        <x:v>NEED-0158</x:v>
      </x:c>
      <x:c r="B159" s="12" t="str">
        <x:v>Earthdata users need [UWG21-S04] Improve the communication with data providers about the expected processing time of each stage of the data publication workflow.</x:v>
      </x:c>
      <x:c r="C159" s="12" t="str">
        <x:v>[UWG21-S04] Improve the communication with data providers about the expected processing time of each stage of the data publication workflow.</x:v>
      </x:c>
      <x:c r="D159" s="12" t="str">
        <x:v>Outreach &amp; Communication</x:v>
      </x:c>
      <x:c r="E159" s="12" t="str"/>
      <x:c r="F159" s="12" t="str">
        <x:v>Candidate</x:v>
      </x:c>
      <x:c r="G159" s="12" t="str">
        <x:v>Unassigned</x:v>
      </x:c>
      <x:c r="H159" s="14" t="n">
        <x:f>MINIFS(Evidence!$H$2:$H$1026,Evidence!$B$2:$B$1026,A159)</x:f>
        <x:v>2021</x:v>
      </x:c>
      <x:c r="I159" s="14" t="n">
        <x:f>MAXIFS(Evidence!$H$2:$H$1026,Evidence!$B$2:$B$1026,A159)</x:f>
        <x:v>2023</x:v>
      </x:c>
      <x:c r="J159" s="12" t="n">
        <x:f>COUNTIF(Evidence!$B$2:$B$1026,A159)</x:f>
        <x:v>2</x:v>
      </x:c>
      <x:c r="K159" s="12" t="n">
        <x:v>2</x:v>
      </x:c>
      <x:c r="L159" s="12" t="n">
        <x:v>1</x:v>
      </x:c>
      <x:c r="M159" s="12" t="n">
        <x:v>1</x:v>
      </x:c>
      <x:c r="N159" s="12" t="n">
        <x:v>1</x:v>
      </x:c>
      <x:c r="O159" s="12" t="str">
        <x:v>Recurring</x:v>
      </x:c>
      <x:c r="P159" s="12" t="n">
        <x:f>ROUND(MIN(100,(J159*1.5)+(K159*8)+(L159*4)+(M159*3)+((I159-H159+1)*3)),0)</x:f>
        <x:v>35</x:v>
      </x:c>
      <x:c r="Q159" s="12" t="str">
        <x:v>No</x:v>
      </x:c>
      <x:c r="R159" s="12" t="str"/>
      <x:c r="S159" s="12" t="str"/>
      <x:c r="T159" s="12" t="str"/>
      <x:c r="U159" s="12" t="str">
        <x:v>AI-assisted draft cluster; human review required.</x:v>
      </x:c>
    </x:row>
    <x:row r="160">
      <x:c r="A160" s="12" t="str">
        <x:v>NEED-0159</x:v>
      </x:c>
      <x:c r="B160" s="12" t="str">
        <x:v>Earthdata users need information on the drifting behavior and its repercussions for both MODIS instruments, which have significant impacts on the continuity of the atmosphere products due to both changes in temporal sampling and product quality.</x:v>
      </x:c>
      <x:c r="C160" s="12" t="str">
        <x:v>Communicate information on the drifting behavior and its repercussions for both MODIS instruments, which have significant impacts on the continuity of the atmosphere products due t</x:v>
      </x:c>
      <x:c r="D160" s="12" t="str">
        <x:v>Outreach &amp; Communication</x:v>
      </x:c>
      <x:c r="E160" s="12" t="str"/>
      <x:c r="F160" s="12" t="str">
        <x:v>Candidate</x:v>
      </x:c>
      <x:c r="G160" s="12" t="str">
        <x:v>Unassigned</x:v>
      </x:c>
      <x:c r="H160" s="14" t="n">
        <x:f>MINIFS(Evidence!$H$2:$H$1026,Evidence!$B$2:$B$1026,A160)</x:f>
        <x:v>2024</x:v>
      </x:c>
      <x:c r="I160" s="14" t="n">
        <x:f>MAXIFS(Evidence!$H$2:$H$1026,Evidence!$B$2:$B$1026,A160)</x:f>
        <x:v>2024</x:v>
      </x:c>
      <x:c r="J160" s="12" t="n">
        <x:f>COUNTIF(Evidence!$B$2:$B$1026,A160)</x:f>
        <x:v>1</x:v>
      </x:c>
      <x:c r="K160" s="12" t="n">
        <x:v>1</x:v>
      </x:c>
      <x:c r="L160" s="12" t="n">
        <x:v>1</x:v>
      </x:c>
      <x:c r="M160" s="12" t="n">
        <x:v>1</x:v>
      </x:c>
      <x:c r="N160" s="12" t="n">
        <x:v>2</x:v>
      </x:c>
      <x:c r="O160" s="12" t="str">
        <x:v>Single-year signal</x:v>
      </x:c>
      <x:c r="P160" s="12" t="n">
        <x:f>ROUND(MIN(100,(J160*1.5)+(K160*8)+(L160*4)+(M160*3)+((I160-H160+1)*3)),0)</x:f>
        <x:v>20</x:v>
      </x:c>
      <x:c r="Q160" s="12" t="str">
        <x:v>No</x:v>
      </x:c>
      <x:c r="R160" s="12" t="str"/>
      <x:c r="S160" s="12" t="str"/>
      <x:c r="T160" s="12" t="str"/>
      <x:c r="U160" s="12" t="str">
        <x:v>AI-assisted draft cluster; human review required.</x:v>
      </x:c>
    </x:row>
    <x:row r="161">
      <x:c r="A161" s="12" t="str">
        <x:v>NEED-0160</x:v>
      </x:c>
      <x:c r="B161" s="12" t="str">
        <x:v>Earthdata users need and ASF reach out to the community in an effort to find and recover additional SIR-A/B/C scenes in the context of SIR data preservation efforts (Action included).</x:v>
      </x:c>
      <x:c r="C161" s="12" t="str">
        <x:v>The UWG suggests that NASA and ASF reach out to the community in an effort to find and recover additional SIR-A/B/C scenes in the context of SIR data preservation efforts (Action i</x:v>
      </x:c>
      <x:c r="D161" s="12" t="str">
        <x:v>Performance &amp; Reliability</x:v>
      </x:c>
      <x:c r="E161" s="12" t="str"/>
      <x:c r="F161" s="12" t="str">
        <x:v>Candidate</x:v>
      </x:c>
      <x:c r="G161" s="12" t="str">
        <x:v>Unassigned</x:v>
      </x:c>
      <x:c r="H161" s="14" t="n">
        <x:f>MINIFS(Evidence!$H$2:$H$1026,Evidence!$B$2:$B$1026,A161)</x:f>
        <x:v>2021</x:v>
      </x:c>
      <x:c r="I161" s="14" t="n">
        <x:f>MAXIFS(Evidence!$H$2:$H$1026,Evidence!$B$2:$B$1026,A161)</x:f>
        <x:v>2023</x:v>
      </x:c>
      <x:c r="J161" s="12" t="n">
        <x:f>COUNTIF(Evidence!$B$2:$B$1026,A161)</x:f>
        <x:v>3</x:v>
      </x:c>
      <x:c r="K161" s="12" t="n">
        <x:v>3</x:v>
      </x:c>
      <x:c r="L161" s="12" t="n">
        <x:v>2</x:v>
      </x:c>
      <x:c r="M161" s="12" t="n">
        <x:v>1</x:v>
      </x:c>
      <x:c r="N161" s="12" t="n">
        <x:v>2</x:v>
      </x:c>
      <x:c r="O161" s="12" t="str">
        <x:v>Recurring</x:v>
      </x:c>
      <x:c r="P161" s="12" t="n">
        <x:f>ROUND(MIN(100,(J161*1.5)+(K161*8)+(L161*4)+(M161*3)+((I161-H161+1)*3)),0)</x:f>
        <x:v>49</x:v>
      </x:c>
      <x:c r="Q161" s="12" t="str">
        <x:v>No</x:v>
      </x:c>
      <x:c r="R161" s="12" t="str"/>
      <x:c r="S161" s="12" t="str"/>
      <x:c r="T161" s="12" t="str"/>
      <x:c r="U161" s="12" t="str">
        <x:v>AI-assisted draft cluster; human review required.</x:v>
      </x:c>
    </x:row>
    <x:row r="162">
      <x:c r="A162" s="12" t="str">
        <x:v>NEED-0161</x:v>
      </x:c>
      <x:c r="B162" s="12" t="str">
        <x:v>Earthdata users need aLOS-2 ScanSAR from JAXA and increase transfers speeds.</x:v>
      </x:c>
      <x:c r="C162" s="12" t="str">
        <x:v>Prioritize ALOS-2 ScanSAR from JAXA and increase transfers speeds</x:v>
      </x:c>
      <x:c r="D162" s="12" t="str">
        <x:v>Performance &amp; Reliability</x:v>
      </x:c>
      <x:c r="E162" s="12" t="str"/>
      <x:c r="F162" s="12" t="str">
        <x:v>Candidate</x:v>
      </x:c>
      <x:c r="G162" s="12" t="str">
        <x:v>Unassigned</x:v>
      </x:c>
      <x:c r="H162" s="14" t="n">
        <x:f>MINIFS(Evidence!$H$2:$H$1026,Evidence!$B$2:$B$1026,A162)</x:f>
        <x:v>2022</x:v>
      </x:c>
      <x:c r="I162" s="14" t="n">
        <x:f>MAXIFS(Evidence!$H$2:$H$1026,Evidence!$B$2:$B$1026,A162)</x:f>
        <x:v>2022</x:v>
      </x:c>
      <x:c r="J162" s="12" t="n">
        <x:f>COUNTIF(Evidence!$B$2:$B$1026,A162)</x:f>
        <x:v>1</x:v>
      </x:c>
      <x:c r="K162" s="12" t="n">
        <x:v>1</x:v>
      </x:c>
      <x:c r="L162" s="12" t="n">
        <x:v>1</x:v>
      </x:c>
      <x:c r="M162" s="12" t="n">
        <x:v>1</x:v>
      </x:c>
      <x:c r="N162" s="12" t="n">
        <x:v>1</x:v>
      </x:c>
      <x:c r="O162" s="12" t="str">
        <x:v>Single-year signal</x:v>
      </x:c>
      <x:c r="P162" s="12" t="n">
        <x:f>ROUND(MIN(100,(J162*1.5)+(K162*8)+(L162*4)+(M162*3)+((I162-H162+1)*3)),0)</x:f>
        <x:v>20</x:v>
      </x:c>
      <x:c r="Q162" s="12" t="str">
        <x:v>No</x:v>
      </x:c>
      <x:c r="R162" s="12" t="str"/>
      <x:c r="S162" s="12" t="str"/>
      <x:c r="T162" s="12" t="str"/>
      <x:c r="U162" s="12" t="str">
        <x:v>AI-assisted draft cluster; human review required.</x:v>
      </x:c>
    </x:row>
    <x:row r="163">
      <x:c r="A163" s="12" t="str">
        <x:v>NEED-0162</x:v>
      </x:c>
      <x:c r="B163" s="12" t="str">
        <x:v>Earthdata users need cDDIS DAAC is critical and the UWG is extremely impressed with its consistency and uptime. The CDDIS has been very robust in the last few years.</x:v>
      </x:c>
      <x:c r="C163" s="12" t="str">
        <x:v>The CDDIS DAAC is critical and the UWG is extremely impressed with its consistency and uptime. The CDDIS has been very robust in the last few years.</x:v>
      </x:c>
      <x:c r="D163" s="12" t="str">
        <x:v>Performance &amp; Reliability</x:v>
      </x:c>
      <x:c r="E163" s="12" t="str"/>
      <x:c r="F163" s="12" t="str">
        <x:v>Candidate</x:v>
      </x:c>
      <x:c r="G163" s="12" t="str">
        <x:v>Unassigned</x:v>
      </x:c>
      <x:c r="H163" s="14" t="n">
        <x:f>MINIFS(Evidence!$H$2:$H$1026,Evidence!$B$2:$B$1026,A163)</x:f>
        <x:v>2022</x:v>
      </x:c>
      <x:c r="I163" s="14" t="n">
        <x:f>MAXIFS(Evidence!$H$2:$H$1026,Evidence!$B$2:$B$1026,A163)</x:f>
        <x:v>2022</x:v>
      </x:c>
      <x:c r="J163" s="12" t="n">
        <x:f>COUNTIF(Evidence!$B$2:$B$1026,A163)</x:f>
        <x:v>1</x:v>
      </x:c>
      <x:c r="K163" s="12" t="n">
        <x:v>1</x:v>
      </x:c>
      <x:c r="L163" s="12" t="n">
        <x:v>1</x:v>
      </x:c>
      <x:c r="M163" s="12" t="n">
        <x:v>1</x:v>
      </x:c>
      <x:c r="N163" s="12" t="n">
        <x:v>1</x:v>
      </x:c>
      <x:c r="O163" s="12" t="str">
        <x:v>Single-year signal</x:v>
      </x:c>
      <x:c r="P163" s="12" t="n">
        <x:f>ROUND(MIN(100,(J163*1.5)+(K163*8)+(L163*4)+(M163*3)+((I163-H163+1)*3)),0)</x:f>
        <x:v>20</x:v>
      </x:c>
      <x:c r="Q163" s="12" t="str">
        <x:v>No</x:v>
      </x:c>
      <x:c r="R163" s="12" t="str"/>
      <x:c r="S163" s="12" t="str"/>
      <x:c r="T163" s="12" t="str"/>
      <x:c r="U163" s="12" t="str">
        <x:v>AI-assisted draft cluster; human review required.</x:v>
      </x:c>
    </x:row>
    <x:row r="164">
      <x:c r="A164" s="12" t="str">
        <x:v>NEED-0163</x:v>
      </x:c>
      <x:c r="B164" s="12" t="str">
        <x:v>Earthdata users need (A:) performance issue - slower to process OCI.</x:v>
      </x:c>
      <x:c r="C164" s="12" t="str">
        <x:v>(A:) performance issue - slower to process OCI.</x:v>
      </x:c>
      <x:c r="D164" s="12" t="str">
        <x:v>Performance &amp; Reliability</x:v>
      </x:c>
      <x:c r="E164" s="12" t="str"/>
      <x:c r="F164" s="12" t="str">
        <x:v>Candidate</x:v>
      </x:c>
      <x:c r="G164" s="12" t="str">
        <x:v>Unassigned</x:v>
      </x:c>
      <x:c r="H164" s="14" t="n">
        <x:f>MINIFS(Evidence!$H$2:$H$1026,Evidence!$B$2:$B$1026,A164)</x:f>
        <x:v>2024</x:v>
      </x:c>
      <x:c r="I164" s="14" t="n">
        <x:f>MAXIFS(Evidence!$H$2:$H$1026,Evidence!$B$2:$B$1026,A164)</x:f>
        <x:v>2024</x:v>
      </x:c>
      <x:c r="J164" s="12" t="n">
        <x:f>COUNTIF(Evidence!$B$2:$B$1026,A164)</x:f>
        <x:v>1</x:v>
      </x:c>
      <x:c r="K164" s="12" t="n">
        <x:v>1</x:v>
      </x:c>
      <x:c r="L164" s="12" t="n">
        <x:v>1</x:v>
      </x:c>
      <x:c r="M164" s="12" t="n">
        <x:v>1</x:v>
      </x:c>
      <x:c r="N164" s="12" t="n">
        <x:v>1</x:v>
      </x:c>
      <x:c r="O164" s="12" t="str">
        <x:v>Single-year signal</x:v>
      </x:c>
      <x:c r="P164" s="12" t="n">
        <x:f>ROUND(MIN(100,(J164*1.5)+(K164*8)+(L164*4)+(M164*3)+((I164-H164+1)*3)),0)</x:f>
        <x:v>20</x:v>
      </x:c>
      <x:c r="Q164" s="12" t="str">
        <x:v>No</x:v>
      </x:c>
      <x:c r="R164" s="12" t="str"/>
      <x:c r="S164" s="12" t="str"/>
      <x:c r="T164" s="12" t="str"/>
      <x:c r="U164" s="12" t="str">
        <x:v>AI-assisted draft cluster; human review required.</x:v>
      </x:c>
    </x:row>
    <x:row r="165">
      <x:c r="A165" s="12" t="str">
        <x:v>NEED-0164</x:v>
      </x:c>
      <x:c r="B165" s="12" t="str">
        <x:v>Earthdata users need continuity of PO.DAAC specific expertise to support ongoing PO.DAAC and cross-DAAC needs.</x:v>
      </x:c>
      <x:c r="C165" s="12" t="str">
        <x:v>Assure continuity of PO.DAAC specific expertise to support ongoing PO.DAAC and cross-DAAC needs.</x:v>
      </x:c>
      <x:c r="D165" s="12" t="str">
        <x:v>Performance &amp; Reliability</x:v>
      </x:c>
      <x:c r="E165" s="12" t="str"/>
      <x:c r="F165" s="12" t="str">
        <x:v>Candidate</x:v>
      </x:c>
      <x:c r="G165" s="12" t="str">
        <x:v>Unassigned</x:v>
      </x:c>
      <x:c r="H165" s="14" t="n">
        <x:f>MINIFS(Evidence!$H$2:$H$1026,Evidence!$B$2:$B$1026,A165)</x:f>
        <x:v>2024</x:v>
      </x:c>
      <x:c r="I165" s="14" t="n">
        <x:f>MAXIFS(Evidence!$H$2:$H$1026,Evidence!$B$2:$B$1026,A165)</x:f>
        <x:v>2024</x:v>
      </x:c>
      <x:c r="J165" s="12" t="n">
        <x:f>COUNTIF(Evidence!$B$2:$B$1026,A165)</x:f>
        <x:v>1</x:v>
      </x:c>
      <x:c r="K165" s="12" t="n">
        <x:v>1</x:v>
      </x:c>
      <x:c r="L165" s="12" t="n">
        <x:v>1</x:v>
      </x:c>
      <x:c r="M165" s="12" t="n">
        <x:v>1</x:v>
      </x:c>
      <x:c r="N165" s="12" t="n">
        <x:v>2</x:v>
      </x:c>
      <x:c r="O165" s="12" t="str">
        <x:v>Single-year signal</x:v>
      </x:c>
      <x:c r="P165" s="12" t="n">
        <x:f>ROUND(MIN(100,(J165*1.5)+(K165*8)+(L165*4)+(M165*3)+((I165-H165+1)*3)),0)</x:f>
        <x:v>20</x:v>
      </x:c>
      <x:c r="Q165" s="12" t="str">
        <x:v>No</x:v>
      </x:c>
      <x:c r="R165" s="12" t="str"/>
      <x:c r="S165" s="12" t="str"/>
      <x:c r="T165" s="12" t="str"/>
      <x:c r="U165" s="12" t="str">
        <x:v>AI-assisted draft cluster; human review required.</x:v>
      </x:c>
    </x:row>
    <x:row r="166">
      <x:c r="A166" s="12" t="str">
        <x:v>NEED-0165</x:v>
      </x:c>
      <x:c r="B166" s="12" t="str">
        <x:v>Earthdata users need a follow up conversation on EJ-related data and services during August or September 2021.</x:v>
      </x:c>
      <x:c r="C166" s="12" t="str">
        <x:v>Plan a follow up conversation on EJ-related data and services during August or September 2021.</x:v>
      </x:c>
      <x:c r="D166" s="12" t="str">
        <x:v>Tools &amp; Services</x:v>
      </x:c>
      <x:c r="E166" s="12" t="str"/>
      <x:c r="F166" s="12" t="str">
        <x:v>Candidate</x:v>
      </x:c>
      <x:c r="G166" s="12" t="str">
        <x:v>Unassigned</x:v>
      </x:c>
      <x:c r="H166" s="14" t="n">
        <x:f>MINIFS(Evidence!$H$2:$H$1026,Evidence!$B$2:$B$1026,A166)</x:f>
        <x:v>2021</x:v>
      </x:c>
      <x:c r="I166" s="14" t="n">
        <x:f>MAXIFS(Evidence!$H$2:$H$1026,Evidence!$B$2:$B$1026,A166)</x:f>
        <x:v>2022</x:v>
      </x:c>
      <x:c r="J166" s="12" t="n">
        <x:f>COUNTIF(Evidence!$B$2:$B$1026,A166)</x:f>
        <x:v>4</x:v>
      </x:c>
      <x:c r="K166" s="12" t="n">
        <x:v>2</x:v>
      </x:c>
      <x:c r="L166" s="12" t="n">
        <x:v>1</x:v>
      </x:c>
      <x:c r="M166" s="12" t="n">
        <x:v>3</x:v>
      </x:c>
      <x:c r="N166" s="12" t="n">
        <x:v>3</x:v>
      </x:c>
      <x:c r="O166" s="12" t="str">
        <x:v>Recurring</x:v>
      </x:c>
      <x:c r="P166" s="12" t="n">
        <x:f>ROUND(MIN(100,(J166*1.5)+(K166*8)+(L166*4)+(M166*3)+((I166-H166+1)*3)),0)</x:f>
        <x:v>41</x:v>
      </x:c>
      <x:c r="Q166" s="12" t="str">
        <x:v>No</x:v>
      </x:c>
      <x:c r="R166" s="12" t="str"/>
      <x:c r="S166" s="12" t="str"/>
      <x:c r="T166" s="12" t="str"/>
      <x:c r="U166" s="12" t="str">
        <x:v>AI-assisted draft cluster; human review required.</x:v>
      </x:c>
    </x:row>
    <x:row r="167">
      <x:c r="A167" s="12" t="str">
        <x:v>NEED-0166</x:v>
      </x:c>
      <x:c r="B167" s="12" t="str">
        <x:v>Earthdata users need spectral view using Level 2 data requires headers that currently have to be manually added in order to import and view in other tools. This becomes a time-consuming effort since it has to be done for multiple files. Can SeaDAS include headers automatically?.</x:v>
      </x:c>
      <x:c r="C167" s="12" t="str">
        <x:v>Plotting spectral view using Level 2 data requires headers that currently have to be manually added in order to import and view in other tools. This becomes a time-consuming effort</x:v>
      </x:c>
      <x:c r="D167" s="12" t="str">
        <x:v>Tools &amp; Services</x:v>
      </x:c>
      <x:c r="E167" s="12" t="str"/>
      <x:c r="F167" s="12" t="str">
        <x:v>Candidate</x:v>
      </x:c>
      <x:c r="G167" s="12" t="str">
        <x:v>Unassigned</x:v>
      </x:c>
      <x:c r="H167" s="14" t="n">
        <x:f>MINIFS(Evidence!$H$2:$H$1026,Evidence!$B$2:$B$1026,A167)</x:f>
        <x:v>2023</x:v>
      </x:c>
      <x:c r="I167" s="14" t="n">
        <x:f>MAXIFS(Evidence!$H$2:$H$1026,Evidence!$B$2:$B$1026,A167)</x:f>
        <x:v>2024</x:v>
      </x:c>
      <x:c r="J167" s="12" t="n">
        <x:f>COUNTIF(Evidence!$B$2:$B$1026,A167)</x:f>
        <x:v>2</x:v>
      </x:c>
      <x:c r="K167" s="12" t="n">
        <x:v>2</x:v>
      </x:c>
      <x:c r="L167" s="12" t="n">
        <x:v>2</x:v>
      </x:c>
      <x:c r="M167" s="12" t="n">
        <x:v>1</x:v>
      </x:c>
      <x:c r="N167" s="12" t="n">
        <x:v>1</x:v>
      </x:c>
      <x:c r="O167" s="12" t="str">
        <x:v>Recurring</x:v>
      </x:c>
      <x:c r="P167" s="12" t="n">
        <x:f>ROUND(MIN(100,(J167*1.5)+(K167*8)+(L167*4)+(M167*3)+((I167-H167+1)*3)),0)</x:f>
        <x:v>36</x:v>
      </x:c>
      <x:c r="Q167" s="12" t="str">
        <x:v>No</x:v>
      </x:c>
      <x:c r="R167" s="12" t="str"/>
      <x:c r="S167" s="12" t="str"/>
      <x:c r="T167" s="12" t="str"/>
      <x:c r="U167" s="12" t="str">
        <x:v>AI-assisted draft cluster; human review required.</x:v>
      </x:c>
    </x:row>
    <x:row r="168">
      <x:c r="A168" s="12" t="str">
        <x:v>NEED-0167</x:v>
      </x:c>
      <x:c r="B168" s="12" t="str">
        <x:v>Earthdata users need – installation has been hard, especially for windows. It causes a lot of extra work for students and teachers. Should seek a way for users to easily use the services without worrying about the installation. (September 22).</x:v>
      </x:c>
      <x:c r="C168" s="12" t="str">
        <x:v>SeaDAS – installation has been hard, especially for windows. It causes a lot of extra work for students and teachers. Should seek a way for users to easily use the services without</x:v>
      </x:c>
      <x:c r="D168" s="12" t="str">
        <x:v>Tools &amp; Services</x:v>
      </x:c>
      <x:c r="E168" s="12" t="str"/>
      <x:c r="F168" s="12" t="str">
        <x:v>Candidate</x:v>
      </x:c>
      <x:c r="G168" s="12" t="str">
        <x:v>Unassigned</x:v>
      </x:c>
      <x:c r="H168" s="14" t="n">
        <x:f>MINIFS(Evidence!$H$2:$H$1026,Evidence!$B$2:$B$1026,A168)</x:f>
        <x:v>2022</x:v>
      </x:c>
      <x:c r="I168" s="14" t="n">
        <x:f>MAXIFS(Evidence!$H$2:$H$1026,Evidence!$B$2:$B$1026,A168)</x:f>
        <x:v>2024</x:v>
      </x:c>
      <x:c r="J168" s="12" t="n">
        <x:f>COUNTIF(Evidence!$B$2:$B$1026,A168)</x:f>
        <x:v>7</x:v>
      </x:c>
      <x:c r="K168" s="12" t="n">
        <x:v>3</x:v>
      </x:c>
      <x:c r="L168" s="12" t="n">
        <x:v>2</x:v>
      </x:c>
      <x:c r="M168" s="12" t="n">
        <x:v>4</x:v>
      </x:c>
      <x:c r="N168" s="12" t="n">
        <x:v>4</x:v>
      </x:c>
      <x:c r="O168" s="12" t="str">
        <x:v>Recurring</x:v>
      </x:c>
      <x:c r="P168" s="12" t="n">
        <x:f>ROUND(MIN(100,(J168*1.5)+(K168*8)+(L168*4)+(M168*3)+((I168-H168+1)*3)),0)</x:f>
        <x:v>64</x:v>
      </x:c>
      <x:c r="Q168" s="12" t="str">
        <x:v>No</x:v>
      </x:c>
      <x:c r="R168" s="12" t="str"/>
      <x:c r="S168" s="12" t="str"/>
      <x:c r="T168" s="12" t="str"/>
      <x:c r="U168" s="12" t="str">
        <x:v>AI-assisted draft cluster; human review required.</x:v>
      </x:c>
    </x:row>
    <x:row r="169">
      <x:c r="A169" s="12" t="str">
        <x:v>NEED-0168</x:v>
      </x:c>
      <x:c r="B169" s="12" t="str">
        <x:v>Earthdata users need uWG has significant concern with consolidation of NASA webpages due to the potential loss of service and functionality. UWG recommends (2022.4.5) that PO.DAAC retains the flexibility to serve its disciplinary user community as needed as NASA moves towards the goal of “website consolidation”. Specifically, no services tailored to the PO.DAAC user community should be lost as a result of this effort.</x:v>
      </x:c>
      <x:c r="C169" s="12" t="str">
        <x:v>The UWG has significant concern with consolidation of NASA webpages due to the potential loss of service and functionality. UWG recommends (2022.4.5) that PO.DAAC retains the flexi</x:v>
      </x:c>
      <x:c r="D169" s="12" t="str">
        <x:v>Tools &amp; Services</x:v>
      </x:c>
      <x:c r="E169" s="12" t="str"/>
      <x:c r="F169" s="12" t="str">
        <x:v>Candidate</x:v>
      </x:c>
      <x:c r="G169" s="12" t="str">
        <x:v>Unassigned</x:v>
      </x:c>
      <x:c r="H169" s="14" t="n">
        <x:f>MINIFS(Evidence!$H$2:$H$1026,Evidence!$B$2:$B$1026,A169)</x:f>
        <x:v>2022</x:v>
      </x:c>
      <x:c r="I169" s="14" t="n">
        <x:f>MAXIFS(Evidence!$H$2:$H$1026,Evidence!$B$2:$B$1026,A169)</x:f>
        <x:v>2024</x:v>
      </x:c>
      <x:c r="J169" s="12" t="n">
        <x:f>COUNTIF(Evidence!$B$2:$B$1026,A169)</x:f>
        <x:v>4</x:v>
      </x:c>
      <x:c r="K169" s="12" t="n">
        <x:v>2</x:v>
      </x:c>
      <x:c r="L169" s="12" t="n">
        <x:v>3</x:v>
      </x:c>
      <x:c r="M169" s="12" t="n">
        <x:v>2</x:v>
      </x:c>
      <x:c r="N169" s="12" t="n">
        <x:v>2</x:v>
      </x:c>
      <x:c r="O169" s="12" t="str">
        <x:v>Recurring</x:v>
      </x:c>
      <x:c r="P169" s="12" t="n">
        <x:f>ROUND(MIN(100,(J169*1.5)+(K169*8)+(L169*4)+(M169*3)+((I169-H169+1)*3)),0)</x:f>
        <x:v>49</x:v>
      </x:c>
      <x:c r="Q169" s="12" t="str">
        <x:v>No</x:v>
      </x:c>
      <x:c r="R169" s="12" t="str"/>
      <x:c r="S169" s="12" t="str"/>
      <x:c r="T169" s="12" t="str"/>
      <x:c r="U169" s="12" t="str">
        <x:v>AI-assisted draft cluster; human review required.</x:v>
      </x:c>
    </x:row>
    <x:row r="170">
      <x:c r="A170" s="12" t="str">
        <x:v>NEED-0169</x:v>
      </x:c>
      <x:c r="B170" s="12" t="str">
        <x:v>Earthdata users need case studies to teach users how to use all tools including how to process data.</x:v>
      </x:c>
      <x:c r="C170" s="12" t="str">
        <x:v>Use case studies to teach users how to use all tools including how to process data.</x:v>
      </x:c>
      <x:c r="D170" s="12" t="str">
        <x:v>Tools &amp; Services</x:v>
      </x:c>
      <x:c r="E170" s="12" t="str"/>
      <x:c r="F170" s="12" t="str">
        <x:v>Candidate</x:v>
      </x:c>
      <x:c r="G170" s="12" t="str">
        <x:v>Unassigned</x:v>
      </x:c>
      <x:c r="H170" s="14" t="n">
        <x:f>MINIFS(Evidence!$H$2:$H$1026,Evidence!$B$2:$B$1026,A170)</x:f>
        <x:v>2022</x:v>
      </x:c>
      <x:c r="I170" s="14" t="n">
        <x:f>MAXIFS(Evidence!$H$2:$H$1026,Evidence!$B$2:$B$1026,A170)</x:f>
        <x:v>2024</x:v>
      </x:c>
      <x:c r="J170" s="12" t="n">
        <x:f>COUNTIF(Evidence!$B$2:$B$1026,A170)</x:f>
        <x:v>4</x:v>
      </x:c>
      <x:c r="K170" s="12" t="n">
        <x:v>3</x:v>
      </x:c>
      <x:c r="L170" s="12" t="n">
        <x:v>3</x:v>
      </x:c>
      <x:c r="M170" s="12" t="n">
        <x:v>1</x:v>
      </x:c>
      <x:c r="N170" s="12" t="n">
        <x:v>2</x:v>
      </x:c>
      <x:c r="O170" s="12" t="str">
        <x:v>Recurring</x:v>
      </x:c>
      <x:c r="P170" s="12" t="n">
        <x:f>ROUND(MIN(100,(J170*1.5)+(K170*8)+(L170*4)+(M170*3)+((I170-H170+1)*3)),0)</x:f>
        <x:v>54</x:v>
      </x:c>
      <x:c r="Q170" s="12" t="str">
        <x:v>No</x:v>
      </x:c>
      <x:c r="R170" s="12" t="str"/>
      <x:c r="S170" s="12" t="str"/>
      <x:c r="T170" s="12" t="str"/>
      <x:c r="U170" s="12" t="str">
        <x:v>AI-assisted draft cluster; human review required.</x:v>
      </x:c>
    </x:row>
    <x:row r="171">
      <x:c r="A171" s="12" t="str">
        <x:v>NEED-0170</x:v>
      </x:c>
      <x:c r="B171" s="12" t="str">
        <x:v>Earthdata users need up on action item 21-14, SEDAC deputy manager A. de Sherbinin and project scientist S. Adamo presented on the characteristics of the SEDAC user community and the tools they use. UWG members discussed the potential for a survey of SEDAC-registered Earthdata users, but it was recognized that this may not be possible given restrictions stemming from the Paperwork Reduction Act. F. Lindsay indicated that the American Customer Satisfaction Index (ACSI) annual survey has limits on how it can be changed, but it could be argued that it would improve the user experience for users to provide a bit more information such as disciplinary affiliation. The options for disciplinary affiliation currently provided by Earthdata Login (EDL) are not well suited for SEDAC users, since more than half of SEDAC users choose “other”). It was therefore suggested that the “other” category could include the option to manually fill in a user’s discipline.</x:v>
      </x:c>
      <x:c r="C171" s="12" t="str">
        <x:v>Following up on action item 21-14, SEDAC deputy manager A. de Sherbinin and project scientist S. Adamo presented on the characteristics of the SEDAC user community and the tools th</x:v>
      </x:c>
      <x:c r="D171" s="12" t="str">
        <x:v>Tools &amp; Services</x:v>
      </x:c>
      <x:c r="E171" s="12" t="str"/>
      <x:c r="F171" s="12" t="str">
        <x:v>Candidate</x:v>
      </x:c>
      <x:c r="G171" s="12" t="str">
        <x:v>Unassigned</x:v>
      </x:c>
      <x:c r="H171" s="14" t="n">
        <x:f>MINIFS(Evidence!$H$2:$H$1026,Evidence!$B$2:$B$1026,A171)</x:f>
        <x:v>2021</x:v>
      </x:c>
      <x:c r="I171" s="14" t="n">
        <x:f>MAXIFS(Evidence!$H$2:$H$1026,Evidence!$B$2:$B$1026,A171)</x:f>
        <x:v>2024</x:v>
      </x:c>
      <x:c r="J171" s="12" t="n">
        <x:f>COUNTIF(Evidence!$B$2:$B$1026,A171)</x:f>
        <x:v>3</x:v>
      </x:c>
      <x:c r="K171" s="12" t="n">
        <x:v>3</x:v>
      </x:c>
      <x:c r="L171" s="12" t="n">
        <x:v>3</x:v>
      </x:c>
      <x:c r="M171" s="12" t="n">
        <x:v>4</x:v>
      </x:c>
      <x:c r="N171" s="12" t="n">
        <x:v>5</x:v>
      </x:c>
      <x:c r="O171" s="12" t="str">
        <x:v>Recurring</x:v>
      </x:c>
      <x:c r="P171" s="12" t="n">
        <x:f>ROUND(MIN(100,(J171*1.5)+(K171*8)+(L171*4)+(M171*3)+((I171-H171+1)*3)),0)</x:f>
        <x:v>65</x:v>
      </x:c>
      <x:c r="Q171" s="12" t="str">
        <x:v>No</x:v>
      </x:c>
      <x:c r="R171" s="12" t="str"/>
      <x:c r="S171" s="12" t="str"/>
      <x:c r="T171" s="12" t="str"/>
      <x:c r="U171" s="12" t="str">
        <x:v>AI-assisted draft cluster; human review required.</x:v>
      </x:c>
    </x:row>
    <x:row r="172">
      <x:c r="A172" s="12" t="str">
        <x:v>NEED-0171</x:v>
      </x:c>
      <x:c r="B172" s="12" t="str">
        <x:v>Earthdata users need linking to example data sets, or example files, so data producers can see what correctly formatted data look like. In data verification, big thing is to assure the data work with whatever tools are used by users. One UWG member really appreciated the NetCDF Attributes Guidelines, while another found them confusing and felt they didn’t need to include all suggested attributes to produce a workable file. Providing code snippets in different languages to use to make the files would help to lower the bar for some data producers.</x:v>
      </x:c>
      <x:c r="C172" s="12" t="str">
        <x:v>Consider linking to example data sets, or example files, so data producers can see what correctly formatted data look like. In data verification, big thing is to assure the data wo</x:v>
      </x:c>
      <x:c r="D172" s="12" t="str">
        <x:v>Tools &amp; Services</x:v>
      </x:c>
      <x:c r="E172" s="12" t="str"/>
      <x:c r="F172" s="12" t="str">
        <x:v>Candidate</x:v>
      </x:c>
      <x:c r="G172" s="12" t="str">
        <x:v>Unassigned</x:v>
      </x:c>
      <x:c r="H172" s="14" t="n">
        <x:f>MINIFS(Evidence!$H$2:$H$1026,Evidence!$B$2:$B$1026,A172)</x:f>
        <x:v>2021</x:v>
      </x:c>
      <x:c r="I172" s="14" t="n">
        <x:f>MAXIFS(Evidence!$H$2:$H$1026,Evidence!$B$2:$B$1026,A172)</x:f>
        <x:v>2023</x:v>
      </x:c>
      <x:c r="J172" s="12" t="n">
        <x:f>COUNTIF(Evidence!$B$2:$B$1026,A172)</x:f>
        <x:v>4</x:v>
      </x:c>
      <x:c r="K172" s="12" t="n">
        <x:v>3</x:v>
      </x:c>
      <x:c r="L172" s="12" t="n">
        <x:v>2</x:v>
      </x:c>
      <x:c r="M172" s="12" t="n">
        <x:v>3</x:v>
      </x:c>
      <x:c r="N172" s="12" t="n">
        <x:v>3</x:v>
      </x:c>
      <x:c r="O172" s="12" t="str">
        <x:v>Recurring</x:v>
      </x:c>
      <x:c r="P172" s="12" t="n">
        <x:f>ROUND(MIN(100,(J172*1.5)+(K172*8)+(L172*4)+(M172*3)+((I172-H172+1)*3)),0)</x:f>
        <x:v>56</x:v>
      </x:c>
      <x:c r="Q172" s="12" t="str">
        <x:v>No</x:v>
      </x:c>
      <x:c r="R172" s="12" t="str"/>
      <x:c r="S172" s="12" t="str"/>
      <x:c r="T172" s="12" t="str"/>
      <x:c r="U172" s="12" t="str">
        <x:v>AI-assisted draft cluster; human review required.</x:v>
      </x:c>
    </x:row>
    <x:row r="173">
      <x:c r="A173" s="12" t="str">
        <x:v>NEED-0172</x:v>
      </x:c>
      <x:c r="B173" s="12" t="str">
        <x:v>Earthdata users need development of ASDC specific tools such as SOOT and DDD with feedback from users.</x:v>
      </x:c>
      <x:c r="C173" s="12" t="str">
        <x:v>Continue development of ASDC specific tools such as SOOT and DDD with feedback from users.</x:v>
      </x:c>
      <x:c r="D173" s="12" t="str">
        <x:v>Tools &amp; Services</x:v>
      </x:c>
      <x:c r="E173" s="12" t="str"/>
      <x:c r="F173" s="12" t="str">
        <x:v>Candidate</x:v>
      </x:c>
      <x:c r="G173" s="12" t="str">
        <x:v>Unassigned</x:v>
      </x:c>
      <x:c r="H173" s="14" t="n">
        <x:f>MINIFS(Evidence!$H$2:$H$1026,Evidence!$B$2:$B$1026,A173)</x:f>
        <x:v>2021</x:v>
      </x:c>
      <x:c r="I173" s="14" t="n">
        <x:f>MAXIFS(Evidence!$H$2:$H$1026,Evidence!$B$2:$B$1026,A173)</x:f>
        <x:v>2024</x:v>
      </x:c>
      <x:c r="J173" s="12" t="n">
        <x:f>COUNTIF(Evidence!$B$2:$B$1026,A173)</x:f>
        <x:v>3</x:v>
      </x:c>
      <x:c r="K173" s="12" t="n">
        <x:v>3</x:v>
      </x:c>
      <x:c r="L173" s="12" t="n">
        <x:v>2</x:v>
      </x:c>
      <x:c r="M173" s="12" t="n">
        <x:v>1</x:v>
      </x:c>
      <x:c r="N173" s="12" t="n">
        <x:v>1</x:v>
      </x:c>
      <x:c r="O173" s="12" t="str">
        <x:v>Recurring</x:v>
      </x:c>
      <x:c r="P173" s="12" t="n">
        <x:f>ROUND(MIN(100,(J173*1.5)+(K173*8)+(L173*4)+(M173*3)+((I173-H173+1)*3)),0)</x:f>
        <x:v>52</x:v>
      </x:c>
      <x:c r="Q173" s="12" t="str">
        <x:v>No</x:v>
      </x:c>
      <x:c r="R173" s="12" t="str"/>
      <x:c r="S173" s="12" t="str"/>
      <x:c r="T173" s="12" t="str"/>
      <x:c r="U173" s="12" t="str">
        <x:v>AI-assisted draft cluster; human review required.</x:v>
      </x:c>
    </x:row>
    <x:row r="174">
      <x:c r="A174" s="12" t="str">
        <x:v>NEED-0173</x:v>
      </x:c>
      <x:c r="B174" s="12" t="str">
        <x:v>Earthdata users need and JPL work on addressing duplication of efforts. Capabilities should be shared (e.g. on-demand services for ST Cal/Val activities developed at JPL should run on OpenSAR Lab and other ASF environments to address users' needs beyond the standard products). That said, the UWG acknowledges an improvement of the bilateral collaboration between ASF and JPL in the past few years.</x:v>
      </x:c>
      <x:c r="C174" s="12" t="str">
        <x:v>The UWG suggests that ASF and JPL work on addressing duplication of efforts. Capabilities should be shared (e.g. on-demand services for ST Cal/Val activities developed at JPL shoul</x:v>
      </x:c>
      <x:c r="D174" s="12" t="str">
        <x:v>Tools &amp; Services</x:v>
      </x:c>
      <x:c r="E174" s="12" t="str"/>
      <x:c r="F174" s="12" t="str">
        <x:v>Candidate</x:v>
      </x:c>
      <x:c r="G174" s="12" t="str">
        <x:v>Unassigned</x:v>
      </x:c>
      <x:c r="H174" s="14" t="n">
        <x:f>MINIFS(Evidence!$H$2:$H$1026,Evidence!$B$2:$B$1026,A174)</x:f>
        <x:v>2021</x:v>
      </x:c>
      <x:c r="I174" s="14" t="n">
        <x:f>MAXIFS(Evidence!$H$2:$H$1026,Evidence!$B$2:$B$1026,A174)</x:f>
        <x:v>2023</x:v>
      </x:c>
      <x:c r="J174" s="12" t="n">
        <x:f>COUNTIF(Evidence!$B$2:$B$1026,A174)</x:f>
        <x:v>9</x:v>
      </x:c>
      <x:c r="K174" s="12" t="n">
        <x:v>3</x:v>
      </x:c>
      <x:c r="L174" s="12" t="n">
        <x:v>1</x:v>
      </x:c>
      <x:c r="M174" s="12" t="n">
        <x:v>3</x:v>
      </x:c>
      <x:c r="N174" s="12" t="n">
        <x:v>5</x:v>
      </x:c>
      <x:c r="O174" s="12" t="str">
        <x:v>Recurring</x:v>
      </x:c>
      <x:c r="P174" s="12" t="n">
        <x:f>ROUND(MIN(100,(J174*1.5)+(K174*8)+(L174*4)+(M174*3)+((I174-H174+1)*3)),0)</x:f>
        <x:v>60</x:v>
      </x:c>
      <x:c r="Q174" s="12" t="str">
        <x:v>No</x:v>
      </x:c>
      <x:c r="R174" s="12" t="str"/>
      <x:c r="S174" s="12" t="str"/>
      <x:c r="T174" s="12" t="str"/>
      <x:c r="U174" s="12" t="str">
        <x:v>AI-assisted draft cluster; human review required.</x:v>
      </x:c>
    </x:row>
    <x:row r="175">
      <x:c r="A175" s="12" t="str">
        <x:v>NEED-0174</x:v>
      </x:c>
      <x:c r="B175" s="12" t="str">
        <x:v>Earthdata users need communication channel among leads from applications, DAACs, mission application leads, data system leads.</x:v>
      </x:c>
      <x:c r="C175" s="12" t="str">
        <x:v>Establish communication channel among leads from applications, DAACs, mission application leads, data system leads.</x:v>
      </x:c>
      <x:c r="D175" s="12" t="str">
        <x:v>Tools &amp; Services</x:v>
      </x:c>
      <x:c r="E175" s="12" t="str"/>
      <x:c r="F175" s="12" t="str">
        <x:v>Candidate</x:v>
      </x:c>
      <x:c r="G175" s="12" t="str">
        <x:v>Unassigned</x:v>
      </x:c>
      <x:c r="H175" s="14" t="n">
        <x:f>MINIFS(Evidence!$H$2:$H$1026,Evidence!$B$2:$B$1026,A175)</x:f>
        <x:v>2021</x:v>
      </x:c>
      <x:c r="I175" s="14" t="n">
        <x:f>MAXIFS(Evidence!$H$2:$H$1026,Evidence!$B$2:$B$1026,A175)</x:f>
        <x:v>2024</x:v>
      </x:c>
      <x:c r="J175" s="12" t="n">
        <x:f>COUNTIF(Evidence!$B$2:$B$1026,A175)</x:f>
        <x:v>2</x:v>
      </x:c>
      <x:c r="K175" s="12" t="n">
        <x:v>2</x:v>
      </x:c>
      <x:c r="L175" s="12" t="n">
        <x:v>2</x:v>
      </x:c>
      <x:c r="M175" s="12" t="n">
        <x:v>2</x:v>
      </x:c>
      <x:c r="N175" s="12" t="n">
        <x:v>2</x:v>
      </x:c>
      <x:c r="O175" s="12" t="str">
        <x:v>Recurring</x:v>
      </x:c>
      <x:c r="P175" s="12" t="n">
        <x:f>ROUND(MIN(100,(J175*1.5)+(K175*8)+(L175*4)+(M175*3)+((I175-H175+1)*3)),0)</x:f>
        <x:v>45</x:v>
      </x:c>
      <x:c r="Q175" s="12" t="str">
        <x:v>No</x:v>
      </x:c>
      <x:c r="R175" s="12" t="str"/>
      <x:c r="S175" s="12" t="str"/>
      <x:c r="T175" s="12" t="str"/>
      <x:c r="U175" s="12" t="str">
        <x:v>AI-assisted draft cluster; human review required.</x:v>
      </x:c>
    </x:row>
    <x:row r="176">
      <x:c r="A176" s="12" t="str">
        <x:v>NEED-0175</x:v>
      </x:c>
      <x:c r="B176" s="12" t="str">
        <x:v>Earthdata users need need guidance on appropriate use of satellite datasets for climate related studies. UWG members stressed the need for a rigorous scientific foundation for the interpretation of the data, and provided a firm opinion that the GES DISC should not provide any services that offer trend analysis without accompanying statistical uncertainty. UWG also suggested referring to the Microwave Limb Sounder (MLS) user guide for better data documentation.</x:v>
      </x:c>
      <x:c r="C176" s="12" t="str">
        <x:v>Users need guidance on appropriate use of satellite datasets for climate related studies. UWG members stressed the need for a rigorous scientific foundation for the interpretation </x:v>
      </x:c>
      <x:c r="D176" s="12" t="str">
        <x:v>Tools &amp; Services</x:v>
      </x:c>
      <x:c r="E176" s="12" t="str"/>
      <x:c r="F176" s="12" t="str">
        <x:v>Candidate</x:v>
      </x:c>
      <x:c r="G176" s="12" t="str">
        <x:v>Unassigned</x:v>
      </x:c>
      <x:c r="H176" s="14" t="n">
        <x:f>MINIFS(Evidence!$H$2:$H$1026,Evidence!$B$2:$B$1026,A176)</x:f>
        <x:v>2021</x:v>
      </x:c>
      <x:c r="I176" s="14" t="n">
        <x:f>MAXIFS(Evidence!$H$2:$H$1026,Evidence!$B$2:$B$1026,A176)</x:f>
        <x:v>2024</x:v>
      </x:c>
      <x:c r="J176" s="12" t="n">
        <x:f>COUNTIF(Evidence!$B$2:$B$1026,A176)</x:f>
        <x:v>4</x:v>
      </x:c>
      <x:c r="K176" s="12" t="n">
        <x:v>2</x:v>
      </x:c>
      <x:c r="L176" s="12" t="n">
        <x:v>1</x:v>
      </x:c>
      <x:c r="M176" s="12" t="n">
        <x:v>2</x:v>
      </x:c>
      <x:c r="N176" s="12" t="n">
        <x:v>3</x:v>
      </x:c>
      <x:c r="O176" s="12" t="str">
        <x:v>Recurring</x:v>
      </x:c>
      <x:c r="P176" s="12" t="n">
        <x:f>ROUND(MIN(100,(J176*1.5)+(K176*8)+(L176*4)+(M176*3)+((I176-H176+1)*3)),0)</x:f>
        <x:v>44</x:v>
      </x:c>
      <x:c r="Q176" s="12" t="str">
        <x:v>No</x:v>
      </x:c>
      <x:c r="R176" s="12" t="str"/>
      <x:c r="S176" s="12" t="str"/>
      <x:c r="T176" s="12" t="str"/>
      <x:c r="U176" s="12" t="str">
        <x:v>AI-assisted draft cluster; human review required.</x:v>
      </x:c>
    </x:row>
    <x:row r="177">
      <x:c r="A177" s="12" t="str">
        <x:v>NEED-0176</x:v>
      </x:c>
      <x:c r="B177" s="12" t="str">
        <x:v>Earthdata users need requirements on what QA flags should/could be available in Worldview in both NRT and standard products (action for GIBS/Worldview, MODAPS and key science team members).</x:v>
      </x:c>
      <x:c r="C177" s="12" t="str">
        <x:v>Gather requirements on what QA flags should/could be available in Worldview in both NRT and standard products (action for GIBS/Worldview, MODAPS and key science team members).</x:v>
      </x:c>
      <x:c r="D177" s="12" t="str">
        <x:v>Tools &amp; Services</x:v>
      </x:c>
      <x:c r="E177" s="12" t="str"/>
      <x:c r="F177" s="12" t="str">
        <x:v>Candidate</x:v>
      </x:c>
      <x:c r="G177" s="12" t="str">
        <x:v>Unassigned</x:v>
      </x:c>
      <x:c r="H177" s="14" t="n">
        <x:f>MINIFS(Evidence!$H$2:$H$1026,Evidence!$B$2:$B$1026,A177)</x:f>
        <x:v>2021</x:v>
      </x:c>
      <x:c r="I177" s="14" t="n">
        <x:f>MAXIFS(Evidence!$H$2:$H$1026,Evidence!$B$2:$B$1026,A177)</x:f>
        <x:v>2023</x:v>
      </x:c>
      <x:c r="J177" s="12" t="n">
        <x:f>COUNTIF(Evidence!$B$2:$B$1026,A177)</x:f>
        <x:v>7</x:v>
      </x:c>
      <x:c r="K177" s="12" t="n">
        <x:v>3</x:v>
      </x:c>
      <x:c r="L177" s="12" t="n">
        <x:v>2</x:v>
      </x:c>
      <x:c r="M177" s="12" t="n">
        <x:v>3</x:v>
      </x:c>
      <x:c r="N177" s="12" t="n">
        <x:v>5</x:v>
      </x:c>
      <x:c r="O177" s="12" t="str">
        <x:v>Recurring</x:v>
      </x:c>
      <x:c r="P177" s="12" t="n">
        <x:f>ROUND(MIN(100,(J177*1.5)+(K177*8)+(L177*4)+(M177*3)+((I177-H177+1)*3)),0)</x:f>
        <x:v>61</x:v>
      </x:c>
      <x:c r="Q177" s="12" t="str">
        <x:v>No</x:v>
      </x:c>
      <x:c r="R177" s="12" t="str"/>
      <x:c r="S177" s="12" t="str"/>
      <x:c r="T177" s="12" t="str"/>
      <x:c r="U177" s="12" t="str">
        <x:v>AI-assisted draft cluster; human review required.</x:v>
      </x:c>
    </x:row>
    <x:row r="178">
      <x:c r="A178" s="12" t="str">
        <x:v>NEED-0177</x:v>
      </x:c>
      <x:c r="B178" s="12" t="str">
        <x:v>Earthdata users need that services created from “shadow archives” (archives reformatted from the original dataset for a specific purpose) are both closely tied to, and acknowledged for the original source. Data sprawl (the same dataset in multiple forms) needs to be managed and requires care in storage efficiency and maintenance of data integrity.</x:v>
      </x:c>
      <x:c r="C178" s="12" t="str">
        <x:v>Ensure that services created from “shadow archives” (archives reformatted from the original dataset for a specific purpose) are both closely tied to, and acknowledged for the origi</x:v>
      </x:c>
      <x:c r="D178" s="12" t="str">
        <x:v>Tools &amp; Services</x:v>
      </x:c>
      <x:c r="E178" s="12" t="str"/>
      <x:c r="F178" s="12" t="str">
        <x:v>Candidate</x:v>
      </x:c>
      <x:c r="G178" s="12" t="str">
        <x:v>Unassigned</x:v>
      </x:c>
      <x:c r="H178" s="14" t="n">
        <x:f>MINIFS(Evidence!$H$2:$H$1026,Evidence!$B$2:$B$1026,A178)</x:f>
        <x:v>2021</x:v>
      </x:c>
      <x:c r="I178" s="14" t="n">
        <x:f>MAXIFS(Evidence!$H$2:$H$1026,Evidence!$B$2:$B$1026,A178)</x:f>
        <x:v>2024</x:v>
      </x:c>
      <x:c r="J178" s="12" t="n">
        <x:f>COUNTIF(Evidence!$B$2:$B$1026,A178)</x:f>
        <x:v>2</x:v>
      </x:c>
      <x:c r="K178" s="12" t="n">
        <x:v>2</x:v>
      </x:c>
      <x:c r="L178" s="12" t="n">
        <x:v>2</x:v>
      </x:c>
      <x:c r="M178" s="12" t="n">
        <x:v>3</x:v>
      </x:c>
      <x:c r="N178" s="12" t="n">
        <x:v>4</x:v>
      </x:c>
      <x:c r="O178" s="12" t="str">
        <x:v>Recurring</x:v>
      </x:c>
      <x:c r="P178" s="12" t="n">
        <x:f>ROUND(MIN(100,(J178*1.5)+(K178*8)+(L178*4)+(M178*3)+((I178-H178+1)*3)),0)</x:f>
        <x:v>48</x:v>
      </x:c>
      <x:c r="Q178" s="12" t="str">
        <x:v>No</x:v>
      </x:c>
      <x:c r="R178" s="12" t="str"/>
      <x:c r="S178" s="12" t="str"/>
      <x:c r="T178" s="12" t="str"/>
      <x:c r="U178" s="12" t="str">
        <x:v>AI-assisted draft cluster; human review required.</x:v>
      </x:c>
    </x:row>
    <x:row r="179">
      <x:c r="A179" s="12" t="str">
        <x:v>NEED-0178</x:v>
      </x:c>
      <x:c r="B179" s="12" t="str">
        <x:v>Earthdata users need the FAIR data creation process through more documentation and potential tools to help data providers meet requirements. Balance NSIDC DAAC resources with data producer resources to try to not be burdensome to either.</x:v>
      </x:c>
      <x:c r="C179" s="12" t="str">
        <x:v>Streamline the FAIR data creation process through more documentation and potential tools to help data providers meet requirements. Balance NSIDC DAAC resources with data producer r</x:v>
      </x:c>
      <x:c r="D179" s="12" t="str">
        <x:v>Tools &amp; Services</x:v>
      </x:c>
      <x:c r="E179" s="12" t="str"/>
      <x:c r="F179" s="12" t="str">
        <x:v>Candidate</x:v>
      </x:c>
      <x:c r="G179" s="12" t="str">
        <x:v>Unassigned</x:v>
      </x:c>
      <x:c r="H179" s="14" t="n">
        <x:f>MINIFS(Evidence!$H$2:$H$1026,Evidence!$B$2:$B$1026,A179)</x:f>
        <x:v>2022</x:v>
      </x:c>
      <x:c r="I179" s="14" t="n">
        <x:f>MAXIFS(Evidence!$H$2:$H$1026,Evidence!$B$2:$B$1026,A179)</x:f>
        <x:v>2024</x:v>
      </x:c>
      <x:c r="J179" s="12" t="n">
        <x:f>COUNTIF(Evidence!$B$2:$B$1026,A179)</x:f>
        <x:v>3</x:v>
      </x:c>
      <x:c r="K179" s="12" t="n">
        <x:v>3</x:v>
      </x:c>
      <x:c r="L179" s="12" t="n">
        <x:v>2</x:v>
      </x:c>
      <x:c r="M179" s="12" t="n">
        <x:v>4</x:v>
      </x:c>
      <x:c r="N179" s="12" t="n">
        <x:v>3</x:v>
      </x:c>
      <x:c r="O179" s="12" t="str">
        <x:v>Recurring</x:v>
      </x:c>
      <x:c r="P179" s="12" t="n">
        <x:f>ROUND(MIN(100,(J179*1.5)+(K179*8)+(L179*4)+(M179*3)+((I179-H179+1)*3)),0)</x:f>
        <x:v>58</x:v>
      </x:c>
      <x:c r="Q179" s="12" t="str">
        <x:v>No</x:v>
      </x:c>
      <x:c r="R179" s="12" t="str"/>
      <x:c r="S179" s="12" t="str"/>
      <x:c r="T179" s="12" t="str"/>
      <x:c r="U179" s="12" t="str">
        <x:v>AI-assisted draft cluster; human review required.</x:v>
      </x:c>
    </x:row>
    <x:row r="180">
      <x:c r="A180" s="12" t="str">
        <x:v>NEED-0179</x:v>
      </x:c>
      <x:c r="B180" s="12" t="str">
        <x:v>Earthdata users need to provide high-quality scientific and data support through ORNL DAAC’s expert services that maintain the specialized, context-specific support needed for publication of diverse data.</x:v>
      </x:c>
      <x:c r="C180" s="12" t="str">
        <x:v>Continue to provide high-quality scientific and data support through ORNL DAAC’s expert services that maintain the specialized, context-specific support needed for publication of d</x:v>
      </x:c>
      <x:c r="D180" s="12" t="str">
        <x:v>Tools &amp; Services</x:v>
      </x:c>
      <x:c r="E180" s="12" t="str"/>
      <x:c r="F180" s="12" t="str">
        <x:v>Candidate</x:v>
      </x:c>
      <x:c r="G180" s="12" t="str">
        <x:v>Unassigned</x:v>
      </x:c>
      <x:c r="H180" s="14" t="n">
        <x:f>MINIFS(Evidence!$H$2:$H$1026,Evidence!$B$2:$B$1026,A180)</x:f>
        <x:v>2022</x:v>
      </x:c>
      <x:c r="I180" s="14" t="n">
        <x:f>MAXIFS(Evidence!$H$2:$H$1026,Evidence!$B$2:$B$1026,A180)</x:f>
        <x:v>2024</x:v>
      </x:c>
      <x:c r="J180" s="12" t="n">
        <x:f>COUNTIF(Evidence!$B$2:$B$1026,A180)</x:f>
        <x:v>3</x:v>
      </x:c>
      <x:c r="K180" s="12" t="n">
        <x:v>2</x:v>
      </x:c>
      <x:c r="L180" s="12" t="n">
        <x:v>2</x:v>
      </x:c>
      <x:c r="M180" s="12" t="n">
        <x:v>3</x:v>
      </x:c>
      <x:c r="N180" s="12" t="n">
        <x:v>2</x:v>
      </x:c>
      <x:c r="O180" s="12" t="str">
        <x:v>Recurring</x:v>
      </x:c>
      <x:c r="P180" s="12" t="n">
        <x:f>ROUND(MIN(100,(J180*1.5)+(K180*8)+(L180*4)+(M180*3)+((I180-H180+1)*3)),0)</x:f>
        <x:v>47</x:v>
      </x:c>
      <x:c r="Q180" s="12" t="str">
        <x:v>No</x:v>
      </x:c>
      <x:c r="R180" s="12" t="str"/>
      <x:c r="S180" s="12" t="str"/>
      <x:c r="T180" s="12" t="str"/>
      <x:c r="U180" s="12" t="str">
        <x:v>AI-assisted draft cluster; human review required.</x:v>
      </x:c>
    </x:row>
    <x:row r="181">
      <x:c r="A181" s="12" t="str">
        <x:v>NEED-0180</x:v>
      </x:c>
      <x:c r="B181" s="12" t="str">
        <x:v>Earthdata users need are worried about potential charges for previously free services like Google Earth Engine.</x:v>
      </x:c>
      <x:c r="C181" s="12" t="str">
        <x:v>Users are worried about potential charges for previously free services like Google Earth Engine.</x:v>
      </x:c>
      <x:c r="D181" s="12" t="str">
        <x:v>Tools &amp; Services</x:v>
      </x:c>
      <x:c r="E181" s="12" t="str"/>
      <x:c r="F181" s="12" t="str">
        <x:v>Candidate</x:v>
      </x:c>
      <x:c r="G181" s="12" t="str">
        <x:v>Unassigned</x:v>
      </x:c>
      <x:c r="H181" s="14" t="n">
        <x:f>MINIFS(Evidence!$H$2:$H$1026,Evidence!$B$2:$B$1026,A181)</x:f>
        <x:v>2024</x:v>
      </x:c>
      <x:c r="I181" s="14" t="n">
        <x:f>MAXIFS(Evidence!$H$2:$H$1026,Evidence!$B$2:$B$1026,A181)</x:f>
        <x:v>2024</x:v>
      </x:c>
      <x:c r="J181" s="12" t="n">
        <x:f>COUNTIF(Evidence!$B$2:$B$1026,A181)</x:f>
        <x:v>2</x:v>
      </x:c>
      <x:c r="K181" s="12" t="n">
        <x:v>1</x:v>
      </x:c>
      <x:c r="L181" s="12" t="n">
        <x:v>1</x:v>
      </x:c>
      <x:c r="M181" s="12" t="n">
        <x:v>1</x:v>
      </x:c>
      <x:c r="N181" s="12" t="n">
        <x:v>2</x:v>
      </x:c>
      <x:c r="O181" s="12" t="str">
        <x:v>Single-year signal</x:v>
      </x:c>
      <x:c r="P181" s="12" t="n">
        <x:f>ROUND(MIN(100,(J181*1.5)+(K181*8)+(L181*4)+(M181*3)+((I181-H181+1)*3)),0)</x:f>
        <x:v>21</x:v>
      </x:c>
      <x:c r="Q181" s="12" t="str">
        <x:v>No</x:v>
      </x:c>
      <x:c r="R181" s="12" t="str"/>
      <x:c r="S181" s="12" t="str"/>
      <x:c r="T181" s="12" t="str"/>
      <x:c r="U181" s="12" t="str">
        <x:v>AI-assisted draft cluster; human review required.</x:v>
      </x:c>
    </x:row>
    <x:row r="182">
      <x:c r="A182" s="12" t="str">
        <x:v>NEED-0181</x:v>
      </x:c>
      <x:c r="B182" s="12" t="str">
        <x:v>Earthdata users need we use the EOSDIS Worldview tool or will there be a specialized tool for NISAR &amp; OPERA?.</x:v>
      </x:c>
      <x:c r="C182" s="12" t="str">
        <x:v>Will we use the EOSDIS Worldview tool or will there be a specialized tool for NISAR &amp; OPERA?</x:v>
      </x:c>
      <x:c r="D182" s="12" t="str">
        <x:v>Tools &amp; Services</x:v>
      </x:c>
      <x:c r="E182" s="12" t="str"/>
      <x:c r="F182" s="12" t="str">
        <x:v>Candidate</x:v>
      </x:c>
      <x:c r="G182" s="12" t="str">
        <x:v>Unassigned</x:v>
      </x:c>
      <x:c r="H182" s="14" t="n">
        <x:f>MINIFS(Evidence!$H$2:$H$1026,Evidence!$B$2:$B$1026,A182)</x:f>
        <x:v>2021</x:v>
      </x:c>
      <x:c r="I182" s="14" t="n">
        <x:f>MAXIFS(Evidence!$H$2:$H$1026,Evidence!$B$2:$B$1026,A182)</x:f>
        <x:v>2024</x:v>
      </x:c>
      <x:c r="J182" s="12" t="n">
        <x:f>COUNTIF(Evidence!$B$2:$B$1026,A182)</x:f>
        <x:v>3</x:v>
      </x:c>
      <x:c r="K182" s="12" t="n">
        <x:v>3</x:v>
      </x:c>
      <x:c r="L182" s="12" t="n">
        <x:v>1</x:v>
      </x:c>
      <x:c r="M182" s="12" t="n">
        <x:v>2</x:v>
      </x:c>
      <x:c r="N182" s="12" t="n">
        <x:v>2</x:v>
      </x:c>
      <x:c r="O182" s="12" t="str">
        <x:v>Recurring</x:v>
      </x:c>
      <x:c r="P182" s="12" t="n">
        <x:f>ROUND(MIN(100,(J182*1.5)+(K182*8)+(L182*4)+(M182*3)+((I182-H182+1)*3)),0)</x:f>
        <x:v>51</x:v>
      </x:c>
      <x:c r="Q182" s="12" t="str">
        <x:v>No</x:v>
      </x:c>
      <x:c r="R182" s="12" t="str"/>
      <x:c r="S182" s="12" t="str"/>
      <x:c r="T182" s="12" t="str"/>
      <x:c r="U182" s="12" t="str">
        <x:v>AI-assisted draft cluster; human review required.</x:v>
      </x:c>
    </x:row>
    <x:row r="183">
      <x:c r="A183" s="12" t="str">
        <x:v>NEED-0182</x:v>
      </x:c>
      <x:c r="B183" s="12" t="str">
        <x:v>Earthdata users need da Silva to finalize a LANCE Enhancement Request to determine a NRT path to Assimilate Geostationary Aerosol Data which will also include the generation of concurrent GIBS imagery with aerosol properties for Worldview. This should be submitted to the LANCE managers prior to the next LANCE UWG meeting.</x:v>
      </x:c>
      <x:c r="C183" s="12" t="str">
        <x:v>Arlindo da Silva to finalize a LANCE Enhancement Request to determine a NRT path to Assimilate Geostationary Aerosol Data which will also include the generation of concurrent GIBS </x:v>
      </x:c>
      <x:c r="D183" s="12" t="str">
        <x:v>Tools &amp; Services</x:v>
      </x:c>
      <x:c r="E183" s="12" t="str"/>
      <x:c r="F183" s="12" t="str">
        <x:v>Candidate</x:v>
      </x:c>
      <x:c r="G183" s="12" t="str">
        <x:v>Unassigned</x:v>
      </x:c>
      <x:c r="H183" s="14" t="n">
        <x:f>MINIFS(Evidence!$H$2:$H$1026,Evidence!$B$2:$B$1026,A183)</x:f>
        <x:v>2021</x:v>
      </x:c>
      <x:c r="I183" s="14" t="n">
        <x:f>MAXIFS(Evidence!$H$2:$H$1026,Evidence!$B$2:$B$1026,A183)</x:f>
        <x:v>2023</x:v>
      </x:c>
      <x:c r="J183" s="12" t="n">
        <x:f>COUNTIF(Evidence!$B$2:$B$1026,A183)</x:f>
        <x:v>3</x:v>
      </x:c>
      <x:c r="K183" s="12" t="n">
        <x:v>3</x:v>
      </x:c>
      <x:c r="L183" s="12" t="n">
        <x:v>2</x:v>
      </x:c>
      <x:c r="M183" s="12" t="n">
        <x:v>2</x:v>
      </x:c>
      <x:c r="N183" s="12" t="n">
        <x:v>2</x:v>
      </x:c>
      <x:c r="O183" s="12" t="str">
        <x:v>Recurring</x:v>
      </x:c>
      <x:c r="P183" s="12" t="n">
        <x:f>ROUND(MIN(100,(J183*1.5)+(K183*8)+(L183*4)+(M183*3)+((I183-H183+1)*3)),0)</x:f>
        <x:v>52</x:v>
      </x:c>
      <x:c r="Q183" s="12" t="str">
        <x:v>No</x:v>
      </x:c>
      <x:c r="R183" s="12" t="str"/>
      <x:c r="S183" s="12" t="str"/>
      <x:c r="T183" s="12" t="str"/>
      <x:c r="U183" s="12" t="str">
        <x:v>AI-assisted draft cluster; human review required.</x:v>
      </x:c>
    </x:row>
    <x:row r="184">
      <x:c r="A184" s="12" t="str">
        <x:v>NEED-0183</x:v>
      </x:c>
      <x:c r="B184" s="12" t="str">
        <x:v>Earthdata users need needs to quantify the utility of its services, such as the Field Campaign Explorer (FCX).</x:v>
      </x:c>
      <x:c r="C184" s="12" t="str">
        <x:v>GHRC needs to quantify the utility of its services, such as the Field Campaign Explorer (FCX).</x:v>
      </x:c>
      <x:c r="D184" s="12" t="str">
        <x:v>Tools &amp; Services</x:v>
      </x:c>
      <x:c r="E184" s="12" t="str"/>
      <x:c r="F184" s="12" t="str">
        <x:v>Candidate</x:v>
      </x:c>
      <x:c r="G184" s="12" t="str">
        <x:v>Unassigned</x:v>
      </x:c>
      <x:c r="H184" s="14" t="n">
        <x:f>MINIFS(Evidence!$H$2:$H$1026,Evidence!$B$2:$B$1026,A184)</x:f>
        <x:v>2024</x:v>
      </x:c>
      <x:c r="I184" s="14" t="n">
        <x:f>MAXIFS(Evidence!$H$2:$H$1026,Evidence!$B$2:$B$1026,A184)</x:f>
        <x:v>2024</x:v>
      </x:c>
      <x:c r="J184" s="12" t="n">
        <x:f>COUNTIF(Evidence!$B$2:$B$1026,A184)</x:f>
        <x:v>1</x:v>
      </x:c>
      <x:c r="K184" s="12" t="n">
        <x:v>1</x:v>
      </x:c>
      <x:c r="L184" s="12" t="n">
        <x:v>1</x:v>
      </x:c>
      <x:c r="M184" s="12" t="n">
        <x:v>1</x:v>
      </x:c>
      <x:c r="N184" s="12" t="n">
        <x:v>1</x:v>
      </x:c>
      <x:c r="O184" s="12" t="str">
        <x:v>Single-year signal</x:v>
      </x:c>
      <x:c r="P184" s="12" t="n">
        <x:f>ROUND(MIN(100,(J184*1.5)+(K184*8)+(L184*4)+(M184*3)+((I184-H184+1)*3)),0)</x:f>
        <x:v>20</x:v>
      </x:c>
      <x:c r="Q184" s="12" t="str">
        <x:v>No</x:v>
      </x:c>
      <x:c r="R184" s="12" t="str"/>
      <x:c r="S184" s="12" t="str"/>
      <x:c r="T184" s="12" t="str"/>
      <x:c r="U184" s="12" t="str">
        <x:v>AI-assisted draft cluster; human review required.</x:v>
      </x:c>
    </x:row>
    <x:row r="185">
      <x:c r="A185" s="12" t="str">
        <x:v>NEED-0184</x:v>
      </x:c>
      <x:c r="B185" s="12" t="str">
        <x:v>Earthdata users need aRSET training material to datasets/tools/etc. on our website and via social media. Build each other’s material and emerging needs.</x:v>
      </x:c>
      <x:c r="C185" s="12" t="str">
        <x:v>Connect ARSET training material to datasets/tools/etc. on our website and via social media. Build each other’s material and emerging needs.</x:v>
      </x:c>
      <x:c r="D185" s="12" t="str">
        <x:v>Tools &amp; Services</x:v>
      </x:c>
      <x:c r="E185" s="12" t="str"/>
      <x:c r="F185" s="12" t="str">
        <x:v>Candidate</x:v>
      </x:c>
      <x:c r="G185" s="12" t="str">
        <x:v>Unassigned</x:v>
      </x:c>
      <x:c r="H185" s="14" t="n">
        <x:f>MINIFS(Evidence!$H$2:$H$1026,Evidence!$B$2:$B$1026,A185)</x:f>
        <x:v>2024</x:v>
      </x:c>
      <x:c r="I185" s="14" t="n">
        <x:f>MAXIFS(Evidence!$H$2:$H$1026,Evidence!$B$2:$B$1026,A185)</x:f>
        <x:v>2024</x:v>
      </x:c>
      <x:c r="J185" s="12" t="n">
        <x:f>COUNTIF(Evidence!$B$2:$B$1026,A185)</x:f>
        <x:v>1</x:v>
      </x:c>
      <x:c r="K185" s="12" t="n">
        <x:v>1</x:v>
      </x:c>
      <x:c r="L185" s="12" t="n">
        <x:v>1</x:v>
      </x:c>
      <x:c r="M185" s="12" t="n">
        <x:v>1</x:v>
      </x:c>
      <x:c r="N185" s="12" t="n">
        <x:v>1</x:v>
      </x:c>
      <x:c r="O185" s="12" t="str">
        <x:v>Single-year signal</x:v>
      </x:c>
      <x:c r="P185" s="12" t="n">
        <x:f>ROUND(MIN(100,(J185*1.5)+(K185*8)+(L185*4)+(M185*3)+((I185-H185+1)*3)),0)</x:f>
        <x:v>20</x:v>
      </x:c>
      <x:c r="Q185" s="12" t="str">
        <x:v>No</x:v>
      </x:c>
      <x:c r="R185" s="12" t="str"/>
      <x:c r="S185" s="12" t="str"/>
      <x:c r="T185" s="12" t="str"/>
      <x:c r="U185" s="12" t="str">
        <x:v>AI-assisted draft cluster; human review required.</x:v>
      </x:c>
    </x:row>
    <x:row r="186">
      <x:c r="A186" s="12" t="str">
        <x:v>NEED-0185</x:v>
      </x:c>
      <x:c r="B186" s="12" t="str">
        <x:v>Earthdata users need relation to modalities of future meetings, having one face-to-face meeting per year is very important (with provisions for those who cannot attend in person to join remotely), with the remaining meetings being virtual. Suggest adding quarterly meetings on specific topics (e.g., EJ and GIS strategies) with breakout rooms and possibly interactive tools.</x:v>
      </x:c>
      <x:c r="C186" s="12" t="str">
        <x:v>In relation to modalities of future meetings, having one face-to-face meeting per year is very important (with provisions for those who cannot attend in person to join remotely), w</x:v>
      </x:c>
      <x:c r="D186" s="12" t="str">
        <x:v>Tools &amp; Services</x:v>
      </x:c>
      <x:c r="E186" s="12" t="str"/>
      <x:c r="F186" s="12" t="str">
        <x:v>Candidate</x:v>
      </x:c>
      <x:c r="G186" s="12" t="str">
        <x:v>Unassigned</x:v>
      </x:c>
      <x:c r="H186" s="14" t="n">
        <x:f>MINIFS(Evidence!$H$2:$H$1026,Evidence!$B$2:$B$1026,A186)</x:f>
        <x:v>2021</x:v>
      </x:c>
      <x:c r="I186" s="14" t="n">
        <x:f>MAXIFS(Evidence!$H$2:$H$1026,Evidence!$B$2:$B$1026,A186)</x:f>
        <x:v>2021</x:v>
      </x:c>
      <x:c r="J186" s="12" t="n">
        <x:f>COUNTIF(Evidence!$B$2:$B$1026,A186)</x:f>
        <x:v>1</x:v>
      </x:c>
      <x:c r="K186" s="12" t="n">
        <x:v>1</x:v>
      </x:c>
      <x:c r="L186" s="12" t="n">
        <x:v>1</x:v>
      </x:c>
      <x:c r="M186" s="12" t="n">
        <x:v>1</x:v>
      </x:c>
      <x:c r="N186" s="12" t="n">
        <x:v>1</x:v>
      </x:c>
      <x:c r="O186" s="12" t="str">
        <x:v>Single-year signal</x:v>
      </x:c>
      <x:c r="P186" s="12" t="n">
        <x:f>ROUND(MIN(100,(J186*1.5)+(K186*8)+(L186*4)+(M186*3)+((I186-H186+1)*3)),0)</x:f>
        <x:v>20</x:v>
      </x:c>
      <x:c r="Q186" s="12" t="str">
        <x:v>No</x:v>
      </x:c>
      <x:c r="R186" s="12" t="str"/>
      <x:c r="S186" s="12" t="str"/>
      <x:c r="T186" s="12" t="str"/>
      <x:c r="U186" s="12" t="str">
        <x:v>AI-assisted draft cluster; human review required.</x:v>
      </x:c>
    </x:row>
    <x:row r="187">
      <x:c r="A187" s="12" t="str">
        <x:v>NEED-0186</x:v>
      </x:c>
      <x:c r="B187" s="12" t="str">
        <x:v>Earthdata users need uWG23-09. Based on the analyses and inputs gathered in action items 06-08, identify 2-3 specific application areas and associated user communities that could be selected for targeted outreach efforts, and develop initial plans for review and prioritization by the UWG. Status: Open. Target Date: next UWG meeting.</x:v>
      </x:c>
      <x:c r="C187" s="12" t="str">
        <x:v>Action UWG23-09. Based on the analyses and inputs gathered in action items 06-08, identify 2-3 specific application areas and associated user communities that could be selected for</x:v>
      </x:c>
      <x:c r="D187" s="12" t="str">
        <x:v>Tools &amp; Services</x:v>
      </x:c>
      <x:c r="E187" s="12" t="str"/>
      <x:c r="F187" s="12" t="str">
        <x:v>Candidate</x:v>
      </x:c>
      <x:c r="G187" s="12" t="str">
        <x:v>Unassigned</x:v>
      </x:c>
      <x:c r="H187" s="14" t="n">
        <x:f>MINIFS(Evidence!$H$2:$H$1026,Evidence!$B$2:$B$1026,A187)</x:f>
        <x:v>2023</x:v>
      </x:c>
      <x:c r="I187" s="14" t="n">
        <x:f>MAXIFS(Evidence!$H$2:$H$1026,Evidence!$B$2:$B$1026,A187)</x:f>
        <x:v>2023</x:v>
      </x:c>
      <x:c r="J187" s="12" t="n">
        <x:f>COUNTIF(Evidence!$B$2:$B$1026,A187)</x:f>
        <x:v>2</x:v>
      </x:c>
      <x:c r="K187" s="12" t="n">
        <x:v>1</x:v>
      </x:c>
      <x:c r="L187" s="12" t="n">
        <x:v>1</x:v>
      </x:c>
      <x:c r="M187" s="12" t="n">
        <x:v>3</x:v>
      </x:c>
      <x:c r="N187" s="12" t="n">
        <x:v>2</x:v>
      </x:c>
      <x:c r="O187" s="12" t="str">
        <x:v>Single-year signal</x:v>
      </x:c>
      <x:c r="P187" s="12" t="n">
        <x:f>ROUND(MIN(100,(J187*1.5)+(K187*8)+(L187*4)+(M187*3)+((I187-H187+1)*3)),0)</x:f>
        <x:v>27</x:v>
      </x:c>
      <x:c r="Q187" s="12" t="str">
        <x:v>No</x:v>
      </x:c>
      <x:c r="R187" s="12" t="str"/>
      <x:c r="S187" s="12" t="str"/>
      <x:c r="T187" s="12" t="str"/>
      <x:c r="U187" s="12" t="str">
        <x:v>AI-assisted draft cluster; human review required.</x:v>
      </x:c>
    </x:row>
    <x:row r="188">
      <x:c r="A188" s="12" t="str">
        <x:v>NEED-0187</x:v>
      </x:c>
      <x:c r="B188" s="12" t="str">
        <x:v>Earthdata users need appEEARS and TESViS teams should work together to identify datasets and features needed in AppEEARS in order to satisfy TESViS capabilities and look into potentially combining the tools into a single enterprise solution.</x:v>
      </x:c>
      <x:c r="C188" s="12" t="str">
        <x:v>The AppEEARS and TESViS teams should work together to identify datasets and features needed in AppEEARS in order to satisfy TESViS capabilities and look into potentially combining </x:v>
      </x:c>
      <x:c r="D188" s="12" t="str">
        <x:v>Tools &amp; Services</x:v>
      </x:c>
      <x:c r="E188" s="12" t="str"/>
      <x:c r="F188" s="12" t="str">
        <x:v>Candidate</x:v>
      </x:c>
      <x:c r="G188" s="12" t="str">
        <x:v>Unassigned</x:v>
      </x:c>
      <x:c r="H188" s="14" t="n">
        <x:f>MINIFS(Evidence!$H$2:$H$1026,Evidence!$B$2:$B$1026,A188)</x:f>
        <x:v>2023</x:v>
      </x:c>
      <x:c r="I188" s="14" t="n">
        <x:f>MAXIFS(Evidence!$H$2:$H$1026,Evidence!$B$2:$B$1026,A188)</x:f>
        <x:v>2024</x:v>
      </x:c>
      <x:c r="J188" s="12" t="n">
        <x:f>COUNTIF(Evidence!$B$2:$B$1026,A188)</x:f>
        <x:v>3</x:v>
      </x:c>
      <x:c r="K188" s="12" t="n">
        <x:v>2</x:v>
      </x:c>
      <x:c r="L188" s="12" t="n">
        <x:v>2</x:v>
      </x:c>
      <x:c r="M188" s="12" t="n">
        <x:v>1</x:v>
      </x:c>
      <x:c r="N188" s="12" t="n">
        <x:v>1</x:v>
      </x:c>
      <x:c r="O188" s="12" t="str">
        <x:v>Recurring</x:v>
      </x:c>
      <x:c r="P188" s="12" t="n">
        <x:f>ROUND(MIN(100,(J188*1.5)+(K188*8)+(L188*4)+(M188*3)+((I188-H188+1)*3)),0)</x:f>
        <x:v>38</x:v>
      </x:c>
      <x:c r="Q188" s="12" t="str">
        <x:v>No</x:v>
      </x:c>
      <x:c r="R188" s="12" t="str"/>
      <x:c r="S188" s="12" t="str"/>
      <x:c r="T188" s="12" t="str"/>
      <x:c r="U188" s="12" t="str">
        <x:v>AI-assisted draft cluster; human review required.</x:v>
      </x:c>
    </x:row>
    <x:row r="189">
      <x:c r="A189" s="12" t="str">
        <x:v>NEED-0188</x:v>
      </x:c>
      <x:c r="B189" s="12" t="str">
        <x:v>Earthdata users need dAAC will perform an evaluation of formats for ICESat-2 data in FY2023. This will include evaluating the optimized format conversion options available through EOSDIS Harmony services.</x:v>
      </x:c>
      <x:c r="C189" s="12" t="str">
        <x:v>The DAAC will perform an evaluation of formats for ICESat-2 data in FY2023. This will include evaluating the optimized format conversion options available through EOSDIS Harmony se</x:v>
      </x:c>
      <x:c r="D189" s="12" t="str">
        <x:v>Tools &amp; Services</x:v>
      </x:c>
      <x:c r="E189" s="12" t="str"/>
      <x:c r="F189" s="12" t="str">
        <x:v>Candidate</x:v>
      </x:c>
      <x:c r="G189" s="12" t="str">
        <x:v>Unassigned</x:v>
      </x:c>
      <x:c r="H189" s="14" t="n">
        <x:f>MINIFS(Evidence!$H$2:$H$1026,Evidence!$B$2:$B$1026,A189)</x:f>
        <x:v>2022</x:v>
      </x:c>
      <x:c r="I189" s="14" t="n">
        <x:f>MAXIFS(Evidence!$H$2:$H$1026,Evidence!$B$2:$B$1026,A189)</x:f>
        <x:v>2022</x:v>
      </x:c>
      <x:c r="J189" s="12" t="n">
        <x:f>COUNTIF(Evidence!$B$2:$B$1026,A189)</x:f>
        <x:v>2</x:v>
      </x:c>
      <x:c r="K189" s="12" t="n">
        <x:v>1</x:v>
      </x:c>
      <x:c r="L189" s="12" t="n">
        <x:v>1</x:v>
      </x:c>
      <x:c r="M189" s="12" t="n">
        <x:v>1</x:v>
      </x:c>
      <x:c r="N189" s="12" t="n">
        <x:v>2</x:v>
      </x:c>
      <x:c r="O189" s="12" t="str">
        <x:v>Single-year signal</x:v>
      </x:c>
      <x:c r="P189" s="12" t="n">
        <x:f>ROUND(MIN(100,(J189*1.5)+(K189*8)+(L189*4)+(M189*3)+((I189-H189+1)*3)),0)</x:f>
        <x:v>21</x:v>
      </x:c>
      <x:c r="Q189" s="12" t="str">
        <x:v>No</x:v>
      </x:c>
      <x:c r="R189" s="12" t="str"/>
      <x:c r="S189" s="12" t="str"/>
      <x:c r="T189" s="12" t="str"/>
      <x:c r="U189" s="12" t="str">
        <x:v>AI-assisted draft cluster; human review required.</x:v>
      </x:c>
    </x:row>
    <x:row r="190">
      <x:c r="A190" s="12" t="str">
        <x:v>NEED-0189</x:v>
      </x:c>
      <x:c r="B190" s="12" t="str">
        <x:v>Earthdata users need community is looking for Time Series data. A tool is needed to find by location and time for single station. (SLR and VLBI).</x:v>
      </x:c>
      <x:c r="C190" s="12" t="str">
        <x:v>Geodetic community is looking for Time Series data. A tool is needed to find by location and time for single station. (SLR and VLBI).</x:v>
      </x:c>
      <x:c r="D190" s="12" t="str">
        <x:v>Tools &amp; Services</x:v>
      </x:c>
      <x:c r="E190" s="12" t="str"/>
      <x:c r="F190" s="12" t="str">
        <x:v>Candidate</x:v>
      </x:c>
      <x:c r="G190" s="12" t="str">
        <x:v>Unassigned</x:v>
      </x:c>
      <x:c r="H190" s="14" t="n">
        <x:f>MINIFS(Evidence!$H$2:$H$1026,Evidence!$B$2:$B$1026,A190)</x:f>
        <x:v>2021</x:v>
      </x:c>
      <x:c r="I190" s="14" t="n">
        <x:f>MAXIFS(Evidence!$H$2:$H$1026,Evidence!$B$2:$B$1026,A190)</x:f>
        <x:v>2024</x:v>
      </x:c>
      <x:c r="J190" s="12" t="n">
        <x:f>COUNTIF(Evidence!$B$2:$B$1026,A190)</x:f>
        <x:v>3</x:v>
      </x:c>
      <x:c r="K190" s="12" t="n">
        <x:v>3</x:v>
      </x:c>
      <x:c r="L190" s="12" t="n">
        <x:v>3</x:v>
      </x:c>
      <x:c r="M190" s="12" t="n">
        <x:v>3</x:v>
      </x:c>
      <x:c r="N190" s="12" t="n">
        <x:v>2</x:v>
      </x:c>
      <x:c r="O190" s="12" t="str">
        <x:v>Recurring</x:v>
      </x:c>
      <x:c r="P190" s="12" t="n">
        <x:f>ROUND(MIN(100,(J190*1.5)+(K190*8)+(L190*4)+(M190*3)+((I190-H190+1)*3)),0)</x:f>
        <x:v>62</x:v>
      </x:c>
      <x:c r="Q190" s="12" t="str">
        <x:v>No</x:v>
      </x:c>
      <x:c r="R190" s="12" t="str"/>
      <x:c r="S190" s="12" t="str"/>
      <x:c r="T190" s="12" t="str"/>
      <x:c r="U190" s="12" t="str">
        <x:v>AI-assisted draft cluster; human review required.</x:v>
      </x:c>
    </x:row>
    <x:row r="191">
      <x:c r="A191" s="12" t="str">
        <x:v>NEED-0190</x:v>
      </x:c>
      <x:c r="B191" s="12" t="str">
        <x:v>Earthdata users need [UWG23-S13] Continue to improve the usability and performance of enterprise tools and services to better address needs of the ORNL DAAC’s user communities. (3 votes).</x:v>
      </x:c>
      <x:c r="C191" s="12" t="str">
        <x:v>[UWG23-S13] Continue to improve the usability and performance of enterprise tools and services to better address needs of the ORNL DAAC’s user communities. (3 votes)</x:v>
      </x:c>
      <x:c r="D191" s="12" t="str">
        <x:v>Tools &amp; Services</x:v>
      </x:c>
      <x:c r="E191" s="12" t="str"/>
      <x:c r="F191" s="12" t="str">
        <x:v>Candidate</x:v>
      </x:c>
      <x:c r="G191" s="12" t="str">
        <x:v>Unassigned</x:v>
      </x:c>
      <x:c r="H191" s="14" t="n">
        <x:f>MINIFS(Evidence!$H$2:$H$1026,Evidence!$B$2:$B$1026,A191)</x:f>
        <x:v>2022</x:v>
      </x:c>
      <x:c r="I191" s="14" t="n">
        <x:f>MAXIFS(Evidence!$H$2:$H$1026,Evidence!$B$2:$B$1026,A191)</x:f>
        <x:v>2024</x:v>
      </x:c>
      <x:c r="J191" s="12" t="n">
        <x:f>COUNTIF(Evidence!$B$2:$B$1026,A191)</x:f>
        <x:v>10</x:v>
      </x:c>
      <x:c r="K191" s="12" t="n">
        <x:v>3</x:v>
      </x:c>
      <x:c r="L191" s="12" t="n">
        <x:v>5</x:v>
      </x:c>
      <x:c r="M191" s="12" t="n">
        <x:v>2</x:v>
      </x:c>
      <x:c r="N191" s="12" t="n">
        <x:v>4</x:v>
      </x:c>
      <x:c r="O191" s="12" t="str">
        <x:v>Recurring</x:v>
      </x:c>
      <x:c r="P191" s="12" t="n">
        <x:f>ROUND(MIN(100,(J191*1.5)+(K191*8)+(L191*4)+(M191*3)+((I191-H191+1)*3)),0)</x:f>
        <x:v>74</x:v>
      </x:c>
      <x:c r="Q191" s="12" t="str">
        <x:v>No</x:v>
      </x:c>
      <x:c r="R191" s="12" t="str"/>
      <x:c r="S191" s="12" t="str"/>
      <x:c r="T191" s="12" t="str"/>
      <x:c r="U191" s="12" t="str">
        <x:v>AI-assisted draft cluster; human review required.</x:v>
      </x:c>
    </x:row>
    <x:row r="192">
      <x:c r="A192" s="12" t="str">
        <x:v>NEED-0191</x:v>
      </x:c>
      <x:c r="B192" s="12" t="str">
        <x:v>Earthdata users need have difficulty selecting the right data collection to fit their application needs.</x:v>
      </x:c>
      <x:c r="C192" s="12" t="str">
        <x:v>Users have difficulty selecting the right data collection to fit their application needs.</x:v>
      </x:c>
      <x:c r="D192" s="12" t="str">
        <x:v>Tools &amp; Services</x:v>
      </x:c>
      <x:c r="E192" s="12" t="str"/>
      <x:c r="F192" s="12" t="str">
        <x:v>Candidate</x:v>
      </x:c>
      <x:c r="G192" s="12" t="str">
        <x:v>Unassigned</x:v>
      </x:c>
      <x:c r="H192" s="14" t="n">
        <x:f>MINIFS(Evidence!$H$2:$H$1026,Evidence!$B$2:$B$1026,A192)</x:f>
        <x:v>2023</x:v>
      </x:c>
      <x:c r="I192" s="14" t="n">
        <x:f>MAXIFS(Evidence!$H$2:$H$1026,Evidence!$B$2:$B$1026,A192)</x:f>
        <x:v>2023</x:v>
      </x:c>
      <x:c r="J192" s="12" t="n">
        <x:f>COUNTIF(Evidence!$B$2:$B$1026,A192)</x:f>
        <x:v>1</x:v>
      </x:c>
      <x:c r="K192" s="12" t="n">
        <x:v>1</x:v>
      </x:c>
      <x:c r="L192" s="12" t="n">
        <x:v>1</x:v>
      </x:c>
      <x:c r="M192" s="12" t="n">
        <x:v>1</x:v>
      </x:c>
      <x:c r="N192" s="12" t="n">
        <x:v>1</x:v>
      </x:c>
      <x:c r="O192" s="12" t="str">
        <x:v>Single-year signal</x:v>
      </x:c>
      <x:c r="P192" s="12" t="n">
        <x:f>ROUND(MIN(100,(J192*1.5)+(K192*8)+(L192*4)+(M192*3)+((I192-H192+1)*3)),0)</x:f>
        <x:v>20</x:v>
      </x:c>
      <x:c r="Q192" s="12" t="str">
        <x:v>No</x:v>
      </x:c>
      <x:c r="R192" s="12" t="str"/>
      <x:c r="S192" s="12" t="str"/>
      <x:c r="T192" s="12" t="str"/>
      <x:c r="U192" s="12" t="str">
        <x:v>AI-assisted draft cluster; human review required.</x:v>
      </x:c>
    </x:row>
    <x:row r="193">
      <x:c r="A193" s="12" t="str">
        <x:v>NEED-0192</x:v>
      </x:c>
      <x:c r="B193" s="12" t="str">
        <x:v>Earthdata users need them of the changes to any interfaces/website navigation changes as it may impact training they do - or update videos/walkthroughs.</x:v>
      </x:c>
      <x:c r="C193" s="12" t="str">
        <x:v>Inform them of the changes to any interfaces/website navigation changes as it may impact training they do - or update videos/walkthroughs.</x:v>
      </x:c>
      <x:c r="D193" s="12" t="str">
        <x:v>Training &amp; Documentation</x:v>
      </x:c>
      <x:c r="E193" s="12" t="str"/>
      <x:c r="F193" s="12" t="str">
        <x:v>Candidate</x:v>
      </x:c>
      <x:c r="G193" s="12" t="str">
        <x:v>Unassigned</x:v>
      </x:c>
      <x:c r="H193" s="14" t="n">
        <x:f>MINIFS(Evidence!$H$2:$H$1026,Evidence!$B$2:$B$1026,A193)</x:f>
        <x:v>2022</x:v>
      </x:c>
      <x:c r="I193" s="14" t="n">
        <x:f>MAXIFS(Evidence!$H$2:$H$1026,Evidence!$B$2:$B$1026,A193)</x:f>
        <x:v>2022</x:v>
      </x:c>
      <x:c r="J193" s="12" t="n">
        <x:f>COUNTIF(Evidence!$B$2:$B$1026,A193)</x:f>
        <x:v>2</x:v>
      </x:c>
      <x:c r="K193" s="12" t="n">
        <x:v>1</x:v>
      </x:c>
      <x:c r="L193" s="12" t="n">
        <x:v>2</x:v>
      </x:c>
      <x:c r="M193" s="12" t="n">
        <x:v>2</x:v>
      </x:c>
      <x:c r="N193" s="12" t="n">
        <x:v>3</x:v>
      </x:c>
      <x:c r="O193" s="12" t="str">
        <x:v>Single-year signal</x:v>
      </x:c>
      <x:c r="P193" s="12" t="n">
        <x:f>ROUND(MIN(100,(J193*1.5)+(K193*8)+(L193*4)+(M193*3)+((I193-H193+1)*3)),0)</x:f>
        <x:v>28</x:v>
      </x:c>
      <x:c r="Q193" s="12" t="str">
        <x:v>No</x:v>
      </x:c>
      <x:c r="R193" s="12" t="str"/>
      <x:c r="S193" s="12" t="str"/>
      <x:c r="T193" s="12" t="str"/>
      <x:c r="U193" s="12" t="str">
        <x:v>AI-assisted draft cluster; human review required.</x:v>
      </x:c>
    </x:row>
    <x:row r="194">
      <x:c r="A194" s="12" t="str">
        <x:v>NEED-0193</x:v>
      </x:c>
      <x:c r="B194" s="12" t="str">
        <x:v>Earthdata users need additional tutorials and code examples in R in order to support our growing community of R users.</x:v>
      </x:c>
      <x:c r="C194" s="12" t="str">
        <x:v>Create additional tutorials and code examples in R in order to support our growing community of R users.</x:v>
      </x:c>
      <x:c r="D194" s="12" t="str">
        <x:v>Training &amp; Documentation</x:v>
      </x:c>
      <x:c r="E194" s="12" t="str"/>
      <x:c r="F194" s="12" t="str">
        <x:v>Candidate</x:v>
      </x:c>
      <x:c r="G194" s="12" t="str">
        <x:v>Unassigned</x:v>
      </x:c>
      <x:c r="H194" s="14" t="n">
        <x:f>MINIFS(Evidence!$H$2:$H$1026,Evidence!$B$2:$B$1026,A194)</x:f>
        <x:v>2021</x:v>
      </x:c>
      <x:c r="I194" s="14" t="n">
        <x:f>MAXIFS(Evidence!$H$2:$H$1026,Evidence!$B$2:$B$1026,A194)</x:f>
        <x:v>2024</x:v>
      </x:c>
      <x:c r="J194" s="12" t="n">
        <x:f>COUNTIF(Evidence!$B$2:$B$1026,A194)</x:f>
        <x:v>5</x:v>
      </x:c>
      <x:c r="K194" s="12" t="n">
        <x:v>4</x:v>
      </x:c>
      <x:c r="L194" s="12" t="n">
        <x:v>3</x:v>
      </x:c>
      <x:c r="M194" s="12" t="n">
        <x:v>2</x:v>
      </x:c>
      <x:c r="N194" s="12" t="n">
        <x:v>4</x:v>
      </x:c>
      <x:c r="O194" s="12" t="str">
        <x:v>Recurring</x:v>
      </x:c>
      <x:c r="P194" s="12" t="n">
        <x:f>ROUND(MIN(100,(J194*1.5)+(K194*8)+(L194*4)+(M194*3)+((I194-H194+1)*3)),0)</x:f>
        <x:v>70</x:v>
      </x:c>
      <x:c r="Q194" s="12" t="str">
        <x:v>No</x:v>
      </x:c>
      <x:c r="R194" s="12" t="str"/>
      <x:c r="S194" s="12" t="str"/>
      <x:c r="T194" s="12" t="str"/>
      <x:c r="U194" s="12" t="str">
        <x:v>AI-assisted draft cluster; human review required.</x:v>
      </x:c>
    </x:row>
    <x:row r="195">
      <x:c r="A195" s="12" t="str">
        <x:v>NEED-0194</x:v>
      </x:c>
      <x:c r="B195" s="12" t="str">
        <x:v>Earthdata users need suggested workshops with subject matter experts, which would be a useful way of teaching users about exploring NASA data with GIS. Such outreach should be based on a scientific use case(s), such as wildfire or tropical cyclones.</x:v>
      </x:c>
      <x:c r="C195" s="12" t="str">
        <x:v>UWG suggested workshops with subject matter experts, which would be a useful way of teaching users about exploring NASA data with GIS. Such outreach should be based on a scientific</x:v>
      </x:c>
      <x:c r="D195" s="12" t="str">
        <x:v>Training &amp; Documentation</x:v>
      </x:c>
      <x:c r="E195" s="12" t="str"/>
      <x:c r="F195" s="12" t="str">
        <x:v>Candidate</x:v>
      </x:c>
      <x:c r="G195" s="12" t="str">
        <x:v>Unassigned</x:v>
      </x:c>
      <x:c r="H195" s="14" t="n">
        <x:f>MINIFS(Evidence!$H$2:$H$1026,Evidence!$B$2:$B$1026,A195)</x:f>
        <x:v>2021</x:v>
      </x:c>
      <x:c r="I195" s="14" t="n">
        <x:f>MAXIFS(Evidence!$H$2:$H$1026,Evidence!$B$2:$B$1026,A195)</x:f>
        <x:v>2023</x:v>
      </x:c>
      <x:c r="J195" s="12" t="n">
        <x:f>COUNTIF(Evidence!$B$2:$B$1026,A195)</x:f>
        <x:v>3</x:v>
      </x:c>
      <x:c r="K195" s="12" t="n">
        <x:v>2</x:v>
      </x:c>
      <x:c r="L195" s="12" t="n">
        <x:v>3</x:v>
      </x:c>
      <x:c r="M195" s="12" t="n">
        <x:v>2</x:v>
      </x:c>
      <x:c r="N195" s="12" t="n">
        <x:v>2</x:v>
      </x:c>
      <x:c r="O195" s="12" t="str">
        <x:v>Recurring</x:v>
      </x:c>
      <x:c r="P195" s="12" t="n">
        <x:f>ROUND(MIN(100,(J195*1.5)+(K195*8)+(L195*4)+(M195*3)+((I195-H195+1)*3)),0)</x:f>
        <x:v>48</x:v>
      </x:c>
      <x:c r="Q195" s="12" t="str">
        <x:v>No</x:v>
      </x:c>
      <x:c r="R195" s="12" t="str"/>
      <x:c r="S195" s="12" t="str"/>
      <x:c r="T195" s="12" t="str"/>
      <x:c r="U195" s="12" t="str">
        <x:v>AI-assisted draft cluster; human review required.</x:v>
      </x:c>
    </x:row>
    <x:row r="196">
      <x:c r="A196" s="12" t="str">
        <x:v>NEED-0195</x:v>
      </x:c>
      <x:c r="B196" s="12" t="str">
        <x:v>Earthdata users need new datasets and capabilities were added. GHRC should work with the user community to develop instructional webinars and examples.</x:v>
      </x:c>
      <x:c r="C196" s="12" t="str">
        <x:v>Multiple new datasets and capabilities were added. GHRC should work with the user community to develop instructional webinars and examples.</x:v>
      </x:c>
      <x:c r="D196" s="12" t="str">
        <x:v>Training &amp; Documentation</x:v>
      </x:c>
      <x:c r="E196" s="12" t="str"/>
      <x:c r="F196" s="12" t="str">
        <x:v>Candidate</x:v>
      </x:c>
      <x:c r="G196" s="12" t="str">
        <x:v>Unassigned</x:v>
      </x:c>
      <x:c r="H196" s="14" t="n">
        <x:f>MINIFS(Evidence!$H$2:$H$1026,Evidence!$B$2:$B$1026,A196)</x:f>
        <x:v>2024</x:v>
      </x:c>
      <x:c r="I196" s="14" t="n">
        <x:f>MAXIFS(Evidence!$H$2:$H$1026,Evidence!$B$2:$B$1026,A196)</x:f>
        <x:v>2024</x:v>
      </x:c>
      <x:c r="J196" s="12" t="n">
        <x:f>COUNTIF(Evidence!$B$2:$B$1026,A196)</x:f>
        <x:v>2</x:v>
      </x:c>
      <x:c r="K196" s="12" t="n">
        <x:v>1</x:v>
      </x:c>
      <x:c r="L196" s="12" t="n">
        <x:v>2</x:v>
      </x:c>
      <x:c r="M196" s="12" t="n">
        <x:v>2</x:v>
      </x:c>
      <x:c r="N196" s="12" t="n">
        <x:v>3</x:v>
      </x:c>
      <x:c r="O196" s="12" t="str">
        <x:v>Single-year signal</x:v>
      </x:c>
      <x:c r="P196" s="12" t="n">
        <x:f>ROUND(MIN(100,(J196*1.5)+(K196*8)+(L196*4)+(M196*3)+((I196-H196+1)*3)),0)</x:f>
        <x:v>28</x:v>
      </x:c>
      <x:c r="Q196" s="12" t="str">
        <x:v>No</x:v>
      </x:c>
      <x:c r="R196" s="12" t="str"/>
      <x:c r="S196" s="12" t="str"/>
      <x:c r="T196" s="12" t="str"/>
      <x:c r="U196" s="12" t="str">
        <x:v>AI-assisted draft cluster; human review required.</x:v>
      </x:c>
    </x:row>
    <x:row r="197">
      <x:c r="A197" s="12" t="str">
        <x:v>NEED-0196</x:v>
      </x:c>
      <x:c r="B197" s="12" t="str">
        <x:v>Earthdata users need more SMAP Radar Data support. Make this easier to use. Work with other DAACs to unify the documentation.</x:v>
      </x:c>
      <x:c r="C197" s="12" t="str">
        <x:v>Provide more SMAP Radar Data support. Make this easier to use. Work with other DAACs to unify the documentation.</x:v>
      </x:c>
      <x:c r="D197" s="12" t="str">
        <x:v>Training &amp; Documentation</x:v>
      </x:c>
      <x:c r="E197" s="12" t="str"/>
      <x:c r="F197" s="12" t="str">
        <x:v>Candidate</x:v>
      </x:c>
      <x:c r="G197" s="12" t="str">
        <x:v>Unassigned</x:v>
      </x:c>
      <x:c r="H197" s="14" t="n">
        <x:f>MINIFS(Evidence!$H$2:$H$1026,Evidence!$B$2:$B$1026,A197)</x:f>
        <x:v>2022</x:v>
      </x:c>
      <x:c r="I197" s="14" t="n">
        <x:f>MAXIFS(Evidence!$H$2:$H$1026,Evidence!$B$2:$B$1026,A197)</x:f>
        <x:v>2024</x:v>
      </x:c>
      <x:c r="J197" s="12" t="n">
        <x:f>COUNTIF(Evidence!$B$2:$B$1026,A197)</x:f>
        <x:v>5</x:v>
      </x:c>
      <x:c r="K197" s="12" t="n">
        <x:v>3</x:v>
      </x:c>
      <x:c r="L197" s="12" t="n">
        <x:v>4</x:v>
      </x:c>
      <x:c r="M197" s="12" t="n">
        <x:v>4</x:v>
      </x:c>
      <x:c r="N197" s="12" t="n">
        <x:v>5</x:v>
      </x:c>
      <x:c r="O197" s="12" t="str">
        <x:v>Recurring</x:v>
      </x:c>
      <x:c r="P197" s="12" t="n">
        <x:f>ROUND(MIN(100,(J197*1.5)+(K197*8)+(L197*4)+(M197*3)+((I197-H197+1)*3)),0)</x:f>
        <x:v>69</x:v>
      </x:c>
      <x:c r="Q197" s="12" t="str">
        <x:v>No</x:v>
      </x:c>
      <x:c r="R197" s="12" t="str"/>
      <x:c r="S197" s="12" t="str"/>
      <x:c r="T197" s="12" t="str"/>
      <x:c r="U197" s="12" t="str">
        <x:v>AI-assisted draft cluster; human review required.</x:v>
      </x:c>
    </x:row>
    <x:row r="198">
      <x:c r="A198" s="12" t="str">
        <x:v>NEED-0197</x:v>
      </x:c>
      <x:c r="B198" s="12" t="str">
        <x:v>Earthdata users need across teams enables more efficient training and staff coverage.</x:v>
      </x:c>
      <x:c r="C198" s="12" t="str">
        <x:v>Consistency across teams enables more efficient training and staff coverage.</x:v>
      </x:c>
      <x:c r="D198" s="12" t="str">
        <x:v>Training &amp; Documentation</x:v>
      </x:c>
      <x:c r="E198" s="12" t="str"/>
      <x:c r="F198" s="12" t="str">
        <x:v>Candidate</x:v>
      </x:c>
      <x:c r="G198" s="12" t="str">
        <x:v>Unassigned</x:v>
      </x:c>
      <x:c r="H198" s="14" t="n">
        <x:f>MINIFS(Evidence!$H$2:$H$1026,Evidence!$B$2:$B$1026,A198)</x:f>
        <x:v>2022</x:v>
      </x:c>
      <x:c r="I198" s="14" t="n">
        <x:f>MAXIFS(Evidence!$H$2:$H$1026,Evidence!$B$2:$B$1026,A198)</x:f>
        <x:v>2023</x:v>
      </x:c>
      <x:c r="J198" s="12" t="n">
        <x:f>COUNTIF(Evidence!$B$2:$B$1026,A198)</x:f>
        <x:v>4</x:v>
      </x:c>
      <x:c r="K198" s="12" t="n">
        <x:v>2</x:v>
      </x:c>
      <x:c r="L198" s="12" t="n">
        <x:v>2</x:v>
      </x:c>
      <x:c r="M198" s="12" t="n">
        <x:v>1</x:v>
      </x:c>
      <x:c r="N198" s="12" t="n">
        <x:v>2</x:v>
      </x:c>
      <x:c r="O198" s="12" t="str">
        <x:v>Recurring</x:v>
      </x:c>
      <x:c r="P198" s="12" t="n">
        <x:f>ROUND(MIN(100,(J198*1.5)+(K198*8)+(L198*4)+(M198*3)+((I198-H198+1)*3)),0)</x:f>
        <x:v>39</x:v>
      </x:c>
      <x:c r="Q198" s="12" t="str">
        <x:v>No</x:v>
      </x:c>
      <x:c r="R198" s="12" t="str"/>
      <x:c r="S198" s="12" t="str"/>
      <x:c r="T198" s="12" t="str"/>
      <x:c r="U198" s="12" t="str">
        <x:v>AI-assisted draft cluster; human review required.</x:v>
      </x:c>
    </x:row>
    <x:row r="199">
      <x:c r="A199" s="12" t="str">
        <x:v>NEED-0198</x:v>
      </x:c>
      <x:c r="B199" s="12" t="str">
        <x:v>Earthdata users need should move forward with development of an Open Science Workshop for Applied Users, possibly starting with organizations in the NY metropolitan area, or with boundary organizations who work with end users. Key questions to be addressed include how OS leads to better decision making, appropriateness of available data and data gaps, and possible barriers to use.</x:v>
      </x:c>
      <x:c r="C199" s="12" t="str">
        <x:v>SEDAC should move forward with development of an Open Science Workshop for Applied Users, possibly starting with organizations in the NY metropolitan area, or with boundary organiz</x:v>
      </x:c>
      <x:c r="D199" s="12" t="str">
        <x:v>Training &amp; Documentation</x:v>
      </x:c>
      <x:c r="E199" s="12" t="str"/>
      <x:c r="F199" s="12" t="str">
        <x:v>Candidate</x:v>
      </x:c>
      <x:c r="G199" s="12" t="str">
        <x:v>Unassigned</x:v>
      </x:c>
      <x:c r="H199" s="14" t="n">
        <x:f>MINIFS(Evidence!$H$2:$H$1026,Evidence!$B$2:$B$1026,A199)</x:f>
        <x:v>2023</x:v>
      </x:c>
      <x:c r="I199" s="14" t="n">
        <x:f>MAXIFS(Evidence!$H$2:$H$1026,Evidence!$B$2:$B$1026,A199)</x:f>
        <x:v>2024</x:v>
      </x:c>
      <x:c r="J199" s="12" t="n">
        <x:f>COUNTIF(Evidence!$B$2:$B$1026,A199)</x:f>
        <x:v>7</x:v>
      </x:c>
      <x:c r="K199" s="12" t="n">
        <x:v>2</x:v>
      </x:c>
      <x:c r="L199" s="12" t="n">
        <x:v>1</x:v>
      </x:c>
      <x:c r="M199" s="12" t="n">
        <x:v>3</x:v>
      </x:c>
      <x:c r="N199" s="12" t="n">
        <x:v>2</x:v>
      </x:c>
      <x:c r="O199" s="12" t="str">
        <x:v>Recurring</x:v>
      </x:c>
      <x:c r="P199" s="12" t="n">
        <x:f>ROUND(MIN(100,(J199*1.5)+(K199*8)+(L199*4)+(M199*3)+((I199-H199+1)*3)),0)</x:f>
        <x:v>46</x:v>
      </x:c>
      <x:c r="Q199" s="12" t="str">
        <x:v>No</x:v>
      </x:c>
      <x:c r="R199" s="12" t="str"/>
      <x:c r="S199" s="12" t="str"/>
      <x:c r="T199" s="12" t="str"/>
      <x:c r="U199" s="12" t="str">
        <x:v>AI-assisted draft cluster; human review required.</x:v>
      </x:c>
    </x:row>
    <x:row r="200">
      <x:c r="A200" s="12" t="str">
        <x:v>NEED-0199</x:v>
      </x:c>
      <x:c r="B200" s="12" t="str">
        <x:v>Earthdata users need learning: Publishing/stewarding ML models, model results, and related training data.</x:v>
      </x:c>
      <x:c r="C200" s="12" t="str">
        <x:v>Machine Learning: Publishing/stewarding ML models, model results, and related training data</x:v>
      </x:c>
      <x:c r="D200" s="12" t="str">
        <x:v>Training &amp; Documentation</x:v>
      </x:c>
      <x:c r="E200" s="12" t="str"/>
      <x:c r="F200" s="12" t="str">
        <x:v>Candidate</x:v>
      </x:c>
      <x:c r="G200" s="12" t="str">
        <x:v>Unassigned</x:v>
      </x:c>
      <x:c r="H200" s="14" t="n">
        <x:f>MINIFS(Evidence!$H$2:$H$1026,Evidence!$B$2:$B$1026,A200)</x:f>
        <x:v>2022</x:v>
      </x:c>
      <x:c r="I200" s="14" t="n">
        <x:f>MAXIFS(Evidence!$H$2:$H$1026,Evidence!$B$2:$B$1026,A200)</x:f>
        <x:v>2022</x:v>
      </x:c>
      <x:c r="J200" s="12" t="n">
        <x:f>COUNTIF(Evidence!$B$2:$B$1026,A200)</x:f>
        <x:v>1</x:v>
      </x:c>
      <x:c r="K200" s="12" t="n">
        <x:v>1</x:v>
      </x:c>
      <x:c r="L200" s="12" t="n">
        <x:v>1</x:v>
      </x:c>
      <x:c r="M200" s="12" t="n">
        <x:v>1</x:v>
      </x:c>
      <x:c r="N200" s="12" t="n">
        <x:v>1</x:v>
      </x:c>
      <x:c r="O200" s="12" t="str">
        <x:v>Single-year signal</x:v>
      </x:c>
      <x:c r="P200" s="12" t="n">
        <x:f>ROUND(MIN(100,(J200*1.5)+(K200*8)+(L200*4)+(M200*3)+((I200-H200+1)*3)),0)</x:f>
        <x:v>20</x:v>
      </x:c>
      <x:c r="Q200" s="12" t="str">
        <x:v>No</x:v>
      </x:c>
      <x:c r="R200" s="12" t="str"/>
      <x:c r="S200" s="12" t="str"/>
      <x:c r="T200" s="12" t="str"/>
      <x:c r="U200" s="12" t="str">
        <x:v>AI-assisted draft cluster; human review required.</x:v>
      </x:c>
    </x:row>
    <x:row r="201">
      <x:c r="A201" s="12" t="str">
        <x:v>NEED-0200</x:v>
      </x:c>
      <x:c r="B201" s="12" t="str">
        <x:v>Earthdata users need the AMSR2 Data recipe to create NRT AMSR2 GeoTIF. Any feedback should go to Sherry Harrison (sherry.harrison@uah.edu) and Leigh Sinclair (leigh.sinclair@uah.edu).</x:v>
      </x:c>
      <x:c r="C201" s="12" t="str">
        <x:v>Test the AMSR2 Data recipe to create NRT AMSR2 GeoTIF. Any feedback should go to Sherry Harrison (sherry.harrison@uah.edu) and Leigh Sinclair (leigh.sinclair@uah.edu).</x:v>
      </x:c>
      <x:c r="D201" s="12" t="str">
        <x:v>Training &amp; Documentation</x:v>
      </x:c>
      <x:c r="E201" s="12" t="str"/>
      <x:c r="F201" s="12" t="str">
        <x:v>Candidate</x:v>
      </x:c>
      <x:c r="G201" s="12" t="str">
        <x:v>Unassigned</x:v>
      </x:c>
      <x:c r="H201" s="14" t="n">
        <x:f>MINIFS(Evidence!$H$2:$H$1026,Evidence!$B$2:$B$1026,A201)</x:f>
        <x:v>2021</x:v>
      </x:c>
      <x:c r="I201" s="14" t="n">
        <x:f>MAXIFS(Evidence!$H$2:$H$1026,Evidence!$B$2:$B$1026,A201)</x:f>
        <x:v>2021</x:v>
      </x:c>
      <x:c r="J201" s="12" t="n">
        <x:f>COUNTIF(Evidence!$B$2:$B$1026,A201)</x:f>
        <x:v>1</x:v>
      </x:c>
      <x:c r="K201" s="12" t="n">
        <x:v>1</x:v>
      </x:c>
      <x:c r="L201" s="12" t="n">
        <x:v>1</x:v>
      </x:c>
      <x:c r="M201" s="12" t="n">
        <x:v>1</x:v>
      </x:c>
      <x:c r="N201" s="12" t="n">
        <x:v>3</x:v>
      </x:c>
      <x:c r="O201" s="12" t="str">
        <x:v>Single-year signal</x:v>
      </x:c>
      <x:c r="P201" s="12" t="n">
        <x:f>ROUND(MIN(100,(J201*1.5)+(K201*8)+(L201*4)+(M201*3)+((I201-H201+1)*3)),0)</x:f>
        <x:v>20</x:v>
      </x:c>
      <x:c r="Q201" s="12" t="str">
        <x:v>No</x:v>
      </x:c>
      <x:c r="R201" s="12" t="str"/>
      <x:c r="S201" s="12" t="str"/>
      <x:c r="T201" s="12" t="str"/>
      <x:c r="U201" s="12" t="str">
        <x:v>AI-assisted draft cluster; human review required.</x:v>
      </x:c>
    </x:row>
    <x:row r="202">
      <x:c r="A202" s="12" t="str">
        <x:v>NEED-0201</x:v>
      </x:c>
      <x:c r="B202" s="12" t="str">
        <x:v>Earthdata users need sAR education and training for NISAR.</x:v>
      </x:c>
      <x:c r="C202" s="12" t="str">
        <x:v>Provide SAR education and training for NISAR.</x:v>
      </x:c>
      <x:c r="D202" s="12" t="str">
        <x:v>Training &amp; Documentation</x:v>
      </x:c>
      <x:c r="E202" s="12" t="str"/>
      <x:c r="F202" s="12" t="str">
        <x:v>Candidate</x:v>
      </x:c>
      <x:c r="G202" s="12" t="str">
        <x:v>Unassigned</x:v>
      </x:c>
      <x:c r="H202" s="14" t="n">
        <x:f>MINIFS(Evidence!$H$2:$H$1026,Evidence!$B$2:$B$1026,A202)</x:f>
        <x:v>2022</x:v>
      </x:c>
      <x:c r="I202" s="14" t="n">
        <x:f>MAXIFS(Evidence!$H$2:$H$1026,Evidence!$B$2:$B$1026,A202)</x:f>
        <x:v>2024</x:v>
      </x:c>
      <x:c r="J202" s="12" t="n">
        <x:f>COUNTIF(Evidence!$B$2:$B$1026,A202)</x:f>
        <x:v>6</x:v>
      </x:c>
      <x:c r="K202" s="12" t="n">
        <x:v>3</x:v>
      </x:c>
      <x:c r="L202" s="12" t="n">
        <x:v>1</x:v>
      </x:c>
      <x:c r="M202" s="12" t="n">
        <x:v>3</x:v>
      </x:c>
      <x:c r="N202" s="12" t="n">
        <x:v>2</x:v>
      </x:c>
      <x:c r="O202" s="12" t="str">
        <x:v>Recurring</x:v>
      </x:c>
      <x:c r="P202" s="12" t="n">
        <x:f>ROUND(MIN(100,(J202*1.5)+(K202*8)+(L202*4)+(M202*3)+((I202-H202+1)*3)),0)</x:f>
        <x:v>55</x:v>
      </x:c>
      <x:c r="Q202" s="12" t="str">
        <x:v>No</x:v>
      </x:c>
      <x:c r="R202" s="12" t="str"/>
      <x:c r="S202" s="12" t="str"/>
      <x:c r="T202" s="12" t="str"/>
      <x:c r="U202" s="12" t="str">
        <x:v>AI-assisted draft cluster; human review required.</x:v>
      </x:c>
    </x:row>
    <x:row r="203">
      <x:c r="A203" s="12" t="str">
        <x:v>NEED-0202</x:v>
      </x:c>
      <x:c r="B203" s="12" t="str">
        <x:v>Earthdata users need requested for 1) running L2gen from command line 2) toggle flags from command line 3) customization of satellite data processing using OCSSW; OB.DAAC requested specific examples from UWG to help craft these tutorials.</x:v>
      </x:c>
      <x:c r="C203" s="12" t="str">
        <x:v>Tutorial requested for 1) running L2gen from command line 2) toggle flags from command line 3) customization of satellite data processing using OCSSW; OB.DAAC requested specific ex</x:v>
      </x:c>
      <x:c r="D203" s="12" t="str">
        <x:v>Training &amp; Documentation</x:v>
      </x:c>
      <x:c r="E203" s="12" t="str"/>
      <x:c r="F203" s="12" t="str">
        <x:v>Candidate</x:v>
      </x:c>
      <x:c r="G203" s="12" t="str">
        <x:v>Unassigned</x:v>
      </x:c>
      <x:c r="H203" s="14" t="n">
        <x:f>MINIFS(Evidence!$H$2:$H$1026,Evidence!$B$2:$B$1026,A203)</x:f>
        <x:v>2024</x:v>
      </x:c>
      <x:c r="I203" s="14" t="n">
        <x:f>MAXIFS(Evidence!$H$2:$H$1026,Evidence!$B$2:$B$1026,A203)</x:f>
        <x:v>2024</x:v>
      </x:c>
      <x:c r="J203" s="12" t="n">
        <x:f>COUNTIF(Evidence!$B$2:$B$1026,A203)</x:f>
        <x:v>1</x:v>
      </x:c>
      <x:c r="K203" s="12" t="n">
        <x:v>1</x:v>
      </x:c>
      <x:c r="L203" s="12" t="n">
        <x:v>1</x:v>
      </x:c>
      <x:c r="M203" s="12" t="n">
        <x:v>1</x:v>
      </x:c>
      <x:c r="N203" s="12" t="n">
        <x:v>1</x:v>
      </x:c>
      <x:c r="O203" s="12" t="str">
        <x:v>Single-year signal</x:v>
      </x:c>
      <x:c r="P203" s="12" t="n">
        <x:f>ROUND(MIN(100,(J203*1.5)+(K203*8)+(L203*4)+(M203*3)+((I203-H203+1)*3)),0)</x:f>
        <x:v>20</x:v>
      </x:c>
      <x:c r="Q203" s="12" t="str">
        <x:v>No</x:v>
      </x:c>
      <x:c r="R203" s="12" t="str"/>
      <x:c r="S203" s="12" t="str"/>
      <x:c r="T203" s="12" t="str"/>
      <x:c r="U203" s="12" t="str">
        <x:v>AI-assisted draft cluster; human review required.</x:v>
      </x:c>
    </x:row>
    <x:row r="204">
      <x:c r="A204" s="12" t="str">
        <x:v>NEED-0203</x:v>
      </x:c>
      <x:c r="B204" s="12" t="str">
        <x:v>Earthdata users need will develop a tutorial that lets users know Windows requires subsystem for Linux (WSL 2) to run Docker (https://docs.docker.com/desktop/wsl/).</x:v>
      </x:c>
      <x:c r="C204" s="12" t="str">
        <x:v>SeaDAS will develop a tutorial that lets users know Windows requires subsystem for Linux (WSL 2) to run Docker (https://docs.docker.com/desktop/wsl/).</x:v>
      </x:c>
      <x:c r="D204" s="12" t="str">
        <x:v>Training &amp; Documentation</x:v>
      </x:c>
      <x:c r="E204" s="12" t="str"/>
      <x:c r="F204" s="12" t="str">
        <x:v>Candidate</x:v>
      </x:c>
      <x:c r="G204" s="12" t="str">
        <x:v>Unassigned</x:v>
      </x:c>
      <x:c r="H204" s="14" t="n">
        <x:f>MINIFS(Evidence!$H$2:$H$1026,Evidence!$B$2:$B$1026,A204)</x:f>
        <x:v>2024</x:v>
      </x:c>
      <x:c r="I204" s="14" t="n">
        <x:f>MAXIFS(Evidence!$H$2:$H$1026,Evidence!$B$2:$B$1026,A204)</x:f>
        <x:v>2024</x:v>
      </x:c>
      <x:c r="J204" s="12" t="n">
        <x:f>COUNTIF(Evidence!$B$2:$B$1026,A204)</x:f>
        <x:v>1</x:v>
      </x:c>
      <x:c r="K204" s="12" t="n">
        <x:v>1</x:v>
      </x:c>
      <x:c r="L204" s="12" t="n">
        <x:v>1</x:v>
      </x:c>
      <x:c r="M204" s="12" t="n">
        <x:v>1</x:v>
      </x:c>
      <x:c r="N204" s="12" t="n">
        <x:v>1</x:v>
      </x:c>
      <x:c r="O204" s="12" t="str">
        <x:v>Single-year signal</x:v>
      </x:c>
      <x:c r="P204" s="12" t="n">
        <x:f>ROUND(MIN(100,(J204*1.5)+(K204*8)+(L204*4)+(M204*3)+((I204-H204+1)*3)),0)</x:f>
        <x:v>20</x:v>
      </x:c>
      <x:c r="Q204" s="12" t="str">
        <x:v>No</x:v>
      </x:c>
      <x:c r="R204" s="12" t="str"/>
      <x:c r="S204" s="12" t="str"/>
      <x:c r="T204" s="12" t="str"/>
      <x:c r="U204" s="12" t="str">
        <x:v>AI-assisted draft cluster; human review required.</x:v>
      </x:c>
    </x:row>
    <x:row r="205">
      <x:c r="A205" s="12" t="str">
        <x:v>NEED-0204</x:v>
      </x:c>
      <x:c r="B205" s="12" t="str">
        <x:v>Earthdata users need case studies in a tutorial/"new to ocean color" section.</x:v>
      </x:c>
      <x:c r="C205" s="12" t="str">
        <x:v>Add case studies in a tutorial/"new to ocean color" section.</x:v>
      </x:c>
      <x:c r="D205" s="12" t="str">
        <x:v>Training &amp; Documentation</x:v>
      </x:c>
      <x:c r="E205" s="12" t="str"/>
      <x:c r="F205" s="12" t="str">
        <x:v>Candidate</x:v>
      </x:c>
      <x:c r="G205" s="12" t="str">
        <x:v>Unassigned</x:v>
      </x:c>
      <x:c r="H205" s="14" t="n">
        <x:f>MINIFS(Evidence!$H$2:$H$1026,Evidence!$B$2:$B$1026,A205)</x:f>
        <x:v>2022</x:v>
      </x:c>
      <x:c r="I205" s="14" t="n">
        <x:f>MAXIFS(Evidence!$H$2:$H$1026,Evidence!$B$2:$B$1026,A205)</x:f>
        <x:v>2023</x:v>
      </x:c>
      <x:c r="J205" s="12" t="n">
        <x:f>COUNTIF(Evidence!$B$2:$B$1026,A205)</x:f>
        <x:v>3</x:v>
      </x:c>
      <x:c r="K205" s="12" t="n">
        <x:v>2</x:v>
      </x:c>
      <x:c r="L205" s="12" t="n">
        <x:v>2</x:v>
      </x:c>
      <x:c r="M205" s="12" t="n">
        <x:v>2</x:v>
      </x:c>
      <x:c r="N205" s="12" t="n">
        <x:v>1</x:v>
      </x:c>
      <x:c r="O205" s="12" t="str">
        <x:v>Recurring</x:v>
      </x:c>
      <x:c r="P205" s="12" t="n">
        <x:f>ROUND(MIN(100,(J205*1.5)+(K205*8)+(L205*4)+(M205*3)+((I205-H205+1)*3)),0)</x:f>
        <x:v>41</x:v>
      </x:c>
      <x:c r="Q205" s="12" t="str">
        <x:v>No</x:v>
      </x:c>
      <x:c r="R205" s="12" t="str"/>
      <x:c r="S205" s="12" t="str"/>
      <x:c r="T205" s="12" t="str"/>
      <x:c r="U205" s="12" t="str">
        <x:v>AI-assisted draft cluster; human review required.</x:v>
      </x:c>
    </x:row>
    <x:row r="206">
      <x:c r="A206" s="12" t="str">
        <x:v>NEED-0205</x:v>
      </x:c>
      <x:c r="B206" s="12" t="str">
        <x:v>Earthdata users need the LSTM, SBG, and TRISHNA (LST) 2023 Harmonization Workshop.</x:v>
      </x:c>
      <x:c r="C206" s="12" t="str">
        <x:v>Attend the LSTM, SBG, and TRISHNA (LST) 2023 Harmonization Workshop.</x:v>
      </x:c>
      <x:c r="D206" s="12" t="str">
        <x:v>Training &amp; Documentation</x:v>
      </x:c>
      <x:c r="E206" s="12" t="str"/>
      <x:c r="F206" s="12" t="str">
        <x:v>Candidate</x:v>
      </x:c>
      <x:c r="G206" s="12" t="str">
        <x:v>Unassigned</x:v>
      </x:c>
      <x:c r="H206" s="14" t="n">
        <x:f>MINIFS(Evidence!$H$2:$H$1026,Evidence!$B$2:$B$1026,A206)</x:f>
        <x:v>2023</x:v>
      </x:c>
      <x:c r="I206" s="14" t="n">
        <x:f>MAXIFS(Evidence!$H$2:$H$1026,Evidence!$B$2:$B$1026,A206)</x:f>
        <x:v>2023</x:v>
      </x:c>
      <x:c r="J206" s="12" t="n">
        <x:f>COUNTIF(Evidence!$B$2:$B$1026,A206)</x:f>
        <x:v>1</x:v>
      </x:c>
      <x:c r="K206" s="12" t="n">
        <x:v>1</x:v>
      </x:c>
      <x:c r="L206" s="12" t="n">
        <x:v>1</x:v>
      </x:c>
      <x:c r="M206" s="12" t="n">
        <x:v>1</x:v>
      </x:c>
      <x:c r="N206" s="12" t="n">
        <x:v>1</x:v>
      </x:c>
      <x:c r="O206" s="12" t="str">
        <x:v>Single-year signal</x:v>
      </x:c>
      <x:c r="P206" s="12" t="n">
        <x:f>ROUND(MIN(100,(J206*1.5)+(K206*8)+(L206*4)+(M206*3)+((I206-H206+1)*3)),0)</x:f>
        <x:v>20</x:v>
      </x:c>
      <x:c r="Q206" s="12" t="str">
        <x:v>No</x:v>
      </x:c>
      <x:c r="R206" s="12" t="str"/>
      <x:c r="S206" s="12" t="str"/>
      <x:c r="T206" s="12" t="str"/>
      <x:c r="U206" s="12" t="str">
        <x:v>AI-assisted draft cluster; human review required.</x:v>
      </x:c>
    </x:row>
    <x:row r="207">
      <x:c r="A207" s="12" t="str">
        <x:v>NEED-0206</x:v>
      </x:c>
      <x:c r="B207" s="12" t="str">
        <x:v>Earthdata users need updates on the self-teach and hands-on data tutorials developed and conducted during FY21.</x:v>
      </x:c>
      <x:c r="C207" s="12" t="str">
        <x:v>Provided updates on the self-teach and hands-on data tutorials developed and conducted during FY21.</x:v>
      </x:c>
      <x:c r="D207" s="12" t="str">
        <x:v>Training &amp; Documentation</x:v>
      </x:c>
      <x:c r="E207" s="12" t="str"/>
      <x:c r="F207" s="12" t="str">
        <x:v>Candidate</x:v>
      </x:c>
      <x:c r="G207" s="12" t="str">
        <x:v>Unassigned</x:v>
      </x:c>
      <x:c r="H207" s="14" t="n">
        <x:f>MINIFS(Evidence!$H$2:$H$1026,Evidence!$B$2:$B$1026,A207)</x:f>
        <x:v>2021</x:v>
      </x:c>
      <x:c r="I207" s="14" t="n">
        <x:f>MAXIFS(Evidence!$H$2:$H$1026,Evidence!$B$2:$B$1026,A207)</x:f>
        <x:v>2021</x:v>
      </x:c>
      <x:c r="J207" s="12" t="n">
        <x:f>COUNTIF(Evidence!$B$2:$B$1026,A207)</x:f>
        <x:v>1</x:v>
      </x:c>
      <x:c r="K207" s="12" t="n">
        <x:v>1</x:v>
      </x:c>
      <x:c r="L207" s="12" t="n">
        <x:v>1</x:v>
      </x:c>
      <x:c r="M207" s="12" t="n">
        <x:v>1</x:v>
      </x:c>
      <x:c r="N207" s="12" t="n">
        <x:v>1</x:v>
      </x:c>
      <x:c r="O207" s="12" t="str">
        <x:v>Single-year signal</x:v>
      </x:c>
      <x:c r="P207" s="12" t="n">
        <x:f>ROUND(MIN(100,(J207*1.5)+(K207*8)+(L207*4)+(M207*3)+((I207-H207+1)*3)),0)</x:f>
        <x:v>20</x:v>
      </x:c>
      <x:c r="Q207" s="12" t="str">
        <x:v>No</x:v>
      </x:c>
      <x:c r="R207" s="12" t="str"/>
      <x:c r="S207" s="12" t="str"/>
      <x:c r="T207" s="12" t="str"/>
      <x:c r="U207" s="12" t="str">
        <x:v>AI-assisted draft cluster; human review required.</x:v>
      </x:c>
    </x:row>
    <x:row r="208">
      <x:c r="A208" s="12" t="str">
        <x:v>NEED-0207</x:v>
      </x:c>
      <x:c r="B208" s="12" t="str">
        <x:v>Earthdata users need [UWG23-S03] Continue and enhance efforts to better understand the ORNL DAAC’s broadening user communities and deliver efforts to improve the support for different types of users. (8 votes).</x:v>
      </x:c>
      <x:c r="C208" s="12" t="str">
        <x:v>[UWG23-S03] Continue and enhance efforts to better understand the ORNL DAAC’s broadening user communities and deliver efforts to improve the support for different types of users. (</x:v>
      </x:c>
      <x:c r="D208" s="12" t="str">
        <x:v>User Support &amp; Feedback</x:v>
      </x:c>
      <x:c r="E208" s="12" t="str"/>
      <x:c r="F208" s="12" t="str">
        <x:v>Candidate</x:v>
      </x:c>
      <x:c r="G208" s="12" t="str">
        <x:v>Unassigned</x:v>
      </x:c>
      <x:c r="H208" s="14" t="n">
        <x:f>MINIFS(Evidence!$H$2:$H$1026,Evidence!$B$2:$B$1026,A208)</x:f>
        <x:v>2023</x:v>
      </x:c>
      <x:c r="I208" s="14" t="n">
        <x:f>MAXIFS(Evidence!$H$2:$H$1026,Evidence!$B$2:$B$1026,A208)</x:f>
        <x:v>2024</x:v>
      </x:c>
      <x:c r="J208" s="12" t="n">
        <x:f>COUNTIF(Evidence!$B$2:$B$1026,A208)</x:f>
        <x:v>8</x:v>
      </x:c>
      <x:c r="K208" s="12" t="n">
        <x:v>2</x:v>
      </x:c>
      <x:c r="L208" s="12" t="n">
        <x:v>3</x:v>
      </x:c>
      <x:c r="M208" s="12" t="n">
        <x:v>3</x:v>
      </x:c>
      <x:c r="N208" s="12" t="n">
        <x:v>2</x:v>
      </x:c>
      <x:c r="O208" s="12" t="str">
        <x:v>Recurring</x:v>
      </x:c>
      <x:c r="P208" s="12" t="n">
        <x:f>ROUND(MIN(100,(J208*1.5)+(K208*8)+(L208*4)+(M208*3)+((I208-H208+1)*3)),0)</x:f>
        <x:v>55</x:v>
      </x:c>
      <x:c r="Q208" s="12" t="str">
        <x:v>No</x:v>
      </x:c>
      <x:c r="R208" s="12" t="str"/>
      <x:c r="S208" s="12" t="str"/>
      <x:c r="T208" s="12" t="str"/>
      <x:c r="U208" s="12" t="str">
        <x:v>AI-assisted draft cluster; human review required.</x:v>
      </x:c>
    </x:row>
    <x:row r="209">
      <x:c r="A209" s="12" t="str">
        <x:v>NEED-0208</x:v>
      </x:c>
      <x:c r="B209" s="12" t="str">
        <x:v>Earthdata users need need to maintain their connections between the data providers and user communities that they support.</x:v>
      </x:c>
      <x:c r="C209" s="12" t="str">
        <x:v>DAACs need to maintain their connections between the data providers and user communities that they support.</x:v>
      </x:c>
      <x:c r="D209" s="12" t="str">
        <x:v>User Support &amp; Feedback</x:v>
      </x:c>
      <x:c r="E209" s="12" t="str"/>
      <x:c r="F209" s="12" t="str">
        <x:v>Candidate</x:v>
      </x:c>
      <x:c r="G209" s="12" t="str">
        <x:v>Unassigned</x:v>
      </x:c>
      <x:c r="H209" s="14" t="n">
        <x:f>MINIFS(Evidence!$H$2:$H$1026,Evidence!$B$2:$B$1026,A209)</x:f>
        <x:v>2022</x:v>
      </x:c>
      <x:c r="I209" s="14" t="n">
        <x:f>MAXIFS(Evidence!$H$2:$H$1026,Evidence!$B$2:$B$1026,A209)</x:f>
        <x:v>2024</x:v>
      </x:c>
      <x:c r="J209" s="12" t="n">
        <x:f>COUNTIF(Evidence!$B$2:$B$1026,A209)</x:f>
        <x:v>4</x:v>
      </x:c>
      <x:c r="K209" s="12" t="n">
        <x:v>3</x:v>
      </x:c>
      <x:c r="L209" s="12" t="n">
        <x:v>3</x:v>
      </x:c>
      <x:c r="M209" s="12" t="n">
        <x:v>1</x:v>
      </x:c>
      <x:c r="N209" s="12" t="n">
        <x:v>1</x:v>
      </x:c>
      <x:c r="O209" s="12" t="str">
        <x:v>Recurring</x:v>
      </x:c>
      <x:c r="P209" s="12" t="n">
        <x:f>ROUND(MIN(100,(J209*1.5)+(K209*8)+(L209*4)+(M209*3)+((I209-H209+1)*3)),0)</x:f>
        <x:v>54</x:v>
      </x:c>
      <x:c r="Q209" s="12" t="str">
        <x:v>No</x:v>
      </x:c>
      <x:c r="R209" s="12" t="str"/>
      <x:c r="S209" s="12" t="str"/>
      <x:c r="T209" s="12" t="str"/>
      <x:c r="U209" s="12" t="str">
        <x:v>AI-assisted draft cluster; human review required.</x:v>
      </x:c>
    </x:row>
    <x:row r="210">
      <x:c r="A210" s="12" t="str">
        <x:v>NEED-0209</x:v>
      </x:c>
      <x:c r="B210" s="12" t="str">
        <x:v>Earthdata users need should consider formalizing partnerships and developing trusted relationships with commercial and non-profit organizations that re-distribute SEDAC data to obtain ongoing feedback about the use of its data offerings, the users, and their data needs.</x:v>
      </x:c>
      <x:c r="C210" s="12" t="str">
        <x:v>SEDAC should consider formalizing partnerships and developing trusted relationships with commercial and non-profit organizations that re-distribute SEDAC data to obtain ongoing fee</x:v>
      </x:c>
      <x:c r="D210" s="12" t="str">
        <x:v>User Support &amp; Feedback</x:v>
      </x:c>
      <x:c r="E210" s="12" t="str"/>
      <x:c r="F210" s="12" t="str">
        <x:v>Candidate</x:v>
      </x:c>
      <x:c r="G210" s="12" t="str">
        <x:v>Unassigned</x:v>
      </x:c>
      <x:c r="H210" s="14" t="n">
        <x:f>MINIFS(Evidence!$H$2:$H$1026,Evidence!$B$2:$B$1026,A210)</x:f>
        <x:v>2023</x:v>
      </x:c>
      <x:c r="I210" s="14" t="n">
        <x:f>MAXIFS(Evidence!$H$2:$H$1026,Evidence!$B$2:$B$1026,A210)</x:f>
        <x:v>2024</x:v>
      </x:c>
      <x:c r="J210" s="12" t="n">
        <x:f>COUNTIF(Evidence!$B$2:$B$1026,A210)</x:f>
        <x:v>4</x:v>
      </x:c>
      <x:c r="K210" s="12" t="n">
        <x:v>2</x:v>
      </x:c>
      <x:c r="L210" s="12" t="n">
        <x:v>1</x:v>
      </x:c>
      <x:c r="M210" s="12" t="n">
        <x:v>4</x:v>
      </x:c>
      <x:c r="N210" s="12" t="n">
        <x:v>3</x:v>
      </x:c>
      <x:c r="O210" s="12" t="str">
        <x:v>Recurring</x:v>
      </x:c>
      <x:c r="P210" s="12" t="n">
        <x:f>ROUND(MIN(100,(J210*1.5)+(K210*8)+(L210*4)+(M210*3)+((I210-H210+1)*3)),0)</x:f>
        <x:v>44</x:v>
      </x:c>
      <x:c r="Q210" s="12" t="str">
        <x:v>No</x:v>
      </x:c>
      <x:c r="R210" s="12" t="str"/>
      <x:c r="S210" s="12" t="str"/>
      <x:c r="T210" s="12" t="str"/>
      <x:c r="U210" s="12" t="str">
        <x:v>AI-assisted draft cluster; human review required.</x:v>
      </x:c>
    </x:row>
    <x:row r="211">
      <x:c r="A211" s="12" t="str">
        <x:v>NEED-0210</x:v>
      </x:c>
      <x:c r="B211" s="12" t="str">
        <x:v>Earthdata users need with the NISAR Science Team to determine what OSL should do to support NISAR, how to collaborate with NISAR On Demand system.</x:v>
      </x:c>
      <x:c r="C211" s="12" t="str">
        <x:v>Work with the NISAR Science Team to determine what OSL should do to support NISAR, how to collaborate with NISAR On Demand system.</x:v>
      </x:c>
      <x:c r="D211" s="12" t="str">
        <x:v>User Support &amp; Feedback</x:v>
      </x:c>
      <x:c r="E211" s="12" t="str"/>
      <x:c r="F211" s="12" t="str">
        <x:v>Candidate</x:v>
      </x:c>
      <x:c r="G211" s="12" t="str">
        <x:v>Unassigned</x:v>
      </x:c>
      <x:c r="H211" s="14" t="n">
        <x:f>MINIFS(Evidence!$H$2:$H$1026,Evidence!$B$2:$B$1026,A211)</x:f>
        <x:v>2023</x:v>
      </x:c>
      <x:c r="I211" s="14" t="n">
        <x:f>MAXIFS(Evidence!$H$2:$H$1026,Evidence!$B$2:$B$1026,A211)</x:f>
        <x:v>2024</x:v>
      </x:c>
      <x:c r="J211" s="12" t="n">
        <x:f>COUNTIF(Evidence!$B$2:$B$1026,A211)</x:f>
        <x:v>5</x:v>
      </x:c>
      <x:c r="K211" s="12" t="n">
        <x:v>2</x:v>
      </x:c>
      <x:c r="L211" s="12" t="n">
        <x:v>2</x:v>
      </x:c>
      <x:c r="M211" s="12" t="n">
        <x:v>1</x:v>
      </x:c>
      <x:c r="N211" s="12" t="n">
        <x:v>1</x:v>
      </x:c>
      <x:c r="O211" s="12" t="str">
        <x:v>Recurring</x:v>
      </x:c>
      <x:c r="P211" s="12" t="n">
        <x:f>ROUND(MIN(100,(J211*1.5)+(K211*8)+(L211*4)+(M211*3)+((I211-H211+1)*3)),0)</x:f>
        <x:v>41</x:v>
      </x:c>
      <x:c r="Q211" s="12" t="str">
        <x:v>No</x:v>
      </x:c>
      <x:c r="R211" s="12" t="str"/>
      <x:c r="S211" s="12" t="str"/>
      <x:c r="T211" s="12" t="str"/>
      <x:c r="U211" s="12" t="str">
        <x:v>AI-assisted draft cluster; human review required.</x:v>
      </x:c>
    </x:row>
    <x:row r="212">
      <x:c r="A212" s="12" t="str">
        <x:v>NEED-0211</x:v>
      </x:c>
      <x:c r="B212" s="12" t="str">
        <x:v>Earthdata users need quarterly meetings were seen as useful to provide timely feedback to ASF and NASA on relevant topics.</x:v>
      </x:c>
      <x:c r="C212" s="12" t="str">
        <x:v>The quarterly meetings were seen as useful to provide timely feedback to ASF and NASA on relevant topics.</x:v>
      </x:c>
      <x:c r="D212" s="12" t="str">
        <x:v>User Support &amp; Feedback</x:v>
      </x:c>
      <x:c r="E212" s="12" t="str"/>
      <x:c r="F212" s="12" t="str">
        <x:v>Candidate</x:v>
      </x:c>
      <x:c r="G212" s="12" t="str">
        <x:v>Unassigned</x:v>
      </x:c>
      <x:c r="H212" s="14" t="n">
        <x:f>MINIFS(Evidence!$H$2:$H$1026,Evidence!$B$2:$B$1026,A212)</x:f>
        <x:v>2021</x:v>
      </x:c>
      <x:c r="I212" s="14" t="n">
        <x:f>MAXIFS(Evidence!$H$2:$H$1026,Evidence!$B$2:$B$1026,A212)</x:f>
        <x:v>2023</x:v>
      </x:c>
      <x:c r="J212" s="12" t="n">
        <x:f>COUNTIF(Evidence!$B$2:$B$1026,A212)</x:f>
        <x:v>5</x:v>
      </x:c>
      <x:c r="K212" s="12" t="n">
        <x:v>2</x:v>
      </x:c>
      <x:c r="L212" s="12" t="n">
        <x:v>3</x:v>
      </x:c>
      <x:c r="M212" s="12" t="n">
        <x:v>1</x:v>
      </x:c>
      <x:c r="N212" s="12" t="n">
        <x:v>1</x:v>
      </x:c>
      <x:c r="O212" s="12" t="str">
        <x:v>Recurring</x:v>
      </x:c>
      <x:c r="P212" s="12" t="n">
        <x:f>ROUND(MIN(100,(J212*1.5)+(K212*8)+(L212*4)+(M212*3)+((I212-H212+1)*3)),0)</x:f>
        <x:v>48</x:v>
      </x:c>
      <x:c r="Q212" s="12" t="str">
        <x:v>No</x:v>
      </x:c>
      <x:c r="R212" s="12" t="str"/>
      <x:c r="S212" s="12" t="str"/>
      <x:c r="T212" s="12" t="str"/>
      <x:c r="U212" s="12" t="str">
        <x:v>AI-assisted draft cluster; human review required.</x:v>
      </x:c>
    </x:row>
    <x:row r="213">
      <x:c r="A213" s="12" t="str">
        <x:v>NEED-0212</x:v>
      </x:c>
      <x:c r="B213" s="12" t="str">
        <x:v>Earthdata users need strengths-Weaknesses-Opportunities-Threats (SWOT) exercise split into LP DAAC – ORNL DAAC – ESDIS was useful for eliciting feedback from all meeting participants.</x:v>
      </x:c>
      <x:c r="C213" s="12" t="str">
        <x:v>The Strengths-Weaknesses-Opportunities-Threats (SWOT) exercise split into LP DAAC – ORNL DAAC – ESDIS was useful for eliciting feedback from all meeting participants.</x:v>
      </x:c>
      <x:c r="D213" s="12" t="str">
        <x:v>User Support &amp; Feedback</x:v>
      </x:c>
      <x:c r="E213" s="12" t="str"/>
      <x:c r="F213" s="12" t="str">
        <x:v>Candidate</x:v>
      </x:c>
      <x:c r="G213" s="12" t="str">
        <x:v>Unassigned</x:v>
      </x:c>
      <x:c r="H213" s="14" t="n">
        <x:f>MINIFS(Evidence!$H$2:$H$1026,Evidence!$B$2:$B$1026,A213)</x:f>
        <x:v>2023</x:v>
      </x:c>
      <x:c r="I213" s="14" t="n">
        <x:f>MAXIFS(Evidence!$H$2:$H$1026,Evidence!$B$2:$B$1026,A213)</x:f>
        <x:v>2023</x:v>
      </x:c>
      <x:c r="J213" s="12" t="n">
        <x:f>COUNTIF(Evidence!$B$2:$B$1026,A213)</x:f>
        <x:v>2</x:v>
      </x:c>
      <x:c r="K213" s="12" t="n">
        <x:v>1</x:v>
      </x:c>
      <x:c r="L213" s="12" t="n">
        <x:v>1</x:v>
      </x:c>
      <x:c r="M213" s="12" t="n">
        <x:v>1</x:v>
      </x:c>
      <x:c r="N213" s="12" t="n">
        <x:v>1</x:v>
      </x:c>
      <x:c r="O213" s="12" t="str">
        <x:v>Single-year signal</x:v>
      </x:c>
      <x:c r="P213" s="12" t="n">
        <x:f>ROUND(MIN(100,(J213*1.5)+(K213*8)+(L213*4)+(M213*3)+((I213-H213+1)*3)),0)</x:f>
        <x:v>21</x:v>
      </x:c>
      <x:c r="Q213" s="12" t="str">
        <x:v>No</x:v>
      </x:c>
      <x:c r="R213" s="12" t="str"/>
      <x:c r="S213" s="12" t="str"/>
      <x:c r="T213" s="12" t="str"/>
      <x:c r="U213" s="12" t="str">
        <x:v>AI-assisted draft cluster; human review required.</x:v>
      </x:c>
    </x:row>
    <x:row r="214">
      <x:c r="A214" s="12" t="str">
        <x:v>NEED-0213</x:v>
      </x:c>
      <x:c r="B214" s="12" t="str">
        <x:v>Earthdata users need goal of this theme was to provide the UWG with an overview and status of data stewardship and publication efforts at NSIDC DAAC and receive feedback on targeted efforts to improve publication processes for data producers and DAAC data management teams.</x:v>
      </x:c>
      <x:c r="C214" s="12" t="str">
        <x:v>The goal of this theme was to provide the UWG with an overview and status of data stewardship and publication efforts at NSIDC DAAC and receive feedback on targeted efforts to impr</x:v>
      </x:c>
      <x:c r="D214" s="12" t="str">
        <x:v>User Support &amp; Feedback</x:v>
      </x:c>
      <x:c r="E214" s="12" t="str"/>
      <x:c r="F214" s="12" t="str">
        <x:v>Candidate</x:v>
      </x:c>
      <x:c r="G214" s="12" t="str">
        <x:v>Unassigned</x:v>
      </x:c>
      <x:c r="H214" s="14" t="n">
        <x:f>MINIFS(Evidence!$H$2:$H$1026,Evidence!$B$2:$B$1026,A214)</x:f>
        <x:v>2021</x:v>
      </x:c>
      <x:c r="I214" s="14" t="n">
        <x:f>MAXIFS(Evidence!$H$2:$H$1026,Evidence!$B$2:$B$1026,A214)</x:f>
        <x:v>2023</x:v>
      </x:c>
      <x:c r="J214" s="12" t="n">
        <x:f>COUNTIF(Evidence!$B$2:$B$1026,A214)</x:f>
        <x:v>7</x:v>
      </x:c>
      <x:c r="K214" s="12" t="n">
        <x:v>3</x:v>
      </x:c>
      <x:c r="L214" s="12" t="n">
        <x:v>3</x:v>
      </x:c>
      <x:c r="M214" s="12" t="n">
        <x:v>2</x:v>
      </x:c>
      <x:c r="N214" s="12" t="n">
        <x:v>1</x:v>
      </x:c>
      <x:c r="O214" s="12" t="str">
        <x:v>Recurring</x:v>
      </x:c>
      <x:c r="P214" s="12" t="n">
        <x:f>ROUND(MIN(100,(J214*1.5)+(K214*8)+(L214*4)+(M214*3)+((I214-H214+1)*3)),0)</x:f>
        <x:v>62</x:v>
      </x:c>
      <x:c r="Q214" s="12" t="str">
        <x:v>No</x:v>
      </x:c>
      <x:c r="R214" s="12" t="str"/>
      <x:c r="S214" s="12" t="str"/>
      <x:c r="T214" s="12" t="str"/>
      <x:c r="U214" s="12" t="str">
        <x:v>AI-assisted draft cluster; human review required.</x:v>
      </x:c>
    </x:row>
    <x:row r="215">
      <x:c r="A215" s="12" t="str">
        <x:v>NEED-0214</x:v>
      </x:c>
      <x:c r="B215" s="12" t="str">
        <x:v>Earthdata users need will ongoing ISCE-3 support be managed? Commit to dedicated ISCE3 long- term development.</x:v>
      </x:c>
      <x:c r="C215" s="12" t="str">
        <x:v>How will ongoing ISCE-3 support be managed? Commit to dedicated ISCE3 long- term development.</x:v>
      </x:c>
      <x:c r="D215" s="12" t="str">
        <x:v>User Support &amp; Feedback</x:v>
      </x:c>
      <x:c r="E215" s="12" t="str"/>
      <x:c r="F215" s="12" t="str">
        <x:v>Candidate</x:v>
      </x:c>
      <x:c r="G215" s="12" t="str">
        <x:v>Unassigned</x:v>
      </x:c>
      <x:c r="H215" s="14" t="n">
        <x:f>MINIFS(Evidence!$H$2:$H$1026,Evidence!$B$2:$B$1026,A215)</x:f>
        <x:v>2024</x:v>
      </x:c>
      <x:c r="I215" s="14" t="n">
        <x:f>MAXIFS(Evidence!$H$2:$H$1026,Evidence!$B$2:$B$1026,A215)</x:f>
        <x:v>2024</x:v>
      </x:c>
      <x:c r="J215" s="12" t="n">
        <x:f>COUNTIF(Evidence!$B$2:$B$1026,A215)</x:f>
        <x:v>1</x:v>
      </x:c>
      <x:c r="K215" s="12" t="n">
        <x:v>1</x:v>
      </x:c>
      <x:c r="L215" s="12" t="n">
        <x:v>1</x:v>
      </x:c>
      <x:c r="M215" s="12" t="n">
        <x:v>1</x:v>
      </x:c>
      <x:c r="N215" s="12" t="n">
        <x:v>1</x:v>
      </x:c>
      <x:c r="O215" s="12" t="str">
        <x:v>Single-year signal</x:v>
      </x:c>
      <x:c r="P215" s="12" t="n">
        <x:f>ROUND(MIN(100,(J215*1.5)+(K215*8)+(L215*4)+(M215*3)+((I215-H215+1)*3)),0)</x:f>
        <x:v>20</x:v>
      </x:c>
      <x:c r="Q215" s="12" t="str">
        <x:v>No</x:v>
      </x:c>
      <x:c r="R215" s="12" t="str"/>
      <x:c r="S215" s="12" t="str"/>
      <x:c r="T215" s="12" t="str"/>
      <x:c r="U215" s="12" t="str">
        <x:v>AI-assisted draft cluster; human review required.</x:v>
      </x:c>
    </x:row>
    <x:row r="216">
      <x:c r="A216" s="12" t="str">
        <x:v>NEED-0215</x:v>
      </x:c>
      <x:c r="B216" s="12" t="str">
        <x:v>Earthdata users need dAAC will provide UWG testing results to the Earthdata Pub project where the feedback will be reviewed and addressed.</x:v>
      </x:c>
      <x:c r="C216" s="12" t="str">
        <x:v>NSIDC DAAC will provide UWG testing results to the Earthdata Pub project where the feedback will be reviewed and addressed.</x:v>
      </x:c>
      <x:c r="D216" s="12" t="str">
        <x:v>User Support &amp; Feedback</x:v>
      </x:c>
      <x:c r="E216" s="12" t="str"/>
      <x:c r="F216" s="12" t="str">
        <x:v>Candidate</x:v>
      </x:c>
      <x:c r="G216" s="12" t="str">
        <x:v>Unassigned</x:v>
      </x:c>
      <x:c r="H216" s="14" t="n">
        <x:f>MINIFS(Evidence!$H$2:$H$1026,Evidence!$B$2:$B$1026,A216)</x:f>
        <x:v>2021</x:v>
      </x:c>
      <x:c r="I216" s="14" t="n">
        <x:f>MAXIFS(Evidence!$H$2:$H$1026,Evidence!$B$2:$B$1026,A216)</x:f>
        <x:v>2022</x:v>
      </x:c>
      <x:c r="J216" s="12" t="n">
        <x:f>COUNTIF(Evidence!$B$2:$B$1026,A216)</x:f>
        <x:v>2</x:v>
      </x:c>
      <x:c r="K216" s="12" t="n">
        <x:v>2</x:v>
      </x:c>
      <x:c r="L216" s="12" t="n">
        <x:v>1</x:v>
      </x:c>
      <x:c r="M216" s="12" t="n">
        <x:v>1</x:v>
      </x:c>
      <x:c r="N216" s="12" t="n">
        <x:v>1</x:v>
      </x:c>
      <x:c r="O216" s="12" t="str">
        <x:v>Recurring</x:v>
      </x:c>
      <x:c r="P216" s="12" t="n">
        <x:f>ROUND(MIN(100,(J216*1.5)+(K216*8)+(L216*4)+(M216*3)+((I216-H216+1)*3)),0)</x:f>
        <x:v>32</x:v>
      </x:c>
      <x:c r="Q216" s="12" t="str">
        <x:v>No</x:v>
      </x:c>
      <x:c r="R216" s="12" t="str"/>
      <x:c r="S216" s="12" t="str"/>
      <x:c r="T216" s="12" t="str"/>
      <x:c r="U216" s="12" t="str">
        <x:v>AI-assisted draft cluster; human review required.</x:v>
      </x:c>
    </x:row>
    <x:row r="217">
      <x:c r="A217" s="12" t="str">
        <x:v>NEED-0216</x:v>
      </x:c>
      <x:c r="B217" s="12" t="str">
        <x:v>Earthdata users need the ASF DAAC to extend Sentinel-1 support across the entire S1 constellation, not only to individual satellites.</x:v>
      </x:c>
      <x:c r="C217" s="12" t="str">
        <x:v>NASA should allow the ASF DAAC to extend Sentinel-1 support across the entire S1 constellation, not only to individual satellites.</x:v>
      </x:c>
      <x:c r="D217" s="12" t="str">
        <x:v>User Support &amp; Feedback</x:v>
      </x:c>
      <x:c r="E217" s="12" t="str"/>
      <x:c r="F217" s="12" t="str">
        <x:v>Candidate</x:v>
      </x:c>
      <x:c r="G217" s="12" t="str">
        <x:v>Unassigned</x:v>
      </x:c>
      <x:c r="H217" s="14" t="n">
        <x:f>MINIFS(Evidence!$H$2:$H$1026,Evidence!$B$2:$B$1026,A217)</x:f>
        <x:v>2024</x:v>
      </x:c>
      <x:c r="I217" s="14" t="n">
        <x:f>MAXIFS(Evidence!$H$2:$H$1026,Evidence!$B$2:$B$1026,A217)</x:f>
        <x:v>2024</x:v>
      </x:c>
      <x:c r="J217" s="12" t="n">
        <x:f>COUNTIF(Evidence!$B$2:$B$1026,A217)</x:f>
        <x:v>1</x:v>
      </x:c>
      <x:c r="K217" s="12" t="n">
        <x:v>1</x:v>
      </x:c>
      <x:c r="L217" s="12" t="n">
        <x:v>1</x:v>
      </x:c>
      <x:c r="M217" s="12" t="n">
        <x:v>2</x:v>
      </x:c>
      <x:c r="N217" s="12" t="n">
        <x:v>1</x:v>
      </x:c>
      <x:c r="O217" s="12" t="str">
        <x:v>Single-year signal</x:v>
      </x:c>
      <x:c r="P217" s="12" t="n">
        <x:f>ROUND(MIN(100,(J217*1.5)+(K217*8)+(L217*4)+(M217*3)+((I217-H217+1)*3)),0)</x:f>
        <x:v>23</x:v>
      </x:c>
      <x:c r="Q217" s="12" t="str">
        <x:v>No</x:v>
      </x:c>
      <x:c r="R217" s="12" t="str"/>
      <x:c r="S217" s="12" t="str"/>
      <x:c r="T217" s="12" t="str"/>
      <x:c r="U217" s="12" t="str">
        <x:v>AI-assisted draft cluster; human review required.</x:v>
      </x:c>
    </x:row>
    <x:row r="218">
      <x:c r="A218" s="12" t="str">
        <x:v>NEED-0217</x:v>
      </x:c>
      <x:c r="B218" s="12" t="str">
        <x:v>Earthdata users need NASA to support is a core responsibility of the DAAC and ultimately ends up also providing better support for our end users.</x:v>
      </x:c>
      <x:c r="C218" s="12" t="str">
        <x:v>Mission support is a core responsibility of the DAAC and ultimately ends up also providing better support for our end users.</x:v>
      </x:c>
      <x:c r="D218" s="12" t="str">
        <x:v>User Support &amp; Feedback</x:v>
      </x:c>
      <x:c r="E218" s="12" t="str"/>
      <x:c r="F218" s="12" t="str">
        <x:v>Candidate</x:v>
      </x:c>
      <x:c r="G218" s="12" t="str">
        <x:v>Unassigned</x:v>
      </x:c>
      <x:c r="H218" s="14" t="n">
        <x:f>MINIFS(Evidence!$H$2:$H$1026,Evidence!$B$2:$B$1026,A218)</x:f>
        <x:v>2022</x:v>
      </x:c>
      <x:c r="I218" s="14" t="n">
        <x:f>MAXIFS(Evidence!$H$2:$H$1026,Evidence!$B$2:$B$1026,A218)</x:f>
        <x:v>2023</x:v>
      </x:c>
      <x:c r="J218" s="12" t="n">
        <x:f>COUNTIF(Evidence!$B$2:$B$1026,A218)</x:f>
        <x:v>3</x:v>
      </x:c>
      <x:c r="K218" s="12" t="n">
        <x:v>2</x:v>
      </x:c>
      <x:c r="L218" s="12" t="n">
        <x:v>2</x:v>
      </x:c>
      <x:c r="M218" s="12" t="n">
        <x:v>2</x:v>
      </x:c>
      <x:c r="N218" s="12" t="n">
        <x:v>1</x:v>
      </x:c>
      <x:c r="O218" s="12" t="str">
        <x:v>Recurring</x:v>
      </x:c>
      <x:c r="P218" s="12" t="n">
        <x:f>ROUND(MIN(100,(J218*1.5)+(K218*8)+(L218*4)+(M218*3)+((I218-H218+1)*3)),0)</x:f>
        <x:v>41</x:v>
      </x:c>
      <x:c r="Q218" s="12" t="str">
        <x:v>No</x:v>
      </x:c>
      <x:c r="R218" s="12" t="str"/>
      <x:c r="S218" s="12" t="str"/>
      <x:c r="T218" s="12" t="str"/>
      <x:c r="U218" s="12" t="str">
        <x:v>AI-assisted draft cluster; human review required.</x:v>
      </x:c>
    </x:row>
    <x:row r="219">
      <x:c r="A219" s="12" t="str">
        <x:v>NEED-0218</x:v>
      </x:c>
      <x:c r="B219" s="12" t="str">
        <x:v>Earthdata users need - Inclusion of a feedback button.</x:v>
      </x:c>
      <x:c r="C219" s="12" t="str">
        <x:v>2021-4.3b - Inclusion of a feedback button</x:v>
      </x:c>
      <x:c r="D219" s="12" t="str">
        <x:v>User Support &amp; Feedback</x:v>
      </x:c>
      <x:c r="E219" s="12" t="str"/>
      <x:c r="F219" s="12" t="str">
        <x:v>Candidate</x:v>
      </x:c>
      <x:c r="G219" s="12" t="str">
        <x:v>Unassigned</x:v>
      </x:c>
      <x:c r="H219" s="14" t="n">
        <x:f>MINIFS(Evidence!$H$2:$H$1026,Evidence!$B$2:$B$1026,A219)</x:f>
        <x:v>2021</x:v>
      </x:c>
      <x:c r="I219" s="14" t="n">
        <x:f>MAXIFS(Evidence!$H$2:$H$1026,Evidence!$B$2:$B$1026,A219)</x:f>
        <x:v>2021</x:v>
      </x:c>
      <x:c r="J219" s="12" t="n">
        <x:f>COUNTIF(Evidence!$B$2:$B$1026,A219)</x:f>
        <x:v>1</x:v>
      </x:c>
      <x:c r="K219" s="12" t="n">
        <x:v>1</x:v>
      </x:c>
      <x:c r="L219" s="12" t="n">
        <x:v>1</x:v>
      </x:c>
      <x:c r="M219" s="12" t="n">
        <x:v>1</x:v>
      </x:c>
      <x:c r="N219" s="12" t="n">
        <x:v>1</x:v>
      </x:c>
      <x:c r="O219" s="12" t="str">
        <x:v>Single-year signal</x:v>
      </x:c>
      <x:c r="P219" s="12" t="n">
        <x:f>ROUND(MIN(100,(J219*1.5)+(K219*8)+(L219*4)+(M219*3)+((I219-H219+1)*3)),0)</x:f>
        <x:v>20</x:v>
      </x:c>
      <x:c r="Q219" s="12" t="str">
        <x:v>No</x:v>
      </x:c>
      <x:c r="R219" s="12" t="str"/>
      <x:c r="S219" s="12" t="str"/>
      <x:c r="T219" s="12" t="str"/>
      <x:c r="U219" s="12" t="str">
        <x:v>AI-assisted draft cluster; human review required.</x:v>
      </x:c>
    </x:row>
    <x:row r="220">
      <x:c r="A220" s="12" t="str">
        <x:v>NEED-0219</x:v>
      </x:c>
      <x:c r="B220" s="12" t="str">
        <x:v>Earthdata users need uWG appreciates the continuing work on SOTO and commented on the possibility of supporting future field campaigns.</x:v>
      </x:c>
      <x:c r="C220" s="12" t="str">
        <x:v>The UWG appreciates the continuing work on SOTO and commented on the possibility of supporting future field campaigns.</x:v>
      </x:c>
      <x:c r="D220" s="12" t="str">
        <x:v>User Support &amp; Feedback</x:v>
      </x:c>
      <x:c r="E220" s="12" t="str"/>
      <x:c r="F220" s="12" t="str">
        <x:v>Candidate</x:v>
      </x:c>
      <x:c r="G220" s="12" t="str">
        <x:v>Unassigned</x:v>
      </x:c>
      <x:c r="H220" s="14" t="n">
        <x:f>MINIFS(Evidence!$H$2:$H$1026,Evidence!$B$2:$B$1026,A220)</x:f>
        <x:v>2021</x:v>
      </x:c>
      <x:c r="I220" s="14" t="n">
        <x:f>MAXIFS(Evidence!$H$2:$H$1026,Evidence!$B$2:$B$1026,A220)</x:f>
        <x:v>2021</x:v>
      </x:c>
      <x:c r="J220" s="12" t="n">
        <x:f>COUNTIF(Evidence!$B$2:$B$1026,A220)</x:f>
        <x:v>1</x:v>
      </x:c>
      <x:c r="K220" s="12" t="n">
        <x:v>1</x:v>
      </x:c>
      <x:c r="L220" s="12" t="n">
        <x:v>1</x:v>
      </x:c>
      <x:c r="M220" s="12" t="n">
        <x:v>1</x:v>
      </x:c>
      <x:c r="N220" s="12" t="n">
        <x:v>1</x:v>
      </x:c>
      <x:c r="O220" s="12" t="str">
        <x:v>Single-year signal</x:v>
      </x:c>
      <x:c r="P220" s="12" t="n">
        <x:f>ROUND(MIN(100,(J220*1.5)+(K220*8)+(L220*4)+(M220*3)+((I220-H220+1)*3)),0)</x:f>
        <x:v>20</x:v>
      </x:c>
      <x:c r="Q220" s="12" t="str">
        <x:v>No</x:v>
      </x:c>
      <x:c r="R220" s="12" t="str"/>
      <x:c r="S220" s="12" t="str"/>
      <x:c r="T220" s="12" t="str"/>
      <x:c r="U220" s="12" t="str">
        <x:v>AI-assisted draft cluster; human review required.</x:v>
      </x:c>
    </x:row>
    <x:row r="221">
      <x:c r="A221" s="12" t="str">
        <x:v>NEED-0220</x:v>
      </x:c>
      <x:c r="B221" s="12" t="str">
        <x:v>Earthdata users need pushing open science, but funders may be lagging - need to provide enough resources to publish and support software.</x:v>
      </x:c>
      <x:c r="C221" s="12" t="str">
        <x:v>Journals pushing open science, but funders may be lagging - need to provide enough resources to publish and support software.</x:v>
      </x:c>
      <x:c r="D221" s="12" t="str">
        <x:v>User Support &amp; Feedback</x:v>
      </x:c>
      <x:c r="E221" s="12" t="str"/>
      <x:c r="F221" s="12" t="str">
        <x:v>Candidate</x:v>
      </x:c>
      <x:c r="G221" s="12" t="str">
        <x:v>Unassigned</x:v>
      </x:c>
      <x:c r="H221" s="14" t="n">
        <x:f>MINIFS(Evidence!$H$2:$H$1026,Evidence!$B$2:$B$1026,A221)</x:f>
        <x:v>2021</x:v>
      </x:c>
      <x:c r="I221" s="14" t="n">
        <x:f>MAXIFS(Evidence!$H$2:$H$1026,Evidence!$B$2:$B$1026,A221)</x:f>
        <x:v>2022</x:v>
      </x:c>
      <x:c r="J221" s="12" t="n">
        <x:f>COUNTIF(Evidence!$B$2:$B$1026,A221)</x:f>
        <x:v>2</x:v>
      </x:c>
      <x:c r="K221" s="12" t="n">
        <x:v>2</x:v>
      </x:c>
      <x:c r="L221" s="12" t="n">
        <x:v>1</x:v>
      </x:c>
      <x:c r="M221" s="12" t="n">
        <x:v>1</x:v>
      </x:c>
      <x:c r="N221" s="12" t="n">
        <x:v>1</x:v>
      </x:c>
      <x:c r="O221" s="12" t="str">
        <x:v>Recurring</x:v>
      </x:c>
      <x:c r="P221" s="12" t="n">
        <x:f>ROUND(MIN(100,(J221*1.5)+(K221*8)+(L221*4)+(M221*3)+((I221-H221+1)*3)),0)</x:f>
        <x:v>32</x:v>
      </x:c>
      <x:c r="Q221" s="12" t="str">
        <x:v>No</x:v>
      </x:c>
      <x:c r="R221" s="12" t="str"/>
      <x:c r="S221" s="12" t="str"/>
      <x:c r="T221" s="12" t="str"/>
      <x:c r="U221" s="12" t="str">
        <x:v>AI-assisted draft cluster; human review required.</x:v>
      </x:c>
    </x:row>
  </x:sheetData>
  <x:conditionalFormatting sqref="P2:P221">
    <x:cfRule type="colorScale" priority="1">
      <x:colorScale>
        <x:cfvo type="min"/>
        <x:cfvo type="percentile" val="50"/>
        <x:cfvo type="max"/>
        <x:color rgb="FFF4CCCC"/>
        <x:color rgb="FFFFF2CC"/>
        <x:color rgb="FFD9EAD3"/>
      </x:colorScale>
    </x:cfRule>
  </x:conditionalFormatting>
  <x:dataValidations count="3">
    <x:dataValidation type="list" sqref="F2:F221">
      <x:formula1>Lists!$A$2:$A$9</x:formula1>
    </x:dataValidation>
    <x:dataValidation type="list" sqref="G2:G221">
      <x:formula1>Lists!$B$2:$B$6</x:formula1>
    </x:dataValidation>
    <x:dataValidation type="list" sqref="Q2:Q221">
      <x:formula1>Lists!$C$2:$C$3</x:formula1>
    </x:dataValidation>
  </x:dataValidations>
  <x:pageMargins left="0.7" right="0.7" top="0.75" bottom="0.75" header="0.3" footer="0.3"/>
  <x:tableParts count="1">
    <x:tablePart xmlns:r="http://schemas.openxmlformats.org/officeDocument/2006/relationships" r:id="R73bc28c22e394d36"/>
  </x:tableParts>
</x:worksheet>
</file>

<file path=xl/worksheets/sheet3.xml><?xml version="1.0" encoding="utf-8"?>
<x:worksheet xmlns:x="http://schemas.openxmlformats.org/spreadsheetml/2006/main">
  <x:sheetFormatPr defaultRowHeight="15"/>
  <x:cols>
    <x:col min="1" max="1" width="15" hidden="0" customWidth="1"/>
    <x:col min="2" max="2" width="15" hidden="0" customWidth="1"/>
    <x:col min="3" max="3" width="14" hidden="0" customWidth="1"/>
    <x:col min="4" max="4" width="65" hidden="0" customWidth="1"/>
    <x:col min="5" max="5" width="55" hidden="0" customWidth="1"/>
    <x:col min="6" max="6" width="18" hidden="0" customWidth="1"/>
    <x:col min="7" max="7" width="34" hidden="0" customWidth="1"/>
    <x:col min="8" max="8" width="11" hidden="0" customWidth="1"/>
    <x:col min="9" max="9" width="34" hidden="0" customWidth="1"/>
    <x:col min="10" max="10" width="16" hidden="0" customWidth="1"/>
    <x:col min="11" max="11" width="14" hidden="0" customWidth="1"/>
    <x:col min="12" max="12" width="34" hidden="0" customWidth="1"/>
    <x:col min="13" max="13" width="38" hidden="0" customWidth="1"/>
    <x:col min="14" max="14" width="8" hidden="0" customWidth="1"/>
    <x:col min="15" max="15" width="15" hidden="0" customWidth="1"/>
    <x:col min="16" max="16" width="16" hidden="0" customWidth="1"/>
    <x:col min="17" max="17" width="50" hidden="0" customWidth="1"/>
    <x:col min="18" max="18" width="24" hidden="0" customWidth="1"/>
  </x:cols>
  <x:sheetData>
    <x:row r="1">
      <x:c r="A1" s="6" t="str">
        <x:v>Evidence ID</x:v>
      </x:c>
      <x:c r="B1" s="6" t="str">
        <x:v>Need ID</x:v>
      </x:c>
      <x:c r="C1" s="6" t="str">
        <x:v>Source ID</x:v>
      </x:c>
      <x:c r="D1" s="6" t="str">
        <x:v>Original Statement</x:v>
      </x:c>
      <x:c r="E1" s="6" t="str">
        <x:v>Normalized Statement</x:v>
      </x:c>
      <x:c r="F1" s="6" t="str">
        <x:v>Evidence Type</x:v>
      </x:c>
      <x:c r="G1" s="6" t="str">
        <x:v>Organization</x:v>
      </x:c>
      <x:c r="H1" s="6" t="str">
        <x:v>Event Year</x:v>
      </x:c>
      <x:c r="I1" s="6" t="str">
        <x:v>User Community</x:v>
      </x:c>
      <x:c r="J1" s="6" t="str">
        <x:v>Evidence Strength</x:v>
      </x:c>
      <x:c r="K1" s="6" t="str">
        <x:v>Match Confidence</x:v>
      </x:c>
      <x:c r="L1" s="6" t="str">
        <x:v>Match Method</x:v>
      </x:c>
      <x:c r="M1" s="6" t="str">
        <x:v>Source Location</x:v>
      </x:c>
      <x:c r="N1" s="6" t="str">
        <x:v>Page</x:v>
      </x:c>
      <x:c r="O1" s="6" t="str">
        <x:v>Human Reviewed</x:v>
      </x:c>
      <x:c r="P1" s="6" t="str">
        <x:v>Duplicate Evidence</x:v>
      </x:c>
      <x:c r="Q1" s="6" t="str">
        <x:v>Context / Rationale</x:v>
      </x:c>
      <x:c r="R1" s="6" t="str">
        <x:v>Source Status</x:v>
      </x:c>
    </x:row>
    <x:row r="2">
      <x:c r="A2" s="12" t="str">
        <x:v>EVD-00001</x:v>
      </x:c>
      <x:c r="B2" s="12" t="str">
        <x:v>NEED-0216</x:v>
      </x:c>
      <x:c r="C2" s="12" t="str">
        <x:v>SRC-0004</x:v>
      </x:c>
      <x:c r="D2" s="12" t="str">
        <x:v>NASA should allow the ASF DAAC to extend Sentinel-1 support across the entire S1 constellation, not only to individual satellites.</x:v>
      </x:c>
      <x:c r="E2" s="12" t="str">
        <x:v>NASA should allow the ASF DAAC to extend Sentinel-1 support across the entire S1 constellation, not only to individual satellites.</x:v>
      </x:c>
      <x:c r="F2" s="12" t="str">
        <x:v>Recommendation</x:v>
      </x:c>
      <x:c r="G2" s="12" t="str">
        <x:v>ASF DAAC User Working Group</x:v>
      </x:c>
      <x:c r="H2" s="12" t="n">
        <x:v>2024</x:v>
      </x:c>
      <x:c r="I2" s="12" t="str">
        <x:v>Data producers and mission teams; Earth science researchers</x:v>
      </x:c>
      <x:c r="J2" s="12" t="str">
        <x:v>High</x:v>
      </x:c>
      <x:c r="K2" s="16" t="n">
        <x:v>0.55</x:v>
      </x:c>
      <x:c r="L2" s="12" t="str">
        <x:v>LSA similarity cluster; human review pending</x:v>
      </x:c>
      <x:c r="M2" s="12" t="str">
        <x:v>Section: New Actions and Recommendations; item 1</x:v>
      </x:c>
      <x:c r="N2" s="12" t="str"/>
      <x:c r="O2" s="12" t="str">
        <x:v>No</x:v>
      </x:c>
      <x:c r="P2" s="12" t="str">
        <x:v>No</x:v>
      </x:c>
      <x:c r="Q2" s="12" t="str">
        <x:v>The US science community needs and expects Sentinel-1 (S1) data to be available throughout the NISAR mission. ASF has been serving S1 data to the US community, but data archival of S1 backup satellites has not been approved or funded by NASA.</x:v>
      </x:c>
      <x:c r="R2" s="12"/>
    </x:row>
    <x:row r="3">
      <x:c r="A3" s="12" t="str">
        <x:v>EVD-00002</x:v>
      </x:c>
      <x:c r="B3" s="12" t="str">
        <x:v>NEED-0005</x:v>
      </x:c>
      <x:c r="C3" s="12" t="str">
        <x:v>SRC-0004</x:v>
      </x:c>
      <x:c r="D3" s="12" t="str">
        <x:v>NASA should temporarily fund ASF and other DAACs to create cloud services (Python environments, Jupyter notebooks, server resources) that provide easy onramps to cloud computing in the DAACs’ various domains.</x:v>
      </x:c>
      <x:c r="E3" s="12" t="str">
        <x:v>NASA should temporarily fund ASF and other DAACs to create cloud services (Python environments, Jupyter notebooks, server resources) that provide easy onramps to cloud computing in the DAACs’ various domains.</x:v>
      </x:c>
      <x:c r="F3" s="12" t="str">
        <x:v>Recommendation</x:v>
      </x:c>
      <x:c r="G3" s="12" t="str">
        <x:v>ASF DAAC User Working Group</x:v>
      </x:c>
      <x:c r="H3" s="12" t="n">
        <x:v>2024</x:v>
      </x:c>
      <x:c r="I3" s="12" t="str">
        <x:v>Cloud-native researchers; Application developers</x:v>
      </x:c>
      <x:c r="J3" s="12" t="str">
        <x:v>High</x:v>
      </x:c>
      <x:c r="K3" s="16" t="n">
        <x:v>0.75</x:v>
      </x:c>
      <x:c r="L3" s="12" t="str">
        <x:v>LSA similarity cluster; human review pending</x:v>
      </x:c>
      <x:c r="M3" s="12" t="str">
        <x:v>Section: New Actions and Recommendations; item 2</x:v>
      </x:c>
      <x:c r="N3" s="12" t="str"/>
      <x:c r="O3" s="12" t="str">
        <x:v>No</x:v>
      </x:c>
      <x:c r="P3" s="12" t="str">
        <x:v>No</x:v>
      </x:c>
      <x:c r="Q3" s="12" t="str">
        <x:v>NASA’s move to the cloud has incentivized SAR/InSAR users to embrace cloud services created by ASF DAAC. This best- case scenario has created budget overruns that are perversely forcing the DAAC to roll back this effort.</x:v>
      </x:c>
      <x:c r="R3" s="12"/>
    </x:row>
    <x:row r="4">
      <x:c r="A4" s="12" t="str">
        <x:v>EVD-00003</x:v>
      </x:c>
      <x:c r="B4" s="12" t="str">
        <x:v>NEED-0177</x:v>
      </x:c>
      <x:c r="C4" s="12" t="str">
        <x:v>SRC-0004</x:v>
      </x:c>
      <x:c r="D4" s="12" t="str">
        <x:v>NASA, DAACs, and missions should work out pathways for the long-term maintenance of foundational open-source software. In the short term, the ASF DAAC itself should use ISCE3 for its own user-facing custom processing.</x:v>
      </x:c>
      <x:c r="E4" s="12" t="str">
        <x:v>NASA, DAACs, and missions should work out pathways for the long-term maintenance of foundational open-source software. In the short term, the ASF DAAC itself should use ISCE3 for its own user-facing custom processing.</x:v>
      </x:c>
      <x:c r="F4" s="12" t="str">
        <x:v>Recommendation</x:v>
      </x:c>
      <x:c r="G4" s="12" t="str">
        <x:v>ASF DAAC User Working Group</x:v>
      </x:c>
      <x:c r="H4" s="12" t="n">
        <x:v>2024</x:v>
      </x:c>
      <x:c r="I4" s="12" t="str">
        <x:v>Application developers; Data producers and mission teams; Earth science researchers</x:v>
      </x:c>
      <x:c r="J4" s="12" t="str">
        <x:v>High</x:v>
      </x:c>
      <x:c r="K4" s="16" t="n">
        <x:v>0.75</x:v>
      </x:c>
      <x:c r="L4" s="12" t="str">
        <x:v>LSA similarity cluster; human review pending</x:v>
      </x:c>
      <x:c r="M4" s="12" t="str">
        <x:v>Section: New Actions and Recommendations; item 3</x:v>
      </x:c>
      <x:c r="N4" s="12" t="str"/>
      <x:c r="O4" s="12" t="str">
        <x:v>No</x:v>
      </x:c>
      <x:c r="P4" s="12" t="str">
        <x:v>No</x:v>
      </x:c>
      <x:c r="Q4" s="12" t="str">
        <x:v>NASA’s open science directive has resulted in software tools (such as JPL’s ISCE3) that have become foundational resources for the science community but are not supported outside of missions whose mandates will eventually end.</x:v>
      </x:c>
      <x:c r="R4" s="12"/>
    </x:row>
    <x:row r="5">
      <x:c r="A5" s="12" t="str">
        <x:v>EVD-00004</x:v>
      </x:c>
      <x:c r="B5" s="12" t="str">
        <x:v>NEED-0014</x:v>
      </x:c>
      <x:c r="C5" s="12" t="str">
        <x:v>SRC-0004</x:v>
      </x:c>
      <x:c r="D5" s="12" t="str">
        <x:v>The UWG strongly feels that ASF should preserve a copy of foreign-agency legacy datasets, even if access to those data is limited.</x:v>
      </x:c>
      <x:c r="E5" s="12" t="str">
        <x:v>The UWG strongly feels that ASF should preserve a copy of foreign-agency legacy datasets, even if access to those data is limited.</x:v>
      </x:c>
      <x:c r="F5" s="12" t="str">
        <x:v>Recommendation</x:v>
      </x:c>
      <x:c r="G5" s="12" t="str">
        <x:v>ASF DAAC User Working Group</x:v>
      </x:c>
      <x:c r="H5" s="12" t="n">
        <x:v>2024</x:v>
      </x:c>
      <x:c r="I5" s="12" t="str">
        <x:v>Cloud-native researchers; Data producers and mission teams</x:v>
      </x:c>
      <x:c r="J5" s="12" t="str">
        <x:v>High</x:v>
      </x:c>
      <x:c r="K5" s="16" t="n">
        <x:v>0.75</x:v>
      </x:c>
      <x:c r="L5" s="12" t="str">
        <x:v>LSA similarity cluster; human review pending</x:v>
      </x:c>
      <x:c r="M5" s="12" t="str">
        <x:v>Section: New Actions and Recommendations; item 4</x:v>
      </x:c>
      <x:c r="N5" s="12" t="str"/>
      <x:c r="O5" s="12" t="str">
        <x:v>No</x:v>
      </x:c>
      <x:c r="P5" s="12" t="str">
        <x:v>No</x:v>
      </x:c>
      <x:c r="Q5" s="12" t="str">
        <x:v>NASA’s mandate for cloud migration has resulted in new I&amp;A costs for foreign-agency legacy data. The UWG discussed if maintaining these data in NASA’s archives is still warranted.</x:v>
      </x:c>
      <x:c r="R5" s="12"/>
    </x:row>
    <x:row r="6">
      <x:c r="A6" s="12" t="str">
        <x:v>EVD-00005</x:v>
      </x:c>
      <x:c r="B6" s="12" t="str">
        <x:v>NEED-0129</x:v>
      </x:c>
      <x:c r="C6" s="12" t="str">
        <x:v>SRC-0004</x:v>
      </x:c>
      <x:c r="D6" s="12" t="str">
        <x:v>Determine whether ASF will archive or make explorable in some manner the Sentinel-1C data.</x:v>
      </x:c>
      <x:c r="E6" s="12" t="str">
        <x:v>Determine whether ASF will archive or make explorable in some manner the Sentinel-1C data.</x:v>
      </x:c>
      <x:c r="F6" s="12" t="str">
        <x:v>Action</x:v>
      </x:c>
      <x:c r="G6" s="12" t="str">
        <x:v>ASF DAAC User Working Group</x:v>
      </x:c>
      <x:c r="H6" s="12" t="n">
        <x:v>2024</x:v>
      </x:c>
      <x:c r="I6" s="12" t="str">
        <x:v>Data producers and mission teams</x:v>
      </x:c>
      <x:c r="J6" s="12" t="str">
        <x:v>Medium</x:v>
      </x:c>
      <x:c r="K6" s="16" t="n">
        <x:v>0.75</x:v>
      </x:c>
      <x:c r="L6" s="12" t="str">
        <x:v>LSA similarity cluster; human review pending</x:v>
      </x:c>
      <x:c r="M6" s="12" t="str">
        <x:v>Section: New Actions and Recommendations; table row 2</x:v>
      </x:c>
      <x:c r="N6" s="12" t="str"/>
      <x:c r="O6" s="12" t="str">
        <x:v>No</x:v>
      </x:c>
      <x:c r="P6" s="12" t="str">
        <x:v>No</x:v>
      </x:c>
      <x:c r="Q6" s="12"/>
      <x:c r="R6" s="12"/>
    </x:row>
    <x:row r="7">
      <x:c r="A7" s="12" t="str">
        <x:v>EVD-00006</x:v>
      </x:c>
      <x:c r="B7" s="12" t="str">
        <x:v>NEED-0085</x:v>
      </x:c>
      <x:c r="C7" s="12" t="str">
        <x:v>SRC-0004</x:v>
      </x:c>
      <x:c r="D7" s="12" t="str">
        <x:v>Prepare the community for the upcoming format change to Zarr for Sentinel-1.</x:v>
      </x:c>
      <x:c r="E7" s="12" t="str">
        <x:v>Prepare the community for the upcoming format change to Zarr for Sentinel-1.</x:v>
      </x:c>
      <x:c r="F7" s="12" t="str">
        <x:v>Action</x:v>
      </x:c>
      <x:c r="G7" s="12" t="str">
        <x:v>ASF DAAC User Working Group</x:v>
      </x:c>
      <x:c r="H7" s="12" t="n">
        <x:v>2024</x:v>
      </x:c>
      <x:c r="I7" s="12" t="str">
        <x:v>Earthdata users</x:v>
      </x:c>
      <x:c r="J7" s="12" t="str">
        <x:v>Medium</x:v>
      </x:c>
      <x:c r="K7" s="16" t="n">
        <x:v>0.75</x:v>
      </x:c>
      <x:c r="L7" s="12" t="str">
        <x:v>LSA similarity cluster; human review pending</x:v>
      </x:c>
      <x:c r="M7" s="12" t="str">
        <x:v>Section: New Actions and Recommendations; table row 3</x:v>
      </x:c>
      <x:c r="N7" s="12" t="str"/>
      <x:c r="O7" s="12" t="str">
        <x:v>No</x:v>
      </x:c>
      <x:c r="P7" s="12" t="str">
        <x:v>No</x:v>
      </x:c>
      <x:c r="Q7" s="12"/>
      <x:c r="R7" s="12"/>
    </x:row>
    <x:row r="8">
      <x:c r="A8" s="12" t="str">
        <x:v>EVD-00007</x:v>
      </x:c>
      <x:c r="B8" s="12" t="str">
        <x:v>NEED-0214</x:v>
      </x:c>
      <x:c r="C8" s="12" t="str">
        <x:v>SRC-0004</x:v>
      </x:c>
      <x:c r="D8" s="12" t="str">
        <x:v>How will ongoing ISCE-3 support be managed? Commit to dedicated ISCE3 long- term development.</x:v>
      </x:c>
      <x:c r="E8" s="12" t="str">
        <x:v>How will ongoing ISCE-3 support be managed? Commit to dedicated ISCE3 long- term development.</x:v>
      </x:c>
      <x:c r="F8" s="12" t="str">
        <x:v>Action</x:v>
      </x:c>
      <x:c r="G8" s="12" t="str">
        <x:v>ASF DAAC User Working Group</x:v>
      </x:c>
      <x:c r="H8" s="12" t="n">
        <x:v>2024</x:v>
      </x:c>
      <x:c r="I8" s="12" t="str">
        <x:v>Earthdata users</x:v>
      </x:c>
      <x:c r="J8" s="12" t="str">
        <x:v>High</x:v>
      </x:c>
      <x:c r="K8" s="16" t="n">
        <x:v>0.55</x:v>
      </x:c>
      <x:c r="L8" s="12" t="str">
        <x:v>LSA similarity cluster; human review pending</x:v>
      </x:c>
      <x:c r="M8" s="12" t="str">
        <x:v>Section: New Actions and Recommendations; table row 4</x:v>
      </x:c>
      <x:c r="N8" s="12" t="str"/>
      <x:c r="O8" s="12" t="str">
        <x:v>No</x:v>
      </x:c>
      <x:c r="P8" s="12" t="str">
        <x:v>No</x:v>
      </x:c>
      <x:c r="Q8" s="12"/>
      <x:c r="R8" s="12"/>
    </x:row>
    <x:row r="9">
      <x:c r="A9" s="12" t="str">
        <x:v>EVD-00008</x:v>
      </x:c>
      <x:c r="B9" s="12" t="str">
        <x:v>NEED-0196</x:v>
      </x:c>
      <x:c r="C9" s="12" t="str">
        <x:v>SRC-0004</x:v>
      </x:c>
      <x:c r="D9" s="12" t="str">
        <x:v>Provide more SMAP Radar Data support. Make this easier to use. Work with other DAACs to unify the documentation.</x:v>
      </x:c>
      <x:c r="E9" s="12" t="str">
        <x:v>Provide more SMAP Radar Data support. Make this easier to use. Work with other DAACs to unify the documentation.</x:v>
      </x:c>
      <x:c r="F9" s="12" t="str">
        <x:v>Action</x:v>
      </x:c>
      <x:c r="G9" s="12" t="str">
        <x:v>ASF DAAC User Working Group</x:v>
      </x:c>
      <x:c r="H9" s="12" t="n">
        <x:v>2024</x:v>
      </x:c>
      <x:c r="I9" s="12" t="str">
        <x:v>Earthdata users</x:v>
      </x:c>
      <x:c r="J9" s="12" t="str">
        <x:v>High</x:v>
      </x:c>
      <x:c r="K9" s="16" t="n">
        <x:v>0.75</x:v>
      </x:c>
      <x:c r="L9" s="12" t="str">
        <x:v>LSA similarity cluster; human review pending</x:v>
      </x:c>
      <x:c r="M9" s="12" t="str">
        <x:v>Section: New Actions and Recommendations; table row 5</x:v>
      </x:c>
      <x:c r="N9" s="12" t="str"/>
      <x:c r="O9" s="12" t="str">
        <x:v>No</x:v>
      </x:c>
      <x:c r="P9" s="12" t="str">
        <x:v>No</x:v>
      </x:c>
      <x:c r="Q9" s="12"/>
      <x:c r="R9" s="12"/>
    </x:row>
    <x:row r="10">
      <x:c r="A10" s="12" t="str">
        <x:v>EVD-00009</x:v>
      </x:c>
      <x:c r="B10" s="12" t="str">
        <x:v>NEED-0201</x:v>
      </x:c>
      <x:c r="C10" s="12" t="str">
        <x:v>SRC-0004</x:v>
      </x:c>
      <x:c r="D10" s="12" t="str">
        <x:v>Provide SAR education and training for NISAR.</x:v>
      </x:c>
      <x:c r="E10" s="12" t="str">
        <x:v>Provide SAR education and training for NISAR.</x:v>
      </x:c>
      <x:c r="F10" s="12" t="str">
        <x:v>Action</x:v>
      </x:c>
      <x:c r="G10" s="12" t="str">
        <x:v>ASF DAAC User Working Group</x:v>
      </x:c>
      <x:c r="H10" s="12" t="n">
        <x:v>2024</x:v>
      </x:c>
      <x:c r="I10" s="12" t="str">
        <x:v>Educators and trainers</x:v>
      </x:c>
      <x:c r="J10" s="12" t="str">
        <x:v>High</x:v>
      </x:c>
      <x:c r="K10" s="16" t="n">
        <x:v>0.75</x:v>
      </x:c>
      <x:c r="L10" s="12" t="str">
        <x:v>LSA similarity cluster; human review pending</x:v>
      </x:c>
      <x:c r="M10" s="12" t="str">
        <x:v>Section: New Actions and Recommendations; table row 6</x:v>
      </x:c>
      <x:c r="N10" s="12" t="str"/>
      <x:c r="O10" s="12" t="str">
        <x:v>No</x:v>
      </x:c>
      <x:c r="P10" s="12" t="str">
        <x:v>No</x:v>
      </x:c>
      <x:c r="Q10" s="12"/>
      <x:c r="R10" s="12"/>
    </x:row>
    <x:row r="11">
      <x:c r="A11" s="12" t="str">
        <x:v>EVD-00010</x:v>
      </x:c>
      <x:c r="B11" s="12" t="str">
        <x:v>NEED-0210</x:v>
      </x:c>
      <x:c r="C11" s="12" t="str">
        <x:v>SRC-0004</x:v>
      </x:c>
      <x:c r="D11" s="12" t="str">
        <x:v>Work with the NISAR Science Team to determine what OSL should do to support NISAR, how to collaborate with NISAR On Demand system.</x:v>
      </x:c>
      <x:c r="E11" s="12" t="str">
        <x:v>Work with the NISAR Science Team to determine what OSL should do to support NISAR, how to collaborate with NISAR On Demand system.</x:v>
      </x:c>
      <x:c r="F11" s="12" t="str">
        <x:v>Action</x:v>
      </x:c>
      <x:c r="G11" s="12" t="str">
        <x:v>ASF DAAC User Working Group</x:v>
      </x:c>
      <x:c r="H11" s="12" t="n">
        <x:v>2024</x:v>
      </x:c>
      <x:c r="I11" s="12" t="str">
        <x:v>Earthdata users</x:v>
      </x:c>
      <x:c r="J11" s="12" t="str">
        <x:v>High</x:v>
      </x:c>
      <x:c r="K11" s="16" t="n">
        <x:v>0.75</x:v>
      </x:c>
      <x:c r="L11" s="12" t="str">
        <x:v>LSA similarity cluster; human review pending</x:v>
      </x:c>
      <x:c r="M11" s="12" t="str">
        <x:v>Section: New Actions and Recommendations; table row 7</x:v>
      </x:c>
      <x:c r="N11" s="12" t="str"/>
      <x:c r="O11" s="12" t="str">
        <x:v>No</x:v>
      </x:c>
      <x:c r="P11" s="12" t="str">
        <x:v>No</x:v>
      </x:c>
      <x:c r="Q11" s="12"/>
      <x:c r="R11" s="12"/>
    </x:row>
    <x:row r="12">
      <x:c r="A12" s="12" t="str">
        <x:v>EVD-00011</x:v>
      </x:c>
      <x:c r="B12" s="12" t="str">
        <x:v>NEED-0129</x:v>
      </x:c>
      <x:c r="C12" s="12" t="str">
        <x:v>SRC-0004</x:v>
      </x:c>
      <x:c r="D12" s="12" t="str">
        <x:v>Determine ASF’s role in the NASA Disaster portal.</x:v>
      </x:c>
      <x:c r="E12" s="12" t="str">
        <x:v>Determine ASF’s role in the NASA Disaster portal.</x:v>
      </x:c>
      <x:c r="F12" s="12" t="str">
        <x:v>Action</x:v>
      </x:c>
      <x:c r="G12" s="12" t="str">
        <x:v>ASF DAAC User Working Group</x:v>
      </x:c>
      <x:c r="H12" s="12" t="n">
        <x:v>2024</x:v>
      </x:c>
      <x:c r="I12" s="12" t="str">
        <x:v>Operational and near-real-time users</x:v>
      </x:c>
      <x:c r="J12" s="12" t="str">
        <x:v>Medium</x:v>
      </x:c>
      <x:c r="K12" s="16" t="n">
        <x:v>0.75</x:v>
      </x:c>
      <x:c r="L12" s="12" t="str">
        <x:v>LSA similarity cluster; human review pending</x:v>
      </x:c>
      <x:c r="M12" s="12" t="str">
        <x:v>Section: New Actions and Recommendations; table row 8</x:v>
      </x:c>
      <x:c r="N12" s="12" t="str"/>
      <x:c r="O12" s="12" t="str">
        <x:v>No</x:v>
      </x:c>
      <x:c r="P12" s="12" t="str">
        <x:v>No</x:v>
      </x:c>
      <x:c r="Q12" s="12"/>
      <x:c r="R12" s="12"/>
    </x:row>
    <x:row r="13">
      <x:c r="A13" s="12" t="str">
        <x:v>EVD-00012</x:v>
      </x:c>
      <x:c r="B13" s="12" t="str">
        <x:v>NEED-0120</x:v>
      </x:c>
      <x:c r="C13" s="12" t="str">
        <x:v>SRC-0004</x:v>
      </x:c>
      <x:c r="D13" s="12" t="str">
        <x:v>Foster discussion with ESDIS on how open-source processing software will be maintained in the long term, i.e. ISCE-3, MintPy.</x:v>
      </x:c>
      <x:c r="E13" s="12" t="str">
        <x:v>Foster discussion with ESDIS on how open-source processing software will be maintained in the long term, i.e. ISCE-3, MintPy.</x:v>
      </x:c>
      <x:c r="F13" s="12" t="str">
        <x:v>Action</x:v>
      </x:c>
      <x:c r="G13" s="12" t="str">
        <x:v>ASF DAAC User Working Group</x:v>
      </x:c>
      <x:c r="H13" s="12" t="n">
        <x:v>2024</x:v>
      </x:c>
      <x:c r="I13" s="12" t="str">
        <x:v>Application developers</x:v>
      </x:c>
      <x:c r="J13" s="12" t="str">
        <x:v>Medium</x:v>
      </x:c>
      <x:c r="K13" s="16" t="n">
        <x:v>0.75</x:v>
      </x:c>
      <x:c r="L13" s="12" t="str">
        <x:v>LSA similarity cluster; human review pending</x:v>
      </x:c>
      <x:c r="M13" s="12" t="str">
        <x:v>Section: New Actions and Recommendations; table row 9</x:v>
      </x:c>
      <x:c r="N13" s="12" t="str"/>
      <x:c r="O13" s="12" t="str">
        <x:v>No</x:v>
      </x:c>
      <x:c r="P13" s="12" t="str">
        <x:v>No</x:v>
      </x:c>
      <x:c r="Q13" s="12"/>
      <x:c r="R13" s="12"/>
    </x:row>
    <x:row r="14">
      <x:c r="A14" s="12" t="str">
        <x:v>EVD-00013</x:v>
      </x:c>
      <x:c r="B14" s="12" t="str">
        <x:v>NEED-0129</x:v>
      </x:c>
      <x:c r="C14" s="12" t="str">
        <x:v>SRC-0004</x:v>
      </x:c>
      <x:c r="D14" s="12" t="str">
        <x:v>Assess ASF’s role in the Foundation Model for Damage Assessment.</x:v>
      </x:c>
      <x:c r="E14" s="12" t="str">
        <x:v>Assess ASF’s role in the Foundation Model for Damage Assessment.</x:v>
      </x:c>
      <x:c r="F14" s="12" t="str">
        <x:v>Action</x:v>
      </x:c>
      <x:c r="G14" s="12" t="str">
        <x:v>ASF DAAC User Working Group</x:v>
      </x:c>
      <x:c r="H14" s="12" t="n">
        <x:v>2024</x:v>
      </x:c>
      <x:c r="I14" s="12" t="str">
        <x:v>Earthdata users</x:v>
      </x:c>
      <x:c r="J14" s="12" t="str">
        <x:v>Medium</x:v>
      </x:c>
      <x:c r="K14" s="16" t="n">
        <x:v>0.75</x:v>
      </x:c>
      <x:c r="L14" s="12" t="str">
        <x:v>LSA similarity cluster; human review pending</x:v>
      </x:c>
      <x:c r="M14" s="12" t="str">
        <x:v>Section: New Actions and Recommendations; table row 10</x:v>
      </x:c>
      <x:c r="N14" s="12" t="str"/>
      <x:c r="O14" s="12" t="str">
        <x:v>No</x:v>
      </x:c>
      <x:c r="P14" s="12" t="str">
        <x:v>No</x:v>
      </x:c>
      <x:c r="Q14" s="12"/>
      <x:c r="R14" s="12"/>
    </x:row>
    <x:row r="15">
      <x:c r="A15" s="12" t="str">
        <x:v>EVD-00014</x:v>
      </x:c>
      <x:c r="B15" s="12" t="str">
        <x:v>NEED-0123</x:v>
      </x:c>
      <x:c r="C15" s="12" t="str">
        <x:v>SRC-0004</x:v>
      </x:c>
      <x:c r="D15" s="12" t="str">
        <x:v>Decide whether to keep or delete JERS-1 data (similarly for ERS-1, ERS-2 and RADARSAT).</x:v>
      </x:c>
      <x:c r="E15" s="12" t="str">
        <x:v>Decide whether to keep or delete JERS-1 data (similarly for ERS-1, ERS-2 and RADARSAT).</x:v>
      </x:c>
      <x:c r="F15" s="12" t="str">
        <x:v>Action</x:v>
      </x:c>
      <x:c r="G15" s="12" t="str">
        <x:v>ASF DAAC User Working Group</x:v>
      </x:c>
      <x:c r="H15" s="12" t="n">
        <x:v>2024</x:v>
      </x:c>
      <x:c r="I15" s="12" t="str">
        <x:v>Earthdata users</x:v>
      </x:c>
      <x:c r="J15" s="12" t="str">
        <x:v>Medium</x:v>
      </x:c>
      <x:c r="K15" s="16" t="n">
        <x:v>0.75</x:v>
      </x:c>
      <x:c r="L15" s="12" t="str">
        <x:v>LSA similarity cluster; human review pending</x:v>
      </x:c>
      <x:c r="M15" s="12" t="str">
        <x:v>Section: New Actions and Recommendations; table row 11</x:v>
      </x:c>
      <x:c r="N15" s="12" t="str"/>
      <x:c r="O15" s="12" t="str">
        <x:v>No</x:v>
      </x:c>
      <x:c r="P15" s="12" t="str">
        <x:v>No</x:v>
      </x:c>
      <x:c r="Q15" s="12"/>
      <x:c r="R15" s="12"/>
    </x:row>
    <x:row r="16">
      <x:c r="A16" s="12" t="str">
        <x:v>EVD-00015</x:v>
      </x:c>
      <x:c r="B16" s="12" t="str">
        <x:v>NEED-0181</x:v>
      </x:c>
      <x:c r="C16" s="12" t="str">
        <x:v>SRC-0004</x:v>
      </x:c>
      <x:c r="D16" s="12" t="str">
        <x:v>Prioritize the NISAR Services.</x:v>
      </x:c>
      <x:c r="E16" s="12" t="str">
        <x:v>Prioritize the NISAR Services.</x:v>
      </x:c>
      <x:c r="F16" s="12" t="str">
        <x:v>Action</x:v>
      </x:c>
      <x:c r="G16" s="12" t="str">
        <x:v>ASF DAAC User Working Group</x:v>
      </x:c>
      <x:c r="H16" s="12" t="n">
        <x:v>2024</x:v>
      </x:c>
      <x:c r="I16" s="12" t="str">
        <x:v>Earthdata users</x:v>
      </x:c>
      <x:c r="J16" s="12" t="str">
        <x:v>Medium</x:v>
      </x:c>
      <x:c r="K16" s="16" t="n">
        <x:v>0.75</x:v>
      </x:c>
      <x:c r="L16" s="12" t="str">
        <x:v>LSA similarity cluster; human review pending</x:v>
      </x:c>
      <x:c r="M16" s="12" t="str">
        <x:v>Section: New Actions and Recommendations; table row 12</x:v>
      </x:c>
      <x:c r="N16" s="12" t="str"/>
      <x:c r="O16" s="12" t="str">
        <x:v>No</x:v>
      </x:c>
      <x:c r="P16" s="12" t="str">
        <x:v>No</x:v>
      </x:c>
      <x:c r="Q16" s="12"/>
      <x:c r="R16" s="12"/>
    </x:row>
    <x:row r="17">
      <x:c r="A17" s="12" t="str">
        <x:v>EVD-00016</x:v>
      </x:c>
      <x:c r="B17" s="12" t="str">
        <x:v>NEED-0190</x:v>
      </x:c>
      <x:c r="C17" s="12" t="str">
        <x:v>SRC-0004</x:v>
      </x:c>
      <x:c r="D17" s="12" t="str">
        <x:v>Review Tools and Services roadmap with UWG.</x:v>
      </x:c>
      <x:c r="E17" s="12" t="str">
        <x:v>Review Tools and Services roadmap with UWG.</x:v>
      </x:c>
      <x:c r="F17" s="12" t="str">
        <x:v>Action</x:v>
      </x:c>
      <x:c r="G17" s="12" t="str">
        <x:v>ASF DAAC User Working Group</x:v>
      </x:c>
      <x:c r="H17" s="12" t="n">
        <x:v>2024</x:v>
      </x:c>
      <x:c r="I17" s="12" t="str">
        <x:v>Earthdata users</x:v>
      </x:c>
      <x:c r="J17" s="12" t="str">
        <x:v>Medium</x:v>
      </x:c>
      <x:c r="K17" s="16" t="n">
        <x:v>0.75</x:v>
      </x:c>
      <x:c r="L17" s="12" t="str">
        <x:v>LSA similarity cluster; human review pending</x:v>
      </x:c>
      <x:c r="M17" s="12" t="str">
        <x:v>Section: New Actions and Recommendations; table row 13</x:v>
      </x:c>
      <x:c r="N17" s="12" t="str"/>
      <x:c r="O17" s="12" t="str">
        <x:v>No</x:v>
      </x:c>
      <x:c r="P17" s="12" t="str">
        <x:v>No</x:v>
      </x:c>
      <x:c r="Q17" s="12"/>
      <x:c r="R17" s="12"/>
    </x:row>
    <x:row r="18">
      <x:c r="A18" s="12" t="str">
        <x:v>EVD-00017</x:v>
      </x:c>
      <x:c r="B18" s="12" t="str">
        <x:v>NEED-0201</x:v>
      </x:c>
      <x:c r="C18" s="12" t="str">
        <x:v>SRC-0004</x:v>
      </x:c>
      <x:c r="D18" s="12" t="str">
        <x:v>How can the UWG support ARSET training?</x:v>
      </x:c>
      <x:c r="E18" s="12" t="str">
        <x:v>How can the UWG support ARSET training?</x:v>
      </x:c>
      <x:c r="F18" s="12" t="str">
        <x:v>Action</x:v>
      </x:c>
      <x:c r="G18" s="12" t="str">
        <x:v>ASF DAAC User Working Group</x:v>
      </x:c>
      <x:c r="H18" s="12" t="n">
        <x:v>2024</x:v>
      </x:c>
      <x:c r="I18" s="12" t="str">
        <x:v>Educators and trainers</x:v>
      </x:c>
      <x:c r="J18" s="12" t="str">
        <x:v>High</x:v>
      </x:c>
      <x:c r="K18" s="16" t="n">
        <x:v>0.75</x:v>
      </x:c>
      <x:c r="L18" s="12" t="str">
        <x:v>LSA similarity cluster; human review pending</x:v>
      </x:c>
      <x:c r="M18" s="12" t="str">
        <x:v>Section: New Actions and Recommendations; table row 14</x:v>
      </x:c>
      <x:c r="N18" s="12" t="str"/>
      <x:c r="O18" s="12" t="str">
        <x:v>No</x:v>
      </x:c>
      <x:c r="P18" s="12" t="str">
        <x:v>No</x:v>
      </x:c>
      <x:c r="Q18" s="12"/>
      <x:c r="R18" s="12"/>
    </x:row>
    <x:row r="19">
      <x:c r="A19" s="12" t="str">
        <x:v>EVD-00018</x:v>
      </x:c>
      <x:c r="B19" s="12" t="str">
        <x:v>NEED-0201</x:v>
      </x:c>
      <x:c r="C19" s="12" t="str">
        <x:v>SRC-0004</x:v>
      </x:c>
      <x:c r="D19" s="12" t="str">
        <x:v>How can we increase the usability of historical SAR datasets that are currently on the ASF DAAC through ARSET training?</x:v>
      </x:c>
      <x:c r="E19" s="12" t="str">
        <x:v>How can we increase the usability of historical SAR datasets that are currently on the ASF DAAC through ARSET training?</x:v>
      </x:c>
      <x:c r="F19" s="12" t="str">
        <x:v>Action</x:v>
      </x:c>
      <x:c r="G19" s="12" t="str">
        <x:v>ASF DAAC User Working Group</x:v>
      </x:c>
      <x:c r="H19" s="12" t="n">
        <x:v>2024</x:v>
      </x:c>
      <x:c r="I19" s="12" t="str">
        <x:v>Educators and trainers; New and occasional users</x:v>
      </x:c>
      <x:c r="J19" s="12" t="str">
        <x:v>Medium</x:v>
      </x:c>
      <x:c r="K19" s="16" t="n">
        <x:v>0.75</x:v>
      </x:c>
      <x:c r="L19" s="12" t="str">
        <x:v>LSA similarity cluster; human review pending</x:v>
      </x:c>
      <x:c r="M19" s="12" t="str">
        <x:v>Section: New Actions and Recommendations; table row 15</x:v>
      </x:c>
      <x:c r="N19" s="12" t="str"/>
      <x:c r="O19" s="12" t="str">
        <x:v>No</x:v>
      </x:c>
      <x:c r="P19" s="12" t="str">
        <x:v>No</x:v>
      </x:c>
      <x:c r="Q19" s="12"/>
      <x:c r="R19" s="12"/>
    </x:row>
    <x:row r="20">
      <x:c r="A20" s="12" t="str">
        <x:v>EVD-00019</x:v>
      </x:c>
      <x:c r="B20" s="12" t="str">
        <x:v>NEED-0129</x:v>
      </x:c>
      <x:c r="C20" s="12" t="str">
        <x:v>SRC-0004</x:v>
      </x:c>
      <x:c r="D20" s="12" t="str">
        <x:v>How can ARSET and the ASF DAAC increase multi-frequency data analysis?</x:v>
      </x:c>
      <x:c r="E20" s="12" t="str">
        <x:v>How can ARSET and the ASF DAAC increase multi-frequency data analysis?</x:v>
      </x:c>
      <x:c r="F20" s="12" t="str">
        <x:v>Action</x:v>
      </x:c>
      <x:c r="G20" s="12" t="str">
        <x:v>ASF DAAC User Working Group</x:v>
      </x:c>
      <x:c r="H20" s="12" t="n">
        <x:v>2024</x:v>
      </x:c>
      <x:c r="I20" s="12" t="str">
        <x:v>Earth science researchers</x:v>
      </x:c>
      <x:c r="J20" s="12" t="str">
        <x:v>Medium</x:v>
      </x:c>
      <x:c r="K20" s="16" t="n">
        <x:v>0.75</x:v>
      </x:c>
      <x:c r="L20" s="12" t="str">
        <x:v>LSA similarity cluster; human review pending</x:v>
      </x:c>
      <x:c r="M20" s="12" t="str">
        <x:v>Section: New Actions and Recommendations; table row 16</x:v>
      </x:c>
      <x:c r="N20" s="12" t="str"/>
      <x:c r="O20" s="12" t="str">
        <x:v>No</x:v>
      </x:c>
      <x:c r="P20" s="12" t="str">
        <x:v>No</x:v>
      </x:c>
      <x:c r="Q20" s="12"/>
      <x:c r="R20" s="12"/>
    </x:row>
    <x:row r="21">
      <x:c r="A21" s="12" t="str">
        <x:v>EVD-00020</x:v>
      </x:c>
      <x:c r="B21" s="12" t="str">
        <x:v>NEED-0137</x:v>
      </x:c>
      <x:c r="C21" s="12" t="str">
        <x:v>SRC-0004</x:v>
      </x:c>
      <x:c r="D21" s="12" t="str">
        <x:v>How do we increase the AI/ML analysis of SAR data?</x:v>
      </x:c>
      <x:c r="E21" s="12" t="str">
        <x:v>How do we increase the AI/ML analysis of SAR data?</x:v>
      </x:c>
      <x:c r="F21" s="12" t="str">
        <x:v>Action</x:v>
      </x:c>
      <x:c r="G21" s="12" t="str">
        <x:v>ASF DAAC User Working Group</x:v>
      </x:c>
      <x:c r="H21" s="12" t="n">
        <x:v>2024</x:v>
      </x:c>
      <x:c r="I21" s="12" t="str">
        <x:v>Earth science researchers</x:v>
      </x:c>
      <x:c r="J21" s="12" t="str">
        <x:v>Medium</x:v>
      </x:c>
      <x:c r="K21" s="16" t="n">
        <x:v>0.75</x:v>
      </x:c>
      <x:c r="L21" s="12" t="str">
        <x:v>LSA similarity cluster; human review pending</x:v>
      </x:c>
      <x:c r="M21" s="12" t="str">
        <x:v>Section: New Actions and Recommendations; table row 17</x:v>
      </x:c>
      <x:c r="N21" s="12" t="str"/>
      <x:c r="O21" s="12" t="str">
        <x:v>No</x:v>
      </x:c>
      <x:c r="P21" s="12" t="str">
        <x:v>No</x:v>
      </x:c>
      <x:c r="Q21" s="12"/>
      <x:c r="R21" s="12"/>
    </x:row>
    <x:row r="22">
      <x:c r="A22" s="12" t="str">
        <x:v>EVD-00021</x:v>
      </x:c>
      <x:c r="B22" s="12" t="str">
        <x:v>NEED-0107</x:v>
      </x:c>
      <x:c r="C22" s="12" t="str">
        <x:v>SRC-0004</x:v>
      </x:c>
      <x:c r="D22" s="12" t="str">
        <x:v>Focus on Analysis Ready Data. Make the data as easy as possible to use. Implement the CEOS standards.</x:v>
      </x:c>
      <x:c r="E22" s="12" t="str">
        <x:v>Focus on Analysis Ready Data. Make the data as easy as possible to use. Implement the CEOS standards.</x:v>
      </x:c>
      <x:c r="F22" s="12" t="str">
        <x:v>Action</x:v>
      </x:c>
      <x:c r="G22" s="12" t="str">
        <x:v>ASF DAAC User Working Group</x:v>
      </x:c>
      <x:c r="H22" s="12" t="n">
        <x:v>2024</x:v>
      </x:c>
      <x:c r="I22" s="12" t="str">
        <x:v>Earth science researchers</x:v>
      </x:c>
      <x:c r="J22" s="12" t="str">
        <x:v>Medium</x:v>
      </x:c>
      <x:c r="K22" s="16" t="n">
        <x:v>0.75</x:v>
      </x:c>
      <x:c r="L22" s="12" t="str">
        <x:v>LSA similarity cluster; human review pending</x:v>
      </x:c>
      <x:c r="M22" s="12" t="str">
        <x:v>Section: New Actions and Recommendations; table row 18</x:v>
      </x:c>
      <x:c r="N22" s="12" t="str"/>
      <x:c r="O22" s="12" t="str">
        <x:v>No</x:v>
      </x:c>
      <x:c r="P22" s="12" t="str">
        <x:v>No</x:v>
      </x:c>
      <x:c r="Q22" s="12"/>
      <x:c r="R22" s="12"/>
    </x:row>
    <x:row r="23">
      <x:c r="A23" s="12" t="str">
        <x:v>EVD-00022</x:v>
      </x:c>
      <x:c r="B23" s="12" t="str">
        <x:v>NEED-0109</x:v>
      </x:c>
      <x:c r="C23" s="12" t="str">
        <x:v>SRC-0004</x:v>
      </x:c>
      <x:c r="D23" s="12" t="str">
        <x:v>Will ASF put data holdings in STAC (Spatio- Temporal Asset Catalog) catalogs?</x:v>
      </x:c>
      <x:c r="E23" s="12" t="str">
        <x:v>Will ASF put data holdings in STAC (Spatio- Temporal Asset Catalog) catalogs?</x:v>
      </x:c>
      <x:c r="F23" s="12" t="str">
        <x:v>Action</x:v>
      </x:c>
      <x:c r="G23" s="12" t="str">
        <x:v>ASF DAAC User Working Group</x:v>
      </x:c>
      <x:c r="H23" s="12" t="n">
        <x:v>2024</x:v>
      </x:c>
      <x:c r="I23" s="12" t="str">
        <x:v>Earthdata users</x:v>
      </x:c>
      <x:c r="J23" s="12" t="str">
        <x:v>Medium</x:v>
      </x:c>
      <x:c r="K23" s="16" t="n">
        <x:v>0.55</x:v>
      </x:c>
      <x:c r="L23" s="12" t="str">
        <x:v>LSA similarity cluster; human review pending</x:v>
      </x:c>
      <x:c r="M23" s="12" t="str">
        <x:v>Section: New Actions and Recommendations; table row 19</x:v>
      </x:c>
      <x:c r="N23" s="12" t="str"/>
      <x:c r="O23" s="12" t="str">
        <x:v>No</x:v>
      </x:c>
      <x:c r="P23" s="12" t="str">
        <x:v>No</x:v>
      </x:c>
      <x:c r="Q23" s="12"/>
      <x:c r="R23" s="12"/>
    </x:row>
    <x:row r="24">
      <x:c r="A24" s="12" t="str">
        <x:v>EVD-00023</x:v>
      </x:c>
      <x:c r="B24" s="12" t="str">
        <x:v>NEED-0169</x:v>
      </x:c>
      <x:c r="C24" s="12" t="str">
        <x:v>SRC-0004</x:v>
      </x:c>
      <x:c r="D24" s="12" t="str">
        <x:v>Look into Globus as a possible tool for CDDIS to use (incl an SDK) for data transfers.</x:v>
      </x:c>
      <x:c r="E24" s="12" t="str">
        <x:v>Look into Globus as a possible tool for CDDIS to use (incl an SDK) for data transfers.</x:v>
      </x:c>
      <x:c r="F24" s="12" t="str">
        <x:v>Action</x:v>
      </x:c>
      <x:c r="G24" s="12" t="str">
        <x:v>CDDIS User Working Group</x:v>
      </x:c>
      <x:c r="H24" s="12" t="n">
        <x:v>2024</x:v>
      </x:c>
      <x:c r="I24" s="12" t="str">
        <x:v>Earthdata users</x:v>
      </x:c>
      <x:c r="J24" s="12" t="str">
        <x:v>Medium</x:v>
      </x:c>
      <x:c r="K24" s="16" t="n">
        <x:v>0.75</x:v>
      </x:c>
      <x:c r="L24" s="12" t="str">
        <x:v>LSA similarity cluster; human review pending</x:v>
      </x:c>
      <x:c r="M24" s="12" t="str">
        <x:v>Section: New Actions and Suggestions; table row 2</x:v>
      </x:c>
      <x:c r="N24" s="12" t="str"/>
      <x:c r="O24" s="12" t="str">
        <x:v>No</x:v>
      </x:c>
      <x:c r="P24" s="12" t="str">
        <x:v>No</x:v>
      </x:c>
      <x:c r="Q24" s="12"/>
      <x:c r="R24" s="12"/>
    </x:row>
    <x:row r="25">
      <x:c r="A25" s="12" t="str">
        <x:v>EVD-00024</x:v>
      </x:c>
      <x:c r="B25" s="12" t="str">
        <x:v>NEED-0189</x:v>
      </x:c>
      <x:c r="C25" s="12" t="str">
        <x:v>SRC-0004</x:v>
      </x:c>
      <x:c r="D25" s="12" t="str">
        <x:v>Geodetic community is looking for Time Series data. A tool is needed to find by location and time for single station. (SLR and VLBI).</x:v>
      </x:c>
      <x:c r="E25" s="12" t="str">
        <x:v>Geodetic community is looking for Time Series data. A tool is needed to find by location and time for single station. (SLR and VLBI).</x:v>
      </x:c>
      <x:c r="F25" s="12" t="str">
        <x:v>Action</x:v>
      </x:c>
      <x:c r="G25" s="12" t="str">
        <x:v>CDDIS User Working Group</x:v>
      </x:c>
      <x:c r="H25" s="12" t="n">
        <x:v>2024</x:v>
      </x:c>
      <x:c r="I25" s="12" t="str">
        <x:v>Earthdata users</x:v>
      </x:c>
      <x:c r="J25" s="12" t="str">
        <x:v>Medium</x:v>
      </x:c>
      <x:c r="K25" s="16" t="n">
        <x:v>0.75</x:v>
      </x:c>
      <x:c r="L25" s="12" t="str">
        <x:v>LSA similarity cluster; human review pending</x:v>
      </x:c>
      <x:c r="M25" s="12" t="str">
        <x:v>Section: New Actions and Suggestions; table row 4</x:v>
      </x:c>
      <x:c r="N25" s="12" t="str"/>
      <x:c r="O25" s="12" t="str">
        <x:v>No</x:v>
      </x:c>
      <x:c r="P25" s="12" t="str">
        <x:v>No</x:v>
      </x:c>
      <x:c r="Q25" s="12"/>
      <x:c r="R25" s="12"/>
    </x:row>
    <x:row r="26">
      <x:c r="A26" s="12" t="str">
        <x:v>EVD-00025</x:v>
      </x:c>
      <x:c r="B26" s="12" t="str">
        <x:v>NEED-0054</x:v>
      </x:c>
      <x:c r="C26" s="12" t="str">
        <x:v>SRC-0004</x:v>
      </x:c>
      <x:c r="D26" s="12" t="str">
        <x:v>Is the earthaccess Python library coming to CDDIS? It is keyed towards the CMR API and would be valuable to users.</x:v>
      </x:c>
      <x:c r="E26" s="12" t="str">
        <x:v>Is the earthaccess Python library coming to CDDIS? It is keyed towards the CMR API and would be valuable to users.</x:v>
      </x:c>
      <x:c r="F26" s="12" t="str">
        <x:v>Action</x:v>
      </x:c>
      <x:c r="G26" s="12" t="str">
        <x:v>CDDIS User Working Group</x:v>
      </x:c>
      <x:c r="H26" s="12" t="n">
        <x:v>2024</x:v>
      </x:c>
      <x:c r="I26" s="12" t="str">
        <x:v>Application developers</x:v>
      </x:c>
      <x:c r="J26" s="12" t="str">
        <x:v>Medium</x:v>
      </x:c>
      <x:c r="K26" s="16" t="n">
        <x:v>0.75</x:v>
      </x:c>
      <x:c r="L26" s="12" t="str">
        <x:v>LSA similarity cluster; human review pending</x:v>
      </x:c>
      <x:c r="M26" s="12" t="str">
        <x:v>Section: New Actions and Suggestions; table row 6</x:v>
      </x:c>
      <x:c r="N26" s="12" t="str"/>
      <x:c r="O26" s="12" t="str">
        <x:v>No</x:v>
      </x:c>
      <x:c r="P26" s="12" t="str">
        <x:v>No</x:v>
      </x:c>
      <x:c r="Q26" s="12"/>
      <x:c r="R26" s="12"/>
    </x:row>
    <x:row r="27">
      <x:c r="A27" s="12" t="str">
        <x:v>EVD-00026</x:v>
      </x:c>
      <x:c r="B27" s="12" t="str">
        <x:v>NEED-0116</x:v>
      </x:c>
      <x:c r="C27" s="12" t="str">
        <x:v>SRC-0004</x:v>
      </x:c>
      <x:c r="D27" s="12" t="str">
        <x:v>CDDIS could be a substantial contributor to Earth Science to Action (esp. real-time having great potential). There is value in messaging to the community.</x:v>
      </x:c>
      <x:c r="E27" s="12" t="str">
        <x:v>CDDIS could be a substantial contributor to Earth Science to Action (esp. real-time having great potential). There is value in messaging to the community.</x:v>
      </x:c>
      <x:c r="F27" s="12" t="str">
        <x:v>Action</x:v>
      </x:c>
      <x:c r="G27" s="12" t="str">
        <x:v>CDDIS User Working Group</x:v>
      </x:c>
      <x:c r="H27" s="12" t="n">
        <x:v>2024</x:v>
      </x:c>
      <x:c r="I27" s="12" t="str">
        <x:v>Earthdata users</x:v>
      </x:c>
      <x:c r="J27" s="12" t="str">
        <x:v>Medium</x:v>
      </x:c>
      <x:c r="K27" s="16" t="n">
        <x:v>0.55</x:v>
      </x:c>
      <x:c r="L27" s="12" t="str">
        <x:v>LSA similarity cluster; human review pending</x:v>
      </x:c>
      <x:c r="M27" s="12" t="str">
        <x:v>Section: New Actions and Suggestions; table row 8</x:v>
      </x:c>
      <x:c r="N27" s="12" t="str"/>
      <x:c r="O27" s="12" t="str">
        <x:v>No</x:v>
      </x:c>
      <x:c r="P27" s="12" t="str">
        <x:v>No</x:v>
      </x:c>
      <x:c r="Q27" s="12"/>
      <x:c r="R27" s="12"/>
    </x:row>
    <x:row r="28">
      <x:c r="A28" s="12" t="str">
        <x:v>EVD-00027</x:v>
      </x:c>
      <x:c r="B28" s="12" t="str">
        <x:v>NEED-0208</x:v>
      </x:c>
      <x:c r="C28" s="12" t="str">
        <x:v>SRC-0004</x:v>
      </x:c>
      <x:c r="D28" s="12" t="str">
        <x:v>Concern for adverse impact on GHRC user community with the wide array of rich content at GHRC.</x:v>
      </x:c>
      <x:c r="E28" s="12" t="str">
        <x:v>Concern for adverse impact on GHRC user community with the wide array of rich content at GHRC.</x:v>
      </x:c>
      <x:c r="F28" s="12" t="str">
        <x:v>Action</x:v>
      </x:c>
      <x:c r="G28" s="12" t="str">
        <x:v>GHRC DAAC User Working Group</x:v>
      </x:c>
      <x:c r="H28" s="12" t="n">
        <x:v>2024</x:v>
      </x:c>
      <x:c r="I28" s="12" t="str">
        <x:v>Earthdata users</x:v>
      </x:c>
      <x:c r="J28" s="12" t="str">
        <x:v>Medium</x:v>
      </x:c>
      <x:c r="K28" s="16" t="n">
        <x:v>0.75</x:v>
      </x:c>
      <x:c r="L28" s="12" t="str">
        <x:v>LSA similarity cluster; human review pending</x:v>
      </x:c>
      <x:c r="M28" s="12" t="str">
        <x:v>Section: New Actions and Recommendations; table row 2</x:v>
      </x:c>
      <x:c r="N28" s="12" t="str"/>
      <x:c r="O28" s="12" t="str">
        <x:v>No</x:v>
      </x:c>
      <x:c r="P28" s="12" t="str">
        <x:v>No</x:v>
      </x:c>
      <x:c r="Q28" s="12"/>
      <x:c r="R28" s="12"/>
    </x:row>
    <x:row r="29">
      <x:c r="A29" s="12" t="str">
        <x:v>EVD-00028</x:v>
      </x:c>
      <x:c r="B29" s="12" t="str">
        <x:v>NEED-0096</x:v>
      </x:c>
      <x:c r="C29" s="12" t="str">
        <x:v>SRC-0004</x:v>
      </x:c>
      <x:c r="D29" s="12" t="str">
        <x:v>GHRC should align its operations and development efforts accordingly to this strategy.</x:v>
      </x:c>
      <x:c r="E29" s="12" t="str">
        <x:v>GHRC should align its operations and development efforts accordingly to this strategy.</x:v>
      </x:c>
      <x:c r="F29" s="12" t="str">
        <x:v>Action</x:v>
      </x:c>
      <x:c r="G29" s="12" t="str">
        <x:v>GHRC DAAC User Working Group</x:v>
      </x:c>
      <x:c r="H29" s="12" t="n">
        <x:v>2024</x:v>
      </x:c>
      <x:c r="I29" s="12" t="str">
        <x:v>Earthdata users</x:v>
      </x:c>
      <x:c r="J29" s="12" t="str">
        <x:v>High</x:v>
      </x:c>
      <x:c r="K29" s="16" t="n">
        <x:v>0.75</x:v>
      </x:c>
      <x:c r="L29" s="12" t="str">
        <x:v>LSA similarity cluster; human review pending</x:v>
      </x:c>
      <x:c r="M29" s="12" t="str">
        <x:v>Section: New Actions and Recommendations; table row 4</x:v>
      </x:c>
      <x:c r="N29" s="12" t="str"/>
      <x:c r="O29" s="12" t="str">
        <x:v>No</x:v>
      </x:c>
      <x:c r="P29" s="12" t="str">
        <x:v>No</x:v>
      </x:c>
      <x:c r="Q29" s="12"/>
      <x:c r="R29" s="12"/>
    </x:row>
    <x:row r="30">
      <x:c r="A30" s="12" t="str">
        <x:v>EVD-00029</x:v>
      </x:c>
      <x:c r="B30" s="12" t="str">
        <x:v>NEED-0183</x:v>
      </x:c>
      <x:c r="C30" s="12" t="str">
        <x:v>SRC-0004</x:v>
      </x:c>
      <x:c r="D30" s="12" t="str">
        <x:v>GHRC needs to quantify the utility of its services, such as the Field Campaign Explorer (FCX).</x:v>
      </x:c>
      <x:c r="E30" s="12" t="str">
        <x:v>GHRC needs to quantify the utility of its services, such as the Field Campaign Explorer (FCX).</x:v>
      </x:c>
      <x:c r="F30" s="12" t="str">
        <x:v>Action</x:v>
      </x:c>
      <x:c r="G30" s="12" t="str">
        <x:v>GHRC DAAC User Working Group</x:v>
      </x:c>
      <x:c r="H30" s="12" t="n">
        <x:v>2024</x:v>
      </x:c>
      <x:c r="I30" s="12" t="str">
        <x:v>Earthdata users</x:v>
      </x:c>
      <x:c r="J30" s="12" t="str">
        <x:v>Medium</x:v>
      </x:c>
      <x:c r="K30" s="16" t="n">
        <x:v>0.55</x:v>
      </x:c>
      <x:c r="L30" s="12" t="str">
        <x:v>LSA similarity cluster; human review pending</x:v>
      </x:c>
      <x:c r="M30" s="12" t="str">
        <x:v>Section: New Actions and Recommendations; table row 6</x:v>
      </x:c>
      <x:c r="N30" s="12" t="str"/>
      <x:c r="O30" s="12" t="str">
        <x:v>No</x:v>
      </x:c>
      <x:c r="P30" s="12" t="str">
        <x:v>No</x:v>
      </x:c>
      <x:c r="Q30" s="12"/>
      <x:c r="R30" s="12"/>
    </x:row>
    <x:row r="31">
      <x:c r="A31" s="12" t="str">
        <x:v>EVD-00030</x:v>
      </x:c>
      <x:c r="B31" s="12" t="str">
        <x:v>NEED-0195</x:v>
      </x:c>
      <x:c r="C31" s="12" t="str">
        <x:v>SRC-0004</x:v>
      </x:c>
      <x:c r="D31" s="12" t="str">
        <x:v>Multiple new datasets and capabilities were added. GHRC should work with the user community to develop instructional webinars and examples.</x:v>
      </x:c>
      <x:c r="E31" s="12" t="str">
        <x:v>Multiple new datasets and capabilities were added. GHRC should work with the user community to develop instructional webinars and examples.</x:v>
      </x:c>
      <x:c r="F31" s="12" t="str">
        <x:v>Action</x:v>
      </x:c>
      <x:c r="G31" s="12" t="str">
        <x:v>GHRC DAAC User Working Group</x:v>
      </x:c>
      <x:c r="H31" s="12" t="n">
        <x:v>2024</x:v>
      </x:c>
      <x:c r="I31" s="12" t="str">
        <x:v>Earthdata users</x:v>
      </x:c>
      <x:c r="J31" s="12" t="str">
        <x:v>High</x:v>
      </x:c>
      <x:c r="K31" s="16" t="n">
        <x:v>0.75</x:v>
      </x:c>
      <x:c r="L31" s="12" t="str">
        <x:v>LSA similarity cluster; human review pending</x:v>
      </x:c>
      <x:c r="M31" s="12" t="str">
        <x:v>Section: New Actions and Recommendations; table row 8</x:v>
      </x:c>
      <x:c r="N31" s="12" t="str"/>
      <x:c r="O31" s="12" t="str">
        <x:v>No</x:v>
      </x:c>
      <x:c r="P31" s="12" t="str">
        <x:v>No</x:v>
      </x:c>
      <x:c r="Q31" s="12"/>
      <x:c r="R31" s="12"/>
    </x:row>
    <x:row r="32">
      <x:c r="A32" s="12" t="str">
        <x:v>EVD-00031</x:v>
      </x:c>
      <x:c r="B32" s="12" t="str">
        <x:v>NEED-0020</x:v>
      </x:c>
      <x:c r="C32" s="12" t="str">
        <x:v>SRC-0004</x:v>
      </x:c>
      <x:c r="D32" s="12" t="str">
        <x:v>The UWG strongly believes that FCX is a unique tool that can make complex NASA Earth Observation data more accessible. The GHRC should continue refining and adding capabilities to FCX with a goal of making it an institutional tool for exploring NASA’s Airborne and Field Data catalog.</x:v>
      </x:c>
      <x:c r="E32" s="12" t="str">
        <x:v>The UWG strongly believes that FCX is a unique tool that can make complex NASA Earth Observation data more accessible. The GHRC should continue refining and adding capabilities to FCX with a goal of making it an institutional tool for exploring NASA’s Airborne and Field Data catalog.</x:v>
      </x:c>
      <x:c r="F32" s="12" t="str">
        <x:v>Action</x:v>
      </x:c>
      <x:c r="G32" s="12" t="str">
        <x:v>GHRC DAAC User Working Group</x:v>
      </x:c>
      <x:c r="H32" s="12" t="n">
        <x:v>2024</x:v>
      </x:c>
      <x:c r="I32" s="12" t="str">
        <x:v>Earthdata users</x:v>
      </x:c>
      <x:c r="J32" s="12" t="str">
        <x:v>High</x:v>
      </x:c>
      <x:c r="K32" s="16" t="n">
        <x:v>0.75</x:v>
      </x:c>
      <x:c r="L32" s="12" t="str">
        <x:v>LSA similarity cluster; human review pending</x:v>
      </x:c>
      <x:c r="M32" s="12" t="str">
        <x:v>Section: New Actions and Recommendations; table row 10</x:v>
      </x:c>
      <x:c r="N32" s="12" t="str"/>
      <x:c r="O32" s="12" t="str">
        <x:v>No</x:v>
      </x:c>
      <x:c r="P32" s="12" t="str">
        <x:v>No</x:v>
      </x:c>
      <x:c r="Q32" s="12"/>
      <x:c r="R32" s="12"/>
    </x:row>
    <x:row r="33">
      <x:c r="A33" s="12" t="str">
        <x:v>EVD-00032</x:v>
      </x:c>
      <x:c r="B33" s="12" t="str">
        <x:v>NEED-0077</x:v>
      </x:c>
      <x:c r="C33" s="12" t="str">
        <x:v>SRC-0004</x:v>
      </x:c>
      <x:c r="D33" s="12" t="str">
        <x:v>The process to publish an approved dataset needs to become more efficient.</x:v>
      </x:c>
      <x:c r="E33" s="12" t="str">
        <x:v>The process to publish an approved dataset needs to become more efficient.</x:v>
      </x:c>
      <x:c r="F33" s="12" t="str">
        <x:v>Action</x:v>
      </x:c>
      <x:c r="G33" s="12" t="str">
        <x:v>GHRC DAAC User Working Group</x:v>
      </x:c>
      <x:c r="H33" s="12" t="n">
        <x:v>2024</x:v>
      </x:c>
      <x:c r="I33" s="12" t="str">
        <x:v>Earthdata users</x:v>
      </x:c>
      <x:c r="J33" s="12" t="str">
        <x:v>Medium</x:v>
      </x:c>
      <x:c r="K33" s="16" t="n">
        <x:v>0.75</x:v>
      </x:c>
      <x:c r="L33" s="12" t="str">
        <x:v>LSA similarity cluster; human review pending</x:v>
      </x:c>
      <x:c r="M33" s="12" t="str">
        <x:v>Section: New Actions and Recommendations; table row 14</x:v>
      </x:c>
      <x:c r="N33" s="12" t="str"/>
      <x:c r="O33" s="12" t="str">
        <x:v>No</x:v>
      </x:c>
      <x:c r="P33" s="12" t="str">
        <x:v>No</x:v>
      </x:c>
      <x:c r="Q33" s="12"/>
      <x:c r="R33" s="12"/>
    </x:row>
    <x:row r="34">
      <x:c r="A34" s="12" t="str">
        <x:v>EVD-00033</x:v>
      </x:c>
      <x:c r="B34" s="12" t="str">
        <x:v>NEED-0077</x:v>
      </x:c>
      <x:c r="C34" s="12" t="str">
        <x:v>SRC-0004</x:v>
      </x:c>
      <x:c r="D34" s="12" t="str">
        <x:v>The new actions and recommendations from UWG members are summarized below into twelve broad topics. These recommendations are organized into two categories: the first category focuses on the flow of information to ESDIS management, and the second category involves initiatives that GES DISC will undertake or develop.</x:v>
      </x:c>
      <x:c r="E34" s="12" t="str">
        <x:v>The new actions and recommendations from UWG members are summarized below into twelve broad topics. These recommendations are organized into two categories: the first category focuses on the flow of information to ESDIS management, and the second category involves initiatives that GES DISC will undertake or develop.</x:v>
      </x:c>
      <x:c r="F34" s="12" t="str">
        <x:v>Action</x:v>
      </x:c>
      <x:c r="G34" s="12" t="str">
        <x:v>GES DISC User Working Group</x:v>
      </x:c>
      <x:c r="H34" s="12" t="n">
        <x:v>2024</x:v>
      </x:c>
      <x:c r="I34" s="12" t="str">
        <x:v>Earthdata users</x:v>
      </x:c>
      <x:c r="J34" s="12" t="str">
        <x:v>High</x:v>
      </x:c>
      <x:c r="K34" s="16" t="n">
        <x:v>0.75</x:v>
      </x:c>
      <x:c r="L34" s="12" t="str">
        <x:v>LSA similarity cluster; human review pending</x:v>
      </x:c>
      <x:c r="M34" s="12" t="str">
        <x:v>Section: New Actions and Recommendations</x:v>
      </x:c>
      <x:c r="N34" s="12" t="str"/>
      <x:c r="O34" s="12" t="str">
        <x:v>No</x:v>
      </x:c>
      <x:c r="P34" s="12" t="str">
        <x:v>No</x:v>
      </x:c>
      <x:c r="Q34" s="12"/>
      <x:c r="R34" s="12"/>
    </x:row>
    <x:row r="35">
      <x:c r="A35" s="12" t="str">
        <x:v>EVD-00034</x:v>
      </x:c>
      <x:c r="B35" s="12" t="str">
        <x:v>NEED-0004</x:v>
      </x:c>
      <x:c r="C35" s="12" t="str">
        <x:v>SRC-0004</x:v>
      </x:c>
      <x:c r="D35" s="12" t="str">
        <x:v>Publish cloud adoption rate.</x:v>
      </x:c>
      <x:c r="E35" s="12" t="str">
        <x:v>Publish cloud adoption rate.</x:v>
      </x:c>
      <x:c r="F35" s="12" t="str">
        <x:v>Action</x:v>
      </x:c>
      <x:c r="G35" s="12" t="str">
        <x:v>GES DISC User Working Group</x:v>
      </x:c>
      <x:c r="H35" s="12" t="n">
        <x:v>2024</x:v>
      </x:c>
      <x:c r="I35" s="12" t="str">
        <x:v>Cloud-native researchers</x:v>
      </x:c>
      <x:c r="J35" s="12" t="str">
        <x:v>Medium</x:v>
      </x:c>
      <x:c r="K35" s="16" t="n">
        <x:v>0.75</x:v>
      </x:c>
      <x:c r="L35" s="12" t="str">
        <x:v>LSA similarity cluster; human review pending</x:v>
      </x:c>
      <x:c r="M35" s="12" t="str">
        <x:v>Section: New Actions and Recommendations; table row 2</x:v>
      </x:c>
      <x:c r="N35" s="12" t="str"/>
      <x:c r="O35" s="12" t="str">
        <x:v>No</x:v>
      </x:c>
      <x:c r="P35" s="12" t="str">
        <x:v>No</x:v>
      </x:c>
      <x:c r="Q35" s="12"/>
      <x:c r="R35" s="12"/>
    </x:row>
    <x:row r="36">
      <x:c r="A36" s="12" t="str">
        <x:v>EVD-00035</x:v>
      </x:c>
      <x:c r="B36" s="12" t="str">
        <x:v>NEED-0085</x:v>
      </x:c>
      <x:c r="C36" s="12" t="str">
        <x:v>SRC-0004</x:v>
      </x:c>
      <x:c r="D36" s="12" t="str">
        <x:v>Publish pros and cons of using Zarr stores.</x:v>
      </x:c>
      <x:c r="E36" s="12" t="str">
        <x:v>Publish pros and cons of using Zarr stores.</x:v>
      </x:c>
      <x:c r="F36" s="12" t="str">
        <x:v>Action</x:v>
      </x:c>
      <x:c r="G36" s="12" t="str">
        <x:v>GES DISC User Working Group</x:v>
      </x:c>
      <x:c r="H36" s="12" t="n">
        <x:v>2024</x:v>
      </x:c>
      <x:c r="I36" s="12" t="str">
        <x:v>Earthdata users</x:v>
      </x:c>
      <x:c r="J36" s="12" t="str">
        <x:v>Medium</x:v>
      </x:c>
      <x:c r="K36" s="16" t="n">
        <x:v>0.75</x:v>
      </x:c>
      <x:c r="L36" s="12" t="str">
        <x:v>LSA similarity cluster; human review pending</x:v>
      </x:c>
      <x:c r="M36" s="12" t="str">
        <x:v>Section: New Actions and Recommendations; table row 4</x:v>
      </x:c>
      <x:c r="N36" s="12" t="str"/>
      <x:c r="O36" s="12" t="str">
        <x:v>No</x:v>
      </x:c>
      <x:c r="P36" s="12" t="str">
        <x:v>No</x:v>
      </x:c>
      <x:c r="Q36" s="12"/>
      <x:c r="R36" s="12"/>
    </x:row>
    <x:row r="37">
      <x:c r="A37" s="12" t="str">
        <x:v>EVD-00036</x:v>
      </x:c>
      <x:c r="B37" s="12" t="str">
        <x:v>NEED-0017</x:v>
      </x:c>
      <x:c r="C37" s="12" t="str">
        <x:v>SRC-0004</x:v>
      </x:c>
      <x:c r="D37" s="12" t="str">
        <x:v>UWG members were disappointed by the lack of cloud computing space for researchers (similar to Cloud Playground).</x:v>
      </x:c>
      <x:c r="E37" s="12" t="str">
        <x:v>UWG members were disappointed by the lack of cloud computing space for researchers (similar to Cloud Playground).</x:v>
      </x:c>
      <x:c r="F37" s="12" t="str">
        <x:v>Action</x:v>
      </x:c>
      <x:c r="G37" s="12" t="str">
        <x:v>GES DISC User Working Group</x:v>
      </x:c>
      <x:c r="H37" s="12" t="n">
        <x:v>2024</x:v>
      </x:c>
      <x:c r="I37" s="12" t="str">
        <x:v>Cloud-native researchers; Earth science researchers</x:v>
      </x:c>
      <x:c r="J37" s="12" t="str">
        <x:v>Medium</x:v>
      </x:c>
      <x:c r="K37" s="16" t="n">
        <x:v>0.75</x:v>
      </x:c>
      <x:c r="L37" s="12" t="str">
        <x:v>LSA similarity cluster; human review pending</x:v>
      </x:c>
      <x:c r="M37" s="12" t="str">
        <x:v>Section: New Actions and Recommendations; table row 5</x:v>
      </x:c>
      <x:c r="N37" s="12" t="str"/>
      <x:c r="O37" s="12" t="str">
        <x:v>No</x:v>
      </x:c>
      <x:c r="P37" s="12" t="str">
        <x:v>No</x:v>
      </x:c>
      <x:c r="Q37" s="12"/>
      <x:c r="R37" s="12"/>
    </x:row>
    <x:row r="38">
      <x:c r="A38" s="12" t="str">
        <x:v>EVD-00037</x:v>
      </x:c>
      <x:c r="B38" s="12" t="str">
        <x:v>NEED-0170</x:v>
      </x:c>
      <x:c r="C38" s="12" t="str">
        <x:v>SRC-0004</x:v>
      </x:c>
      <x:c r="D38" s="12" t="str">
        <x:v>Earthdata Login (EDL) authentication needs to be clear for applications. Adding specific applications and authenticating each of them manually is not efficient. This was failing/confusing new users.</x:v>
      </x:c>
      <x:c r="E38" s="12" t="str">
        <x:v>Earthdata Login (EDL) authentication needs to be clear for applications. Adding specific applications and authenticating each of them manually is not efficient. This was failing/confusing new users.</x:v>
      </x:c>
      <x:c r="F38" s="12" t="str">
        <x:v>Action</x:v>
      </x:c>
      <x:c r="G38" s="12" t="str">
        <x:v>GES DISC User Working Group</x:v>
      </x:c>
      <x:c r="H38" s="12" t="n">
        <x:v>2024</x:v>
      </x:c>
      <x:c r="I38" s="12" t="str">
        <x:v>New and occasional users</x:v>
      </x:c>
      <x:c r="J38" s="12" t="str">
        <x:v>Medium</x:v>
      </x:c>
      <x:c r="K38" s="16" t="n">
        <x:v>0.75</x:v>
      </x:c>
      <x:c r="L38" s="12" t="str">
        <x:v>LSA similarity cluster; human review pending</x:v>
      </x:c>
      <x:c r="M38" s="12" t="str">
        <x:v>Section: New Actions and Recommendations; table row 7</x:v>
      </x:c>
      <x:c r="N38" s="12" t="str"/>
      <x:c r="O38" s="12" t="str">
        <x:v>No</x:v>
      </x:c>
      <x:c r="P38" s="12" t="str">
        <x:v>No</x:v>
      </x:c>
      <x:c r="Q38" s="12"/>
      <x:c r="R38" s="12"/>
    </x:row>
    <x:row r="39">
      <x:c r="A39" s="12" t="str">
        <x:v>EVD-00038</x:v>
      </x:c>
      <x:c r="B39" s="12" t="str">
        <x:v>NEED-0040</x:v>
      </x:c>
      <x:c r="C39" s="12" t="str">
        <x:v>SRC-0004</x:v>
      </x:c>
      <x:c r="D39" s="12" t="str">
        <x:v>In the Level 2 Subsetter, make sure to inform users to use quality flag.</x:v>
      </x:c>
      <x:c r="E39" s="12" t="str">
        <x:v>In the Level 2 Subsetter, make sure to inform users to use quality flag.</x:v>
      </x:c>
      <x:c r="F39" s="12" t="str">
        <x:v>Action</x:v>
      </x:c>
      <x:c r="G39" s="12" t="str">
        <x:v>GES DISC User Working Group</x:v>
      </x:c>
      <x:c r="H39" s="12" t="n">
        <x:v>2024</x:v>
      </x:c>
      <x:c r="I39" s="12" t="str">
        <x:v>Earthdata users</x:v>
      </x:c>
      <x:c r="J39" s="12" t="str">
        <x:v>Medium</x:v>
      </x:c>
      <x:c r="K39" s="16" t="n">
        <x:v>0.75</x:v>
      </x:c>
      <x:c r="L39" s="12" t="str">
        <x:v>LSA similarity cluster; human review pending</x:v>
      </x:c>
      <x:c r="M39" s="12" t="str">
        <x:v>Section: New Actions and Recommendations; table row 8</x:v>
      </x:c>
      <x:c r="N39" s="12" t="str"/>
      <x:c r="O39" s="12" t="str">
        <x:v>No</x:v>
      </x:c>
      <x:c r="P39" s="12" t="str">
        <x:v>No</x:v>
      </x:c>
      <x:c r="Q39" s="12"/>
      <x:c r="R39" s="12"/>
    </x:row>
    <x:row r="40">
      <x:c r="A40" s="12" t="str">
        <x:v>EVD-00039</x:v>
      </x:c>
      <x:c r="B40" s="12" t="str">
        <x:v>NEED-0134</x:v>
      </x:c>
      <x:c r="C40" s="12" t="str">
        <x:v>SRC-0004</x:v>
      </x:c>
      <x:c r="D40" s="12" t="str">
        <x:v>Earthdata Forum should have ability to upvote/downvote and moderation for the best answers.</x:v>
      </x:c>
      <x:c r="E40" s="12" t="str">
        <x:v>Earthdata Forum should have ability to upvote/downvote and moderation for the best answers.</x:v>
      </x:c>
      <x:c r="F40" s="12" t="str">
        <x:v>Action</x:v>
      </x:c>
      <x:c r="G40" s="12" t="str">
        <x:v>GES DISC User Working Group</x:v>
      </x:c>
      <x:c r="H40" s="12" t="n">
        <x:v>2024</x:v>
      </x:c>
      <x:c r="I40" s="12" t="str">
        <x:v>Earthdata users</x:v>
      </x:c>
      <x:c r="J40" s="12" t="str">
        <x:v>High</x:v>
      </x:c>
      <x:c r="K40" s="16" t="n">
        <x:v>0.75</x:v>
      </x:c>
      <x:c r="L40" s="12" t="str">
        <x:v>LSA similarity cluster; human review pending</x:v>
      </x:c>
      <x:c r="M40" s="12" t="str">
        <x:v>Section: New Actions and Recommendations; table row 10</x:v>
      </x:c>
      <x:c r="N40" s="12" t="str"/>
      <x:c r="O40" s="12" t="str">
        <x:v>No</x:v>
      </x:c>
      <x:c r="P40" s="12" t="str">
        <x:v>No</x:v>
      </x:c>
      <x:c r="Q40" s="12"/>
      <x:c r="R40" s="12"/>
    </x:row>
    <x:row r="41">
      <x:c r="A41" s="12" t="str">
        <x:v>EVD-00040</x:v>
      </x:c>
      <x:c r="B41" s="12" t="str">
        <x:v>NEED-0134</x:v>
      </x:c>
      <x:c r="C41" s="12" t="str">
        <x:v>SRC-0004</x:v>
      </x:c>
      <x:c r="D41" s="12" t="str">
        <x:v>Internal chat feature in Earthdata Forum for SMEs or moderators/contributors.</x:v>
      </x:c>
      <x:c r="E41" s="12" t="str">
        <x:v>Internal chat feature in Earthdata Forum for SMEs or moderators/contributors.</x:v>
      </x:c>
      <x:c r="F41" s="12" t="str">
        <x:v>Action</x:v>
      </x:c>
      <x:c r="G41" s="12" t="str">
        <x:v>GES DISC User Working Group</x:v>
      </x:c>
      <x:c r="H41" s="12" t="n">
        <x:v>2024</x:v>
      </x:c>
      <x:c r="I41" s="12" t="str">
        <x:v>Earthdata users</x:v>
      </x:c>
      <x:c r="J41" s="12" t="str">
        <x:v>Medium</x:v>
      </x:c>
      <x:c r="K41" s="16" t="n">
        <x:v>0.75</x:v>
      </x:c>
      <x:c r="L41" s="12" t="str">
        <x:v>LSA similarity cluster; human review pending</x:v>
      </x:c>
      <x:c r="M41" s="12" t="str">
        <x:v>Section: New Actions and Recommendations; table row 11</x:v>
      </x:c>
      <x:c r="N41" s="12" t="str"/>
      <x:c r="O41" s="12" t="str">
        <x:v>No</x:v>
      </x:c>
      <x:c r="P41" s="12" t="str">
        <x:v>No</x:v>
      </x:c>
      <x:c r="Q41" s="12"/>
      <x:c r="R41" s="12"/>
    </x:row>
    <x:row r="42">
      <x:c r="A42" s="12" t="str">
        <x:v>EVD-00041</x:v>
      </x:c>
      <x:c r="B42" s="12" t="str">
        <x:v>NEED-0134</x:v>
      </x:c>
      <x:c r="C42" s="12" t="str">
        <x:v>SRC-0004</x:v>
      </x:c>
      <x:c r="D42" s="12" t="str">
        <x:v>Add a new filter called "Earth Action Programs" in Earthdata Forum.</x:v>
      </x:c>
      <x:c r="E42" s="12" t="str">
        <x:v>Add a new filter called "Earth Action Programs" in Earthdata Forum.</x:v>
      </x:c>
      <x:c r="F42" s="12" t="str">
        <x:v>Action</x:v>
      </x:c>
      <x:c r="G42" s="12" t="str">
        <x:v>GES DISC User Working Group</x:v>
      </x:c>
      <x:c r="H42" s="12" t="n">
        <x:v>2024</x:v>
      </x:c>
      <x:c r="I42" s="12" t="str">
        <x:v>Earthdata users</x:v>
      </x:c>
      <x:c r="J42" s="12" t="str">
        <x:v>Medium</x:v>
      </x:c>
      <x:c r="K42" s="16" t="n">
        <x:v>0.75</x:v>
      </x:c>
      <x:c r="L42" s="12" t="str">
        <x:v>LSA similarity cluster; human review pending</x:v>
      </x:c>
      <x:c r="M42" s="12" t="str">
        <x:v>Section: New Actions and Recommendations; table row 12</x:v>
      </x:c>
      <x:c r="N42" s="12" t="str"/>
      <x:c r="O42" s="12" t="str">
        <x:v>No</x:v>
      </x:c>
      <x:c r="P42" s="12" t="str">
        <x:v>No</x:v>
      </x:c>
      <x:c r="Q42" s="12"/>
      <x:c r="R42" s="12"/>
    </x:row>
    <x:row r="43">
      <x:c r="A43" s="12" t="str">
        <x:v>EVD-00042</x:v>
      </x:c>
      <x:c r="B43" s="12" t="str">
        <x:v>NEED-0134</x:v>
      </x:c>
      <x:c r="C43" s="12" t="str">
        <x:v>SRC-0004</x:v>
      </x:c>
      <x:c r="D43" s="12" t="str">
        <x:v>Extend the ticket-to-FAQ process to other GES DISC missions and post them in Earthdata Forum.</x:v>
      </x:c>
      <x:c r="E43" s="12" t="str">
        <x:v>Extend the ticket-to-FAQ process to other GES DISC missions and post them in Earthdata Forum.</x:v>
      </x:c>
      <x:c r="F43" s="12" t="str">
        <x:v>Action</x:v>
      </x:c>
      <x:c r="G43" s="12" t="str">
        <x:v>GES DISC User Working Group</x:v>
      </x:c>
      <x:c r="H43" s="12" t="n">
        <x:v>2024</x:v>
      </x:c>
      <x:c r="I43" s="12" t="str">
        <x:v>Data producers and mission teams</x:v>
      </x:c>
      <x:c r="J43" s="12" t="str">
        <x:v>Medium</x:v>
      </x:c>
      <x:c r="K43" s="16" t="n">
        <x:v>0.75</x:v>
      </x:c>
      <x:c r="L43" s="12" t="str">
        <x:v>LSA similarity cluster; human review pending</x:v>
      </x:c>
      <x:c r="M43" s="12" t="str">
        <x:v>Section: New Actions and Recommendations; table row 13</x:v>
      </x:c>
      <x:c r="N43" s="12" t="str"/>
      <x:c r="O43" s="12" t="str">
        <x:v>No</x:v>
      </x:c>
      <x:c r="P43" s="12" t="str">
        <x:v>No</x:v>
      </x:c>
      <x:c r="Q43" s="12"/>
      <x:c r="R43" s="12"/>
    </x:row>
    <x:row r="44">
      <x:c r="A44" s="12" t="str">
        <x:v>EVD-00043</x:v>
      </x:c>
      <x:c r="B44" s="12" t="str">
        <x:v>NEED-0123</x:v>
      </x:c>
      <x:c r="C44" s="12" t="str">
        <x:v>SRC-0004</x:v>
      </x:c>
      <x:c r="D44" s="12" t="str">
        <x:v>Provide guidance on how UWG members should review the community data.</x:v>
      </x:c>
      <x:c r="E44" s="12" t="str">
        <x:v>Provide guidance on how UWG members should review the community data.</x:v>
      </x:c>
      <x:c r="F44" s="12" t="str">
        <x:v>Action</x:v>
      </x:c>
      <x:c r="G44" s="12" t="str">
        <x:v>GES DISC User Working Group</x:v>
      </x:c>
      <x:c r="H44" s="12" t="n">
        <x:v>2024</x:v>
      </x:c>
      <x:c r="I44" s="12" t="str">
        <x:v>Earthdata users</x:v>
      </x:c>
      <x:c r="J44" s="12" t="str">
        <x:v>High</x:v>
      </x:c>
      <x:c r="K44" s="16" t="n">
        <x:v>0.75</x:v>
      </x:c>
      <x:c r="L44" s="12" t="str">
        <x:v>LSA similarity cluster; human review pending</x:v>
      </x:c>
      <x:c r="M44" s="12" t="str">
        <x:v>Section: New Actions and Recommendations; table row 15</x:v>
      </x:c>
      <x:c r="N44" s="12" t="str"/>
      <x:c r="O44" s="12" t="str">
        <x:v>No</x:v>
      </x:c>
      <x:c r="P44" s="12" t="str">
        <x:v>No</x:v>
      </x:c>
      <x:c r="Q44" s="12"/>
      <x:c r="R44" s="12"/>
    </x:row>
    <x:row r="45">
      <x:c r="A45" s="12" t="str">
        <x:v>EVD-00044</x:v>
      </x:c>
      <x:c r="B45" s="12" t="str">
        <x:v>NEED-0126</x:v>
      </x:c>
      <x:c r="C45" s="12" t="str">
        <x:v>SRC-0004</x:v>
      </x:c>
      <x:c r="D45" s="12" t="str">
        <x:v>How are we, as a DAAC, building trust with users?</x:v>
      </x:c>
      <x:c r="E45" s="12" t="str">
        <x:v>How are we, as a DAAC, building trust with users?</x:v>
      </x:c>
      <x:c r="F45" s="12" t="str">
        <x:v>Action</x:v>
      </x:c>
      <x:c r="G45" s="12" t="str">
        <x:v>GES DISC User Working Group</x:v>
      </x:c>
      <x:c r="H45" s="12" t="n">
        <x:v>2024</x:v>
      </x:c>
      <x:c r="I45" s="12" t="str">
        <x:v>Earthdata users</x:v>
      </x:c>
      <x:c r="J45" s="12" t="str">
        <x:v>Medium</x:v>
      </x:c>
      <x:c r="K45" s="16" t="n">
        <x:v>0.75</x:v>
      </x:c>
      <x:c r="L45" s="12" t="str">
        <x:v>LSA similarity cluster; human review pending</x:v>
      </x:c>
      <x:c r="M45" s="12" t="str">
        <x:v>Section: New Actions and Recommendations; table row 17</x:v>
      </x:c>
      <x:c r="N45" s="12" t="str"/>
      <x:c r="O45" s="12" t="str">
        <x:v>No</x:v>
      </x:c>
      <x:c r="P45" s="12" t="str">
        <x:v>No</x:v>
      </x:c>
      <x:c r="Q45" s="12"/>
      <x:c r="R45" s="12"/>
    </x:row>
    <x:row r="46">
      <x:c r="A46" s="12" t="str">
        <x:v>EVD-00045</x:v>
      </x:c>
      <x:c r="B46" s="12" t="str">
        <x:v>NEED-0119</x:v>
      </x:c>
      <x:c r="C46" s="12" t="str">
        <x:v>SRC-0004</x:v>
      </x:c>
      <x:c r="D46" s="12" t="str">
        <x:v>Statistics calculations and reporting in Giovanni would be a helpful capability.</x:v>
      </x:c>
      <x:c r="E46" s="12" t="str">
        <x:v>Statistics calculations and reporting in Giovanni would be a helpful capability.</x:v>
      </x:c>
      <x:c r="F46" s="12" t="str">
        <x:v>Action</x:v>
      </x:c>
      <x:c r="G46" s="12" t="str">
        <x:v>GES DISC User Working Group</x:v>
      </x:c>
      <x:c r="H46" s="12" t="n">
        <x:v>2024</x:v>
      </x:c>
      <x:c r="I46" s="12" t="str">
        <x:v>Earthdata users</x:v>
      </x:c>
      <x:c r="J46" s="12" t="str">
        <x:v>Medium</x:v>
      </x:c>
      <x:c r="K46" s="16" t="n">
        <x:v>0.75</x:v>
      </x:c>
      <x:c r="L46" s="12" t="str">
        <x:v>LSA similarity cluster; human review pending</x:v>
      </x:c>
      <x:c r="M46" s="12" t="str">
        <x:v>Section: New Actions and Recommendations; table row 19</x:v>
      </x:c>
      <x:c r="N46" s="12" t="str"/>
      <x:c r="O46" s="12" t="str">
        <x:v>No</x:v>
      </x:c>
      <x:c r="P46" s="12" t="str">
        <x:v>No</x:v>
      </x:c>
      <x:c r="Q46" s="12"/>
      <x:c r="R46" s="12"/>
    </x:row>
    <x:row r="47">
      <x:c r="A47" s="12" t="str">
        <x:v>EVD-00046</x:v>
      </x:c>
      <x:c r="B47" s="12" t="str">
        <x:v>NEED-0080</x:v>
      </x:c>
      <x:c r="C47" s="12" t="str">
        <x:v>SRC-0004</x:v>
      </x:c>
      <x:c r="D47" s="12" t="str">
        <x:v>How are datasets for the variables in entry-level Giovanni UI selected?</x:v>
      </x:c>
      <x:c r="E47" s="12" t="str">
        <x:v>How are datasets for the variables in entry-level Giovanni UI selected?</x:v>
      </x:c>
      <x:c r="F47" s="12" t="str">
        <x:v>Action</x:v>
      </x:c>
      <x:c r="G47" s="12" t="str">
        <x:v>GES DISC User Working Group</x:v>
      </x:c>
      <x:c r="H47" s="12" t="n">
        <x:v>2024</x:v>
      </x:c>
      <x:c r="I47" s="12" t="str">
        <x:v>Earthdata users</x:v>
      </x:c>
      <x:c r="J47" s="12" t="str">
        <x:v>Medium</x:v>
      </x:c>
      <x:c r="K47" s="16" t="n">
        <x:v>0.75</x:v>
      </x:c>
      <x:c r="L47" s="12" t="str">
        <x:v>LSA similarity cluster; human review pending</x:v>
      </x:c>
      <x:c r="M47" s="12" t="str">
        <x:v>Section: New Actions and Recommendations; table row 20</x:v>
      </x:c>
      <x:c r="N47" s="12" t="str"/>
      <x:c r="O47" s="12" t="str">
        <x:v>No</x:v>
      </x:c>
      <x:c r="P47" s="12" t="str">
        <x:v>No</x:v>
      </x:c>
      <x:c r="Q47" s="12"/>
      <x:c r="R47" s="12"/>
    </x:row>
    <x:row r="48">
      <x:c r="A48" s="12" t="str">
        <x:v>EVD-00047</x:v>
      </x:c>
      <x:c r="B48" s="12" t="str">
        <x:v>NEED-0175</x:v>
      </x:c>
      <x:c r="C48" s="12" t="str">
        <x:v>SRC-0004</x:v>
      </x:c>
      <x:c r="D48" s="12" t="str">
        <x:v>Unclear on what prerequisites exist for using GIS (image service) and on GIS license requirement.</x:v>
      </x:c>
      <x:c r="E48" s="12" t="str">
        <x:v>Unclear on what prerequisites exist for using GIS (image service) and on GIS license requirement.</x:v>
      </x:c>
      <x:c r="F48" s="12" t="str">
        <x:v>Action</x:v>
      </x:c>
      <x:c r="G48" s="12" t="str">
        <x:v>GES DISC User Working Group</x:v>
      </x:c>
      <x:c r="H48" s="12" t="n">
        <x:v>2024</x:v>
      </x:c>
      <x:c r="I48" s="12" t="str">
        <x:v>GIS users</x:v>
      </x:c>
      <x:c r="J48" s="12" t="str">
        <x:v>Medium</x:v>
      </x:c>
      <x:c r="K48" s="16" t="n">
        <x:v>0.75</x:v>
      </x:c>
      <x:c r="L48" s="12" t="str">
        <x:v>LSA similarity cluster; human review pending</x:v>
      </x:c>
      <x:c r="M48" s="12" t="str">
        <x:v>Section: New Actions and Recommendations; table row 22</x:v>
      </x:c>
      <x:c r="N48" s="12" t="str"/>
      <x:c r="O48" s="12" t="str">
        <x:v>No</x:v>
      </x:c>
      <x:c r="P48" s="12" t="str">
        <x:v>No</x:v>
      </x:c>
      <x:c r="Q48" s="12"/>
      <x:c r="R48" s="12"/>
    </x:row>
    <x:row r="49">
      <x:c r="A49" s="12" t="str">
        <x:v>EVD-00048</x:v>
      </x:c>
      <x:c r="B49" s="12" t="str">
        <x:v>NEED-0074</x:v>
      </x:c>
      <x:c r="C49" s="12" t="str">
        <x:v>SRC-0004</x:v>
      </x:c>
      <x:c r="D49" s="12" t="str">
        <x:v>Provide publication-dataset metrics to data providers.</x:v>
      </x:c>
      <x:c r="E49" s="12" t="str">
        <x:v>Provide publication-dataset metrics to data providers.</x:v>
      </x:c>
      <x:c r="F49" s="12" t="str">
        <x:v>Action</x:v>
      </x:c>
      <x:c r="G49" s="12" t="str">
        <x:v>GES DISC User Working Group</x:v>
      </x:c>
      <x:c r="H49" s="12" t="n">
        <x:v>2024</x:v>
      </x:c>
      <x:c r="I49" s="12" t="str">
        <x:v>Data producers and mission teams</x:v>
      </x:c>
      <x:c r="J49" s="12" t="str">
        <x:v>High</x:v>
      </x:c>
      <x:c r="K49" s="16" t="n">
        <x:v>0.75</x:v>
      </x:c>
      <x:c r="L49" s="12" t="str">
        <x:v>LSA similarity cluster; human review pending</x:v>
      </x:c>
      <x:c r="M49" s="12" t="str">
        <x:v>Section: New Actions and Recommendations; table row 24</x:v>
      </x:c>
      <x:c r="N49" s="12" t="str"/>
      <x:c r="O49" s="12" t="str">
        <x:v>No</x:v>
      </x:c>
      <x:c r="P49" s="12" t="str">
        <x:v>No</x:v>
      </x:c>
      <x:c r="Q49" s="12"/>
      <x:c r="R49" s="12"/>
    </x:row>
    <x:row r="50">
      <x:c r="A50" s="12" t="str">
        <x:v>EVD-00049</x:v>
      </x:c>
      <x:c r="B50" s="12" t="str">
        <x:v>NEED-0187</x:v>
      </x:c>
      <x:c r="C50" s="12" t="str">
        <x:v>SRC-0004</x:v>
      </x:c>
      <x:c r="D50" s="12" t="str">
        <x:v>UWG suggested Giovanni to be an Enterprise tool.</x:v>
      </x:c>
      <x:c r="E50" s="12" t="str">
        <x:v>UWG suggested Giovanni to be an Enterprise tool.</x:v>
      </x:c>
      <x:c r="F50" s="12" t="str">
        <x:v>Action</x:v>
      </x:c>
      <x:c r="G50" s="12" t="str">
        <x:v>GES DISC User Working Group</x:v>
      </x:c>
      <x:c r="H50" s="12" t="n">
        <x:v>2024</x:v>
      </x:c>
      <x:c r="I50" s="12" t="str">
        <x:v>Earthdata users</x:v>
      </x:c>
      <x:c r="J50" s="12" t="str">
        <x:v>Medium</x:v>
      </x:c>
      <x:c r="K50" s="16" t="n">
        <x:v>0.75</x:v>
      </x:c>
      <x:c r="L50" s="12" t="str">
        <x:v>LSA similarity cluster; human review pending</x:v>
      </x:c>
      <x:c r="M50" s="12" t="str">
        <x:v>Section: New Actions and Recommendations; table row 26</x:v>
      </x:c>
      <x:c r="N50" s="12" t="str"/>
      <x:c r="O50" s="12" t="str">
        <x:v>No</x:v>
      </x:c>
      <x:c r="P50" s="12" t="str">
        <x:v>No</x:v>
      </x:c>
      <x:c r="Q50" s="12"/>
      <x:c r="R50" s="12"/>
    </x:row>
    <x:row r="51">
      <x:c r="A51" s="12" t="str">
        <x:v>EVD-00050</x:v>
      </x:c>
      <x:c r="B51" s="12" t="str">
        <x:v>NEED-0123</x:v>
      </x:c>
      <x:c r="C51" s="12" t="str">
        <x:v>SRC-0004</x:v>
      </x:c>
      <x:c r="D51" s="12" t="str">
        <x:v>UWG members suggest keeping GrADS and THREDDS servers.</x:v>
      </x:c>
      <x:c r="E51" s="12" t="str">
        <x:v>UWG members suggest keeping GrADS and THREDDS servers.</x:v>
      </x:c>
      <x:c r="F51" s="12" t="str">
        <x:v>Action</x:v>
      </x:c>
      <x:c r="G51" s="12" t="str">
        <x:v>GES DISC User Working Group</x:v>
      </x:c>
      <x:c r="H51" s="12" t="n">
        <x:v>2024</x:v>
      </x:c>
      <x:c r="I51" s="12" t="str">
        <x:v>Earthdata users</x:v>
      </x:c>
      <x:c r="J51" s="12" t="str">
        <x:v>High</x:v>
      </x:c>
      <x:c r="K51" s="16" t="n">
        <x:v>0.75</x:v>
      </x:c>
      <x:c r="L51" s="12" t="str">
        <x:v>LSA similarity cluster; human review pending</x:v>
      </x:c>
      <x:c r="M51" s="12" t="str">
        <x:v>Section: New Actions and Recommendations; table row 27</x:v>
      </x:c>
      <x:c r="N51" s="12" t="str"/>
      <x:c r="O51" s="12" t="str">
        <x:v>No</x:v>
      </x:c>
      <x:c r="P51" s="12" t="str">
        <x:v>No</x:v>
      </x:c>
      <x:c r="Q51" s="12"/>
      <x:c r="R51" s="12"/>
    </x:row>
    <x:row r="52">
      <x:c r="A52" s="12" t="str">
        <x:v>EVD-00051</x:v>
      </x:c>
      <x:c r="B52" s="12" t="str">
        <x:v>NEED-0036</x:v>
      </x:c>
      <x:c r="C52" s="12" t="str">
        <x:v>SRC-0004</x:v>
      </x:c>
      <x:c r="D52" s="12" t="str">
        <x:v>Suggested improvements for Worldview: easier access to files, color bars and changing scales.</x:v>
      </x:c>
      <x:c r="E52" s="12" t="str">
        <x:v>Suggested improvements for Worldview: easier access to files, color bars and changing scales.</x:v>
      </x:c>
      <x:c r="F52" s="12" t="str">
        <x:v>Action</x:v>
      </x:c>
      <x:c r="G52" s="12" t="str">
        <x:v>GES DISC User Working Group</x:v>
      </x:c>
      <x:c r="H52" s="12" t="n">
        <x:v>2024</x:v>
      </x:c>
      <x:c r="I52" s="12" t="str">
        <x:v>Earthdata users</x:v>
      </x:c>
      <x:c r="J52" s="12" t="str">
        <x:v>Medium</x:v>
      </x:c>
      <x:c r="K52" s="16" t="n">
        <x:v>0.75</x:v>
      </x:c>
      <x:c r="L52" s="12" t="str">
        <x:v>LSA similarity cluster; human review pending</x:v>
      </x:c>
      <x:c r="M52" s="12" t="str">
        <x:v>Section: New Actions and Recommendations; table row 28</x:v>
      </x:c>
      <x:c r="N52" s="12" t="str"/>
      <x:c r="O52" s="12" t="str">
        <x:v>No</x:v>
      </x:c>
      <x:c r="P52" s="12" t="str">
        <x:v>No</x:v>
      </x:c>
      <x:c r="Q52" s="12"/>
      <x:c r="R52" s="12"/>
    </x:row>
    <x:row r="53">
      <x:c r="A53" s="12" t="str">
        <x:v>EVD-00052</x:v>
      </x:c>
      <x:c r="B53" s="12" t="str">
        <x:v>NEED-0049</x:v>
      </x:c>
      <x:c r="C53" s="12" t="str">
        <x:v>SRC-0004</x:v>
      </x:c>
      <x:c r="D53" s="12" t="str">
        <x:v>Suggested improvement in Earthdata Search: Provide subsetting code in Earthdata Search.</x:v>
      </x:c>
      <x:c r="E53" s="12" t="str">
        <x:v>Suggested improvement in Earthdata Search: Provide subsetting code in Earthdata Search.</x:v>
      </x:c>
      <x:c r="F53" s="12" t="str">
        <x:v>Action</x:v>
      </x:c>
      <x:c r="G53" s="12" t="str">
        <x:v>GES DISC User Working Group</x:v>
      </x:c>
      <x:c r="H53" s="12" t="n">
        <x:v>2024</x:v>
      </x:c>
      <x:c r="I53" s="12" t="str">
        <x:v>Application developers</x:v>
      </x:c>
      <x:c r="J53" s="12" t="str">
        <x:v>High</x:v>
      </x:c>
      <x:c r="K53" s="16" t="n">
        <x:v>0.75</x:v>
      </x:c>
      <x:c r="L53" s="12" t="str">
        <x:v>LSA similarity cluster; human review pending</x:v>
      </x:c>
      <x:c r="M53" s="12" t="str">
        <x:v>Section: New Actions and Recommendations; table row 29</x:v>
      </x:c>
      <x:c r="N53" s="12" t="str"/>
      <x:c r="O53" s="12" t="str">
        <x:v>No</x:v>
      </x:c>
      <x:c r="P53" s="12" t="str">
        <x:v>No</x:v>
      </x:c>
      <x:c r="Q53" s="12"/>
      <x:c r="R53" s="12"/>
    </x:row>
    <x:row r="54">
      <x:c r="A54" s="12" t="str">
        <x:v>EVD-00053</x:v>
      </x:c>
      <x:c r="B54" s="12" t="str">
        <x:v>NEED-0178</x:v>
      </x:c>
      <x:c r="C54" s="12" t="str">
        <x:v>SRC-0004</x:v>
      </x:c>
      <x:c r="D54" s="12" t="str">
        <x:v>More resources on colocation/comparing multiple datasets together in one application.</x:v>
      </x:c>
      <x:c r="E54" s="12" t="str">
        <x:v>More resources on colocation/comparing multiple datasets together in one application.</x:v>
      </x:c>
      <x:c r="F54" s="12" t="str">
        <x:v>Action</x:v>
      </x:c>
      <x:c r="G54" s="12" t="str">
        <x:v>GES DISC User Working Group</x:v>
      </x:c>
      <x:c r="H54" s="12" t="n">
        <x:v>2024</x:v>
      </x:c>
      <x:c r="I54" s="12" t="str">
        <x:v>Earthdata users</x:v>
      </x:c>
      <x:c r="J54" s="12" t="str">
        <x:v>Medium</x:v>
      </x:c>
      <x:c r="K54" s="16" t="n">
        <x:v>0.75</x:v>
      </x:c>
      <x:c r="L54" s="12" t="str">
        <x:v>LSA similarity cluster; human review pending</x:v>
      </x:c>
      <x:c r="M54" s="12" t="str">
        <x:v>Section: New Actions and Recommendations; table row 30</x:v>
      </x:c>
      <x:c r="N54" s="12" t="str"/>
      <x:c r="O54" s="12" t="str">
        <x:v>No</x:v>
      </x:c>
      <x:c r="P54" s="12" t="str">
        <x:v>No</x:v>
      </x:c>
      <x:c r="Q54" s="12"/>
      <x:c r="R54" s="12"/>
    </x:row>
    <x:row r="55">
      <x:c r="A55" s="12" t="str">
        <x:v>EVD-00054</x:v>
      </x:c>
      <x:c r="B55" s="12" t="str">
        <x:v>NEED-0076</x:v>
      </x:c>
      <x:c r="C55" s="12" t="str">
        <x:v>SRC-0004</x:v>
      </x:c>
      <x:c r="D55" s="12" t="str">
        <x:v>Converting NetCDF/HDF into GeoTIFF</x:v>
      </x:c>
      <x:c r="E55" s="12" t="str">
        <x:v>Converting NetCDF/HDF into GeoTIFF</x:v>
      </x:c>
      <x:c r="F55" s="12" t="str">
        <x:v>Action</x:v>
      </x:c>
      <x:c r="G55" s="12" t="str">
        <x:v>GES DISC User Working Group</x:v>
      </x:c>
      <x:c r="H55" s="12" t="n">
        <x:v>2024</x:v>
      </x:c>
      <x:c r="I55" s="12" t="str">
        <x:v>Earthdata users</x:v>
      </x:c>
      <x:c r="J55" s="12" t="str">
        <x:v>Medium</x:v>
      </x:c>
      <x:c r="K55" s="16" t="n">
        <x:v>0.75</x:v>
      </x:c>
      <x:c r="L55" s="12" t="str">
        <x:v>LSA similarity cluster; human review pending</x:v>
      </x:c>
      <x:c r="M55" s="12" t="str">
        <x:v>Section: New Actions and Recommendations; table row 31</x:v>
      </x:c>
      <x:c r="N55" s="12" t="str"/>
      <x:c r="O55" s="12" t="str">
        <x:v>No</x:v>
      </x:c>
      <x:c r="P55" s="12" t="str">
        <x:v>No</x:v>
      </x:c>
      <x:c r="Q55" s="12"/>
      <x:c r="R55" s="12"/>
    </x:row>
    <x:row r="56">
      <x:c r="A56" s="12" t="str">
        <x:v>EVD-00055</x:v>
      </x:c>
      <x:c r="B56" s="12" t="str">
        <x:v>NEED-0077</x:v>
      </x:c>
      <x:c r="C56" s="12" t="str">
        <x:v>SRC-0004</x:v>
      </x:c>
      <x:c r="D56" s="12" t="str">
        <x:v>UWG members interested to know the process by which GES DISC acquires datasets.</x:v>
      </x:c>
      <x:c r="E56" s="12" t="str">
        <x:v>UWG members interested to know the process by which GES DISC acquires datasets.</x:v>
      </x:c>
      <x:c r="F56" s="12" t="str">
        <x:v>Action</x:v>
      </x:c>
      <x:c r="G56" s="12" t="str">
        <x:v>GES DISC User Working Group</x:v>
      </x:c>
      <x:c r="H56" s="12" t="n">
        <x:v>2024</x:v>
      </x:c>
      <x:c r="I56" s="12" t="str">
        <x:v>Earthdata users</x:v>
      </x:c>
      <x:c r="J56" s="12" t="str">
        <x:v>Medium</x:v>
      </x:c>
      <x:c r="K56" s="16" t="n">
        <x:v>0.75</x:v>
      </x:c>
      <x:c r="L56" s="12" t="str">
        <x:v>LSA similarity cluster; human review pending</x:v>
      </x:c>
      <x:c r="M56" s="12" t="str">
        <x:v>Section: New Actions and Recommendations; table row 33</x:v>
      </x:c>
      <x:c r="N56" s="12" t="str"/>
      <x:c r="O56" s="12" t="str">
        <x:v>No</x:v>
      </x:c>
      <x:c r="P56" s="12" t="str">
        <x:v>No</x:v>
      </x:c>
      <x:c r="Q56" s="12"/>
      <x:c r="R56" s="12"/>
    </x:row>
    <x:row r="57">
      <x:c r="A57" s="12" t="str">
        <x:v>EVD-00056</x:v>
      </x:c>
      <x:c r="B57" s="12" t="str">
        <x:v>NEED-0072</x:v>
      </x:c>
      <x:c r="C57" s="12" t="str">
        <x:v>SRC-0004</x:v>
      </x:c>
      <x:c r="D57" s="12" t="str">
        <x:v>UWG asked about long-term archive of SPoRT datasets which are near real-time.</x:v>
      </x:c>
      <x:c r="E57" s="12" t="str">
        <x:v>UWG asked about long-term archive of SPoRT datasets which are near real-time.</x:v>
      </x:c>
      <x:c r="F57" s="12" t="str">
        <x:v>Action</x:v>
      </x:c>
      <x:c r="G57" s="12" t="str">
        <x:v>GES DISC User Working Group</x:v>
      </x:c>
      <x:c r="H57" s="12" t="n">
        <x:v>2024</x:v>
      </x:c>
      <x:c r="I57" s="12" t="str">
        <x:v>Operational and near-real-time users; Data producers and mission teams</x:v>
      </x:c>
      <x:c r="J57" s="12" t="str">
        <x:v>Medium</x:v>
      </x:c>
      <x:c r="K57" s="16" t="n">
        <x:v>0.75</x:v>
      </x:c>
      <x:c r="L57" s="12" t="str">
        <x:v>LSA similarity cluster; human review pending</x:v>
      </x:c>
      <x:c r="M57" s="12" t="str">
        <x:v>Section: New Actions and Recommendations; table row 34</x:v>
      </x:c>
      <x:c r="N57" s="12" t="str"/>
      <x:c r="O57" s="12" t="str">
        <x:v>No</x:v>
      </x:c>
      <x:c r="P57" s="12" t="str">
        <x:v>No</x:v>
      </x:c>
      <x:c r="Q57" s="12"/>
      <x:c r="R57" s="12"/>
    </x:row>
    <x:row r="58">
      <x:c r="A58" s="12" t="str">
        <x:v>EVD-00057</x:v>
      </x:c>
      <x:c r="B58" s="12" t="str">
        <x:v>NEED-0174</x:v>
      </x:c>
      <x:c r="C58" s="12" t="str">
        <x:v>SRC-0004</x:v>
      </x:c>
      <x:c r="D58" s="12" t="str">
        <x:v>Establish communication channel among leads from applications, DAACs, mission application leads, data system leads.</x:v>
      </x:c>
      <x:c r="E58" s="12" t="str">
        <x:v>Establish communication channel among leads from applications, DAACs, mission application leads, data system leads.</x:v>
      </x:c>
      <x:c r="F58" s="12" t="str">
        <x:v>Action</x:v>
      </x:c>
      <x:c r="G58" s="12" t="str">
        <x:v>GES DISC User Working Group</x:v>
      </x:c>
      <x:c r="H58" s="12" t="n">
        <x:v>2024</x:v>
      </x:c>
      <x:c r="I58" s="12" t="str">
        <x:v>Data producers and mission teams</x:v>
      </x:c>
      <x:c r="J58" s="12" t="str">
        <x:v>High</x:v>
      </x:c>
      <x:c r="K58" s="16" t="n">
        <x:v>0.75</x:v>
      </x:c>
      <x:c r="L58" s="12" t="str">
        <x:v>LSA similarity cluster; human review pending</x:v>
      </x:c>
      <x:c r="M58" s="12" t="str">
        <x:v>Section: New Actions and Recommendations; table row 35</x:v>
      </x:c>
      <x:c r="N58" s="12" t="str"/>
      <x:c r="O58" s="12" t="str">
        <x:v>No</x:v>
      </x:c>
      <x:c r="P58" s="12" t="str">
        <x:v>No</x:v>
      </x:c>
      <x:c r="Q58" s="12"/>
      <x:c r="R58" s="12"/>
    </x:row>
    <x:row r="59">
      <x:c r="A59" s="12" t="str">
        <x:v>EVD-00058</x:v>
      </x:c>
      <x:c r="B59" s="12" t="str">
        <x:v>NEED-0184</x:v>
      </x:c>
      <x:c r="C59" s="12" t="str">
        <x:v>SRC-0004</x:v>
      </x:c>
      <x:c r="D59" s="12" t="str">
        <x:v>Connect ARSET training material to datasets/tools/etc. on our website and via social media. Build each other’s material and emerging needs.</x:v>
      </x:c>
      <x:c r="E59" s="12" t="str">
        <x:v>Connect ARSET training material to datasets/tools/etc. on our website and via social media. Build each other’s material and emerging needs.</x:v>
      </x:c>
      <x:c r="F59" s="12" t="str">
        <x:v>Action</x:v>
      </x:c>
      <x:c r="G59" s="12" t="str">
        <x:v>GES DISC User Working Group</x:v>
      </x:c>
      <x:c r="H59" s="12" t="n">
        <x:v>2024</x:v>
      </x:c>
      <x:c r="I59" s="12" t="str">
        <x:v>Educators and trainers</x:v>
      </x:c>
      <x:c r="J59" s="12" t="str">
        <x:v>Medium</x:v>
      </x:c>
      <x:c r="K59" s="16" t="n">
        <x:v>0.55</x:v>
      </x:c>
      <x:c r="L59" s="12" t="str">
        <x:v>LSA similarity cluster; human review pending</x:v>
      </x:c>
      <x:c r="M59" s="12" t="str">
        <x:v>Section: New Actions and Recommendations; table row 37</x:v>
      </x:c>
      <x:c r="N59" s="12" t="str"/>
      <x:c r="O59" s="12" t="str">
        <x:v>No</x:v>
      </x:c>
      <x:c r="P59" s="12" t="str">
        <x:v>No</x:v>
      </x:c>
      <x:c r="Q59" s="12"/>
      <x:c r="R59" s="12"/>
    </x:row>
    <x:row r="60">
      <x:c r="A60" s="12" t="str">
        <x:v>EVD-00059</x:v>
      </x:c>
      <x:c r="B60" s="12" t="str">
        <x:v>NEED-0005</x:v>
      </x:c>
      <x:c r="C60" s="12" t="str">
        <x:v>SRC-0004</x:v>
      </x:c>
      <x:c r="D60" s="12" t="str">
        <x:v>A UWG member shared cloud use cases (code in Jupyter Notebooks).</x:v>
      </x:c>
      <x:c r="E60" s="12" t="str">
        <x:v>A UWG member shared cloud use cases (code in Jupyter Notebooks).</x:v>
      </x:c>
      <x:c r="F60" s="12" t="str">
        <x:v>Action</x:v>
      </x:c>
      <x:c r="G60" s="12" t="str">
        <x:v>GES DISC User Working Group</x:v>
      </x:c>
      <x:c r="H60" s="12" t="n">
        <x:v>2024</x:v>
      </x:c>
      <x:c r="I60" s="12" t="str">
        <x:v>Cloud-native researchers; Application developers</x:v>
      </x:c>
      <x:c r="J60" s="12" t="str">
        <x:v>Medium</x:v>
      </x:c>
      <x:c r="K60" s="16" t="n">
        <x:v>0.75</x:v>
      </x:c>
      <x:c r="L60" s="12" t="str">
        <x:v>LSA similarity cluster; human review pending</x:v>
      </x:c>
      <x:c r="M60" s="12" t="str">
        <x:v>Section: New Actions and Recommendations; table row 39</x:v>
      </x:c>
      <x:c r="N60" s="12" t="str"/>
      <x:c r="O60" s="12" t="str">
        <x:v>No</x:v>
      </x:c>
      <x:c r="P60" s="12" t="str">
        <x:v>No</x:v>
      </x:c>
      <x:c r="Q60" s="12"/>
      <x:c r="R60" s="12"/>
    </x:row>
    <x:row r="61">
      <x:c r="A61" s="12" t="str">
        <x:v>EVD-00060</x:v>
      </x:c>
      <x:c r="B61" s="12" t="str">
        <x:v>NEED-0005</x:v>
      </x:c>
      <x:c r="C61" s="12" t="str">
        <x:v>SRC-0004</x:v>
      </x:c>
      <x:c r="D61" s="12" t="str">
        <x:v>TROPESS data provider shared published Jupyter Notebooks.</x:v>
      </x:c>
      <x:c r="E61" s="12" t="str">
        <x:v>TROPESS data provider shared published Jupyter Notebooks.</x:v>
      </x:c>
      <x:c r="F61" s="12" t="str">
        <x:v>Action</x:v>
      </x:c>
      <x:c r="G61" s="12" t="str">
        <x:v>GES DISC User Working Group</x:v>
      </x:c>
      <x:c r="H61" s="12" t="n">
        <x:v>2024</x:v>
      </x:c>
      <x:c r="I61" s="12" t="str">
        <x:v>Cloud-native researchers</x:v>
      </x:c>
      <x:c r="J61" s="12" t="str">
        <x:v>Medium</x:v>
      </x:c>
      <x:c r="K61" s="16" t="n">
        <x:v>0.75</x:v>
      </x:c>
      <x:c r="L61" s="12" t="str">
        <x:v>LSA similarity cluster; human review pending</x:v>
      </x:c>
      <x:c r="M61" s="12" t="str">
        <x:v>Section: New Actions and Recommendations; table row 40</x:v>
      </x:c>
      <x:c r="N61" s="12" t="str"/>
      <x:c r="O61" s="12" t="str">
        <x:v>No</x:v>
      </x:c>
      <x:c r="P61" s="12" t="str">
        <x:v>No</x:v>
      </x:c>
      <x:c r="Q61" s="12"/>
      <x:c r="R61" s="12"/>
    </x:row>
    <x:row r="62">
      <x:c r="A62" s="12" t="str">
        <x:v>EVD-00061</x:v>
      </x:c>
      <x:c r="B62" s="12" t="str">
        <x:v>NEED-0048</x:v>
      </x:c>
      <x:c r="C62" s="12" t="str">
        <x:v>SRC-0004</x:v>
      </x:c>
      <x:c r="D62" s="12" t="str">
        <x:v>Unbound recommendations: Increase training opportunities. Provide tutorials, site guidance, and additional resources. Modify data products for low-internet access. Improve search and filter functions. Use common language. Make steps re-traceable. Enhance data availability in remote regions without reliable internet. Increase compatibility with GIS and other software. Increase interlinking resources with other NASA data and publicly accessed data.</x:v>
      </x:c>
      <x:c r="E62" s="12" t="str">
        <x:v>Unbound recommendations: Increase training opportunities. Provide tutorials, site guidance, and additional resources. Modify data products for low-internet access. Improve search and filter functions. Use common language. Make steps re-traceable. Enhance data availability in remote regions without reliable internet. Increase compatibility with GIS and other software. Increase interlinking resources with other NASA data and publicly accessed data.</x:v>
      </x:c>
      <x:c r="F62" s="12" t="str">
        <x:v>Action</x:v>
      </x:c>
      <x:c r="G62" s="12" t="str">
        <x:v>GES DISC User Working Group</x:v>
      </x:c>
      <x:c r="H62" s="12" t="n">
        <x:v>2024</x:v>
      </x:c>
      <x:c r="I62" s="12" t="str">
        <x:v>GIS users; Application developers; Educators and trainers</x:v>
      </x:c>
      <x:c r="J62" s="12" t="str">
        <x:v>High</x:v>
      </x:c>
      <x:c r="K62" s="16" t="n">
        <x:v>0.75</x:v>
      </x:c>
      <x:c r="L62" s="12" t="str">
        <x:v>LSA similarity cluster; human review pending</x:v>
      </x:c>
      <x:c r="M62" s="12" t="str">
        <x:v>Section: New Actions and Recommendations; table row 42</x:v>
      </x:c>
      <x:c r="N62" s="12" t="str"/>
      <x:c r="O62" s="12" t="str">
        <x:v>No</x:v>
      </x:c>
      <x:c r="P62" s="12" t="str">
        <x:v>No</x:v>
      </x:c>
      <x:c r="Q62" s="12"/>
      <x:c r="R62" s="12"/>
    </x:row>
    <x:row r="63">
      <x:c r="A63" s="12" t="str">
        <x:v>EVD-00062</x:v>
      </x:c>
      <x:c r="B63" s="12" t="str">
        <x:v>NEED-0036</x:v>
      </x:c>
      <x:c r="C63" s="12" t="str">
        <x:v>SRC-0004</x:v>
      </x:c>
      <x:c r="D63" s="12" t="str">
        <x:v>UWG suggested to develop a How-To on converting hourly to daily mean using subsetting and regridding service.</x:v>
      </x:c>
      <x:c r="E63" s="12" t="str">
        <x:v>UWG suggested to develop a How-To on converting hourly to daily mean using subsetting and regridding service.</x:v>
      </x:c>
      <x:c r="F63" s="12" t="str">
        <x:v>Action</x:v>
      </x:c>
      <x:c r="G63" s="12" t="str">
        <x:v>GES DISC User Working Group</x:v>
      </x:c>
      <x:c r="H63" s="12" t="n">
        <x:v>2024</x:v>
      </x:c>
      <x:c r="I63" s="12" t="str">
        <x:v>Earthdata users</x:v>
      </x:c>
      <x:c r="J63" s="12" t="str">
        <x:v>High</x:v>
      </x:c>
      <x:c r="K63" s="16" t="n">
        <x:v>0.75</x:v>
      </x:c>
      <x:c r="L63" s="12" t="str">
        <x:v>LSA similarity cluster; human review pending</x:v>
      </x:c>
      <x:c r="M63" s="12" t="str">
        <x:v>Section: New Actions and Recommendations; table row 43</x:v>
      </x:c>
      <x:c r="N63" s="12" t="str"/>
      <x:c r="O63" s="12" t="str">
        <x:v>No</x:v>
      </x:c>
      <x:c r="P63" s="12" t="str">
        <x:v>No</x:v>
      </x:c>
      <x:c r="Q63" s="12"/>
      <x:c r="R63" s="12"/>
    </x:row>
    <x:row r="64">
      <x:c r="A64" s="12" t="str">
        <x:v>EVD-00063</x:v>
      </x:c>
      <x:c r="B64" s="12" t="str">
        <x:v>NEED-0125</x:v>
      </x:c>
      <x:c r="C64" s="12" t="str">
        <x:v>SRC-0004</x:v>
      </x:c>
      <x:c r="D64" s="12" t="str">
        <x:v>UWG members uncertain about how the data provider/science team page will be affected by web unification.</x:v>
      </x:c>
      <x:c r="E64" s="12" t="str">
        <x:v>UWG members uncertain about how the data provider/science team page will be affected by web unification.</x:v>
      </x:c>
      <x:c r="F64" s="12" t="str">
        <x:v>Action</x:v>
      </x:c>
      <x:c r="G64" s="12" t="str">
        <x:v>GES DISC User Working Group</x:v>
      </x:c>
      <x:c r="H64" s="12" t="n">
        <x:v>2024</x:v>
      </x:c>
      <x:c r="I64" s="12" t="str">
        <x:v>Earthdata users</x:v>
      </x:c>
      <x:c r="J64" s="12" t="str">
        <x:v>Medium</x:v>
      </x:c>
      <x:c r="K64" s="16" t="n">
        <x:v>0.75</x:v>
      </x:c>
      <x:c r="L64" s="12" t="str">
        <x:v>LSA similarity cluster; human review pending</x:v>
      </x:c>
      <x:c r="M64" s="12" t="str">
        <x:v>Section: New Actions and Recommendations; table row 45</x:v>
      </x:c>
      <x:c r="N64" s="12" t="str"/>
      <x:c r="O64" s="12" t="str">
        <x:v>No</x:v>
      </x:c>
      <x:c r="P64" s="12" t="str">
        <x:v>No</x:v>
      </x:c>
      <x:c r="Q64" s="12"/>
      <x:c r="R64" s="12"/>
    </x:row>
    <x:row r="65">
      <x:c r="A65" s="12" t="str">
        <x:v>EVD-00064</x:v>
      </x:c>
      <x:c r="B65" s="12" t="str">
        <x:v>NEED-0187</x:v>
      </x:c>
      <x:c r="C65" s="12" t="str">
        <x:v>SRC-0004</x:v>
      </x:c>
      <x:c r="D65" s="12" t="str">
        <x:v>Promote AppEEARS as an enterprise tool.</x:v>
      </x:c>
      <x:c r="E65" s="12" t="str">
        <x:v>Promote AppEEARS as an enterprise tool.</x:v>
      </x:c>
      <x:c r="F65" s="12" t="str">
        <x:v>Action</x:v>
      </x:c>
      <x:c r="G65" s="12" t="str">
        <x:v>LP DAAC User Working Group</x:v>
      </x:c>
      <x:c r="H65" s="12" t="n">
        <x:v>2024</x:v>
      </x:c>
      <x:c r="I65" s="12" t="str">
        <x:v>Earthdata users</x:v>
      </x:c>
      <x:c r="J65" s="12" t="str">
        <x:v>Medium</x:v>
      </x:c>
      <x:c r="K65" s="16" t="n">
        <x:v>0.75</x:v>
      </x:c>
      <x:c r="L65" s="12" t="str">
        <x:v>LSA similarity cluster; human review pending</x:v>
      </x:c>
      <x:c r="M65" s="12" t="str">
        <x:v>Section: New Actions and Recommendations; table row 2</x:v>
      </x:c>
      <x:c r="N65" s="12" t="str"/>
      <x:c r="O65" s="12" t="str">
        <x:v>No</x:v>
      </x:c>
      <x:c r="P65" s="12" t="str">
        <x:v>No</x:v>
      </x:c>
      <x:c r="Q65" s="12"/>
      <x:c r="R65" s="12"/>
    </x:row>
    <x:row r="66">
      <x:c r="A66" s="12" t="str">
        <x:v>EVD-00065</x:v>
      </x:c>
      <x:c r="B66" s="12" t="str">
        <x:v>NEED-0080</x:v>
      </x:c>
      <x:c r="C66" s="12" t="str">
        <x:v>SRC-0004</x:v>
      </x:c>
      <x:c r="D66" s="12" t="str">
        <x:v>Continue adding new high impact products to AppEEARS.</x:v>
      </x:c>
      <x:c r="E66" s="12" t="str">
        <x:v>Continue adding new high impact products to AppEEARS.</x:v>
      </x:c>
      <x:c r="F66" s="12" t="str">
        <x:v>Action</x:v>
      </x:c>
      <x:c r="G66" s="12" t="str">
        <x:v>LP DAAC User Working Group</x:v>
      </x:c>
      <x:c r="H66" s="12" t="n">
        <x:v>2024</x:v>
      </x:c>
      <x:c r="I66" s="12" t="str">
        <x:v>Earthdata users</x:v>
      </x:c>
      <x:c r="J66" s="12" t="str">
        <x:v>High</x:v>
      </x:c>
      <x:c r="K66" s="16" t="n">
        <x:v>0.75</x:v>
      </x:c>
      <x:c r="L66" s="12" t="str">
        <x:v>LSA similarity cluster; human review pending</x:v>
      </x:c>
      <x:c r="M66" s="12" t="str">
        <x:v>Section: New Actions and Recommendations; table row 3</x:v>
      </x:c>
      <x:c r="N66" s="12" t="str"/>
      <x:c r="O66" s="12" t="str">
        <x:v>No</x:v>
      </x:c>
      <x:c r="P66" s="12" t="str">
        <x:v>No</x:v>
      </x:c>
      <x:c r="Q66" s="12"/>
      <x:c r="R66" s="12"/>
    </x:row>
    <x:row r="67">
      <x:c r="A67" s="12" t="str">
        <x:v>EVD-00066</x:v>
      </x:c>
      <x:c r="B67" s="12" t="str">
        <x:v>NEED-0125</x:v>
      </x:c>
      <x:c r="C67" s="12" t="str">
        <x:v>SRC-0004</x:v>
      </x:c>
      <x:c r="D67" s="12" t="str">
        <x:v>Continue adding new high impact features to AppEEARS.</x:v>
      </x:c>
      <x:c r="E67" s="12" t="str">
        <x:v>Continue adding new high impact features to AppEEARS.</x:v>
      </x:c>
      <x:c r="F67" s="12" t="str">
        <x:v>Action</x:v>
      </x:c>
      <x:c r="G67" s="12" t="str">
        <x:v>LP DAAC User Working Group</x:v>
      </x:c>
      <x:c r="H67" s="12" t="n">
        <x:v>2024</x:v>
      </x:c>
      <x:c r="I67" s="12" t="str">
        <x:v>Earthdata users</x:v>
      </x:c>
      <x:c r="J67" s="12" t="str">
        <x:v>High</x:v>
      </x:c>
      <x:c r="K67" s="16" t="n">
        <x:v>0.75</x:v>
      </x:c>
      <x:c r="L67" s="12" t="str">
        <x:v>LSA similarity cluster; human review pending</x:v>
      </x:c>
      <x:c r="M67" s="12" t="str">
        <x:v>Section: New Actions and Recommendations; table row 4</x:v>
      </x:c>
      <x:c r="N67" s="12" t="str"/>
      <x:c r="O67" s="12" t="str">
        <x:v>No</x:v>
      </x:c>
      <x:c r="P67" s="12" t="str">
        <x:v>No</x:v>
      </x:c>
      <x:c r="Q67" s="12"/>
      <x:c r="R67" s="12"/>
    </x:row>
    <x:row r="68">
      <x:c r="A68" s="12" t="str">
        <x:v>EVD-00067</x:v>
      </x:c>
      <x:c r="B68" s="12" t="str">
        <x:v>NEED-0128</x:v>
      </x:c>
      <x:c r="C68" s="12" t="str">
        <x:v>SRC-0004</x:v>
      </x:c>
      <x:c r="D68" s="12" t="str">
        <x:v>Request Usage Metrics</x:v>
      </x:c>
      <x:c r="E68" s="12" t="str">
        <x:v>Request Usage Metrics</x:v>
      </x:c>
      <x:c r="F68" s="12" t="str">
        <x:v>Action</x:v>
      </x:c>
      <x:c r="G68" s="12" t="str">
        <x:v>LP DAAC User Working Group</x:v>
      </x:c>
      <x:c r="H68" s="12" t="n">
        <x:v>2024</x:v>
      </x:c>
      <x:c r="I68" s="12" t="str">
        <x:v>Earthdata users</x:v>
      </x:c>
      <x:c r="J68" s="12" t="str">
        <x:v>High</x:v>
      </x:c>
      <x:c r="K68" s="16" t="n">
        <x:v>0.75</x:v>
      </x:c>
      <x:c r="L68" s="12" t="str">
        <x:v>LSA similarity cluster; human review pending</x:v>
      </x:c>
      <x:c r="M68" s="12" t="str">
        <x:v>Section: New Actions and Recommendations; table row 6</x:v>
      </x:c>
      <x:c r="N68" s="12" t="str"/>
      <x:c r="O68" s="12" t="str">
        <x:v>No</x:v>
      </x:c>
      <x:c r="P68" s="12" t="str">
        <x:v>No</x:v>
      </x:c>
      <x:c r="Q68" s="12"/>
      <x:c r="R68" s="12"/>
    </x:row>
    <x:row r="69">
      <x:c r="A69" s="12" t="str">
        <x:v>EVD-00068</x:v>
      </x:c>
      <x:c r="B69" s="12" t="str">
        <x:v>NEED-0103</x:v>
      </x:c>
      <x:c r="C69" s="12" t="str">
        <x:v>SRC-0004</x:v>
      </x:c>
      <x:c r="D69" s="12" t="str">
        <x:v>Provide Data Citation Best Practices</x:v>
      </x:c>
      <x:c r="E69" s="12" t="str">
        <x:v>Provide Data Citation Best Practices</x:v>
      </x:c>
      <x:c r="F69" s="12" t="str">
        <x:v>Action</x:v>
      </x:c>
      <x:c r="G69" s="12" t="str">
        <x:v>LP DAAC User Working Group</x:v>
      </x:c>
      <x:c r="H69" s="12" t="n">
        <x:v>2024</x:v>
      </x:c>
      <x:c r="I69" s="12" t="str">
        <x:v>Earthdata users</x:v>
      </x:c>
      <x:c r="J69" s="12" t="str">
        <x:v>High</x:v>
      </x:c>
      <x:c r="K69" s="16" t="n">
        <x:v>0.75</x:v>
      </x:c>
      <x:c r="L69" s="12" t="str">
        <x:v>LSA similarity cluster; human review pending</x:v>
      </x:c>
      <x:c r="M69" s="12" t="str">
        <x:v>Section: New Actions and Recommendations; table row 7</x:v>
      </x:c>
      <x:c r="N69" s="12" t="str"/>
      <x:c r="O69" s="12" t="str">
        <x:v>No</x:v>
      </x:c>
      <x:c r="P69" s="12" t="str">
        <x:v>No</x:v>
      </x:c>
      <x:c r="Q69" s="12"/>
      <x:c r="R69" s="12"/>
    </x:row>
    <x:row r="70">
      <x:c r="A70" s="12" t="str">
        <x:v>EVD-00069</x:v>
      </x:c>
      <x:c r="B70" s="12" t="str">
        <x:v>NEED-0122</x:v>
      </x:c>
      <x:c r="C70" s="12" t="str">
        <x:v>SRC-0004</x:v>
      </x:c>
      <x:c r="D70" s="12" t="str">
        <x:v>Notify once new versions are available.</x:v>
      </x:c>
      <x:c r="E70" s="12" t="str">
        <x:v>Notify once new versions are available.</x:v>
      </x:c>
      <x:c r="F70" s="12" t="str">
        <x:v>Action</x:v>
      </x:c>
      <x:c r="G70" s="12" t="str">
        <x:v>LP DAAC User Working Group</x:v>
      </x:c>
      <x:c r="H70" s="12" t="n">
        <x:v>2024</x:v>
      </x:c>
      <x:c r="I70" s="12" t="str">
        <x:v>Earthdata users</x:v>
      </x:c>
      <x:c r="J70" s="12" t="str">
        <x:v>Medium</x:v>
      </x:c>
      <x:c r="K70" s="16" t="n">
        <x:v>0.75</x:v>
      </x:c>
      <x:c r="L70" s="12" t="str">
        <x:v>LSA similarity cluster; human review pending</x:v>
      </x:c>
      <x:c r="M70" s="12" t="str">
        <x:v>Section: New Actions and Recommendations; table row 8</x:v>
      </x:c>
      <x:c r="N70" s="12" t="str"/>
      <x:c r="O70" s="12" t="str">
        <x:v>No</x:v>
      </x:c>
      <x:c r="P70" s="12" t="str">
        <x:v>No</x:v>
      </x:c>
      <x:c r="Q70" s="12"/>
      <x:c r="R70" s="12"/>
    </x:row>
    <x:row r="71">
      <x:c r="A71" s="12" t="str">
        <x:v>EVD-00070</x:v>
      </x:c>
      <x:c r="B71" s="12" t="str">
        <x:v>NEED-0136</x:v>
      </x:c>
      <x:c r="C71" s="12" t="str">
        <x:v>SRC-0004</x:v>
      </x:c>
      <x:c r="D71" s="12" t="str">
        <x:v>Create a DAAC Selection Progress Tracker.</x:v>
      </x:c>
      <x:c r="E71" s="12" t="str">
        <x:v>Create a DAAC Selection Progress Tracker.</x:v>
      </x:c>
      <x:c r="F71" s="12" t="str">
        <x:v>Action</x:v>
      </x:c>
      <x:c r="G71" s="12" t="str">
        <x:v>LP DAAC User Working Group</x:v>
      </x:c>
      <x:c r="H71" s="12" t="n">
        <x:v>2024</x:v>
      </x:c>
      <x:c r="I71" s="12" t="str">
        <x:v>Earthdata users</x:v>
      </x:c>
      <x:c r="J71" s="12" t="str">
        <x:v>High</x:v>
      </x:c>
      <x:c r="K71" s="16" t="n">
        <x:v>0.75</x:v>
      </x:c>
      <x:c r="L71" s="12" t="str">
        <x:v>LSA similarity cluster; human review pending</x:v>
      </x:c>
      <x:c r="M71" s="12" t="str">
        <x:v>Section: New Actions and Recommendations; table row 10</x:v>
      </x:c>
      <x:c r="N71" s="12" t="str"/>
      <x:c r="O71" s="12" t="str">
        <x:v>No</x:v>
      </x:c>
      <x:c r="P71" s="12" t="str">
        <x:v>No</x:v>
      </x:c>
      <x:c r="Q71" s="12"/>
      <x:c r="R71" s="12"/>
    </x:row>
    <x:row r="72">
      <x:c r="A72" s="12" t="str">
        <x:v>EVD-00071</x:v>
      </x:c>
      <x:c r="B72" s="12" t="str">
        <x:v>NEED-0062</x:v>
      </x:c>
      <x:c r="C72" s="12" t="str">
        <x:v>SRC-0004</x:v>
      </x:c>
      <x:c r="D72" s="12" t="str">
        <x:v>Create a one-stop-shop for guidelines on standard formats, compliant metadata, OSDMP templates, etc.</x:v>
      </x:c>
      <x:c r="E72" s="12" t="str">
        <x:v>Create a one-stop-shop for guidelines on standard formats, compliant metadata, OSDMP templates, etc.</x:v>
      </x:c>
      <x:c r="F72" s="12" t="str">
        <x:v>Action</x:v>
      </x:c>
      <x:c r="G72" s="12" t="str">
        <x:v>LP DAAC User Working Group</x:v>
      </x:c>
      <x:c r="H72" s="12" t="n">
        <x:v>2024</x:v>
      </x:c>
      <x:c r="I72" s="12" t="str">
        <x:v>Earthdata users</x:v>
      </x:c>
      <x:c r="J72" s="12" t="str">
        <x:v>High</x:v>
      </x:c>
      <x:c r="K72" s="16" t="n">
        <x:v>0.55</x:v>
      </x:c>
      <x:c r="L72" s="12" t="str">
        <x:v>LSA similarity cluster; human review pending</x:v>
      </x:c>
      <x:c r="M72" s="12" t="str">
        <x:v>Section: New Actions and Recommendations; table row 11</x:v>
      </x:c>
      <x:c r="N72" s="12" t="str"/>
      <x:c r="O72" s="12" t="str">
        <x:v>No</x:v>
      </x:c>
      <x:c r="P72" s="12" t="str">
        <x:v>No</x:v>
      </x:c>
      <x:c r="Q72" s="12"/>
      <x:c r="R72" s="12"/>
    </x:row>
    <x:row r="73">
      <x:c r="A73" s="12" t="str">
        <x:v>EVD-00072</x:v>
      </x:c>
      <x:c r="B73" s="12" t="str">
        <x:v>NEED-0123</x:v>
      </x:c>
      <x:c r="C73" s="12" t="str">
        <x:v>SRC-0004</x:v>
      </x:c>
      <x:c r="D73" s="12" t="str">
        <x:v>Provide automated compliance checkers.</x:v>
      </x:c>
      <x:c r="E73" s="12" t="str">
        <x:v>Provide automated compliance checkers.</x:v>
      </x:c>
      <x:c r="F73" s="12" t="str">
        <x:v>Action</x:v>
      </x:c>
      <x:c r="G73" s="12" t="str">
        <x:v>LP DAAC User Working Group</x:v>
      </x:c>
      <x:c r="H73" s="12" t="n">
        <x:v>2024</x:v>
      </x:c>
      <x:c r="I73" s="12" t="str">
        <x:v>Earthdata users</x:v>
      </x:c>
      <x:c r="J73" s="12" t="str">
        <x:v>High</x:v>
      </x:c>
      <x:c r="K73" s="16" t="n">
        <x:v>0.75</x:v>
      </x:c>
      <x:c r="L73" s="12" t="str">
        <x:v>LSA similarity cluster; human review pending</x:v>
      </x:c>
      <x:c r="M73" s="12" t="str">
        <x:v>Section: New Actions and Recommendations; table row 12</x:v>
      </x:c>
      <x:c r="N73" s="12" t="str"/>
      <x:c r="O73" s="12" t="str">
        <x:v>No</x:v>
      </x:c>
      <x:c r="P73" s="12" t="str">
        <x:v>No</x:v>
      </x:c>
      <x:c r="Q73" s="12"/>
      <x:c r="R73" s="12"/>
    </x:row>
    <x:row r="74">
      <x:c r="A74" s="12" t="str">
        <x:v>EVD-00073</x:v>
      </x:c>
      <x:c r="B74" s="12" t="str">
        <x:v>NEED-0070</x:v>
      </x:c>
      <x:c r="C74" s="12" t="str">
        <x:v>SRC-0004</x:v>
      </x:c>
      <x:c r="D74" s="12" t="str">
        <x:v>Improve product version discoverability in Earthdata Search by always listing the most recent version first and to allow sorting by publication date.</x:v>
      </x:c>
      <x:c r="E74" s="12" t="str">
        <x:v>Improve product version discoverability in Earthdata Search by always listing the most recent version first and to allow sorting by publication date.</x:v>
      </x:c>
      <x:c r="F74" s="12" t="str">
        <x:v>Action</x:v>
      </x:c>
      <x:c r="G74" s="12" t="str">
        <x:v>LP DAAC User Working Group</x:v>
      </x:c>
      <x:c r="H74" s="12" t="n">
        <x:v>2024</x:v>
      </x:c>
      <x:c r="I74" s="12" t="str">
        <x:v>Data producers and mission teams</x:v>
      </x:c>
      <x:c r="J74" s="12" t="str">
        <x:v>High</x:v>
      </x:c>
      <x:c r="K74" s="16" t="n">
        <x:v>0.75</x:v>
      </x:c>
      <x:c r="L74" s="12" t="str">
        <x:v>LSA similarity cluster; human review pending</x:v>
      </x:c>
      <x:c r="M74" s="12" t="str">
        <x:v>Section: New Actions and Recommendations; table row 14</x:v>
      </x:c>
      <x:c r="N74" s="12" t="str"/>
      <x:c r="O74" s="12" t="str">
        <x:v>No</x:v>
      </x:c>
      <x:c r="P74" s="12" t="str">
        <x:v>No</x:v>
      </x:c>
      <x:c r="Q74" s="12"/>
      <x:c r="R74" s="12"/>
    </x:row>
    <x:row r="75">
      <x:c r="A75" s="12" t="str">
        <x:v>EVD-00074</x:v>
      </x:c>
      <x:c r="B75" s="12" t="str">
        <x:v>NEED-0128</x:v>
      </x:c>
      <x:c r="C75" s="12" t="str">
        <x:v>SRC-0004</x:v>
      </x:c>
      <x:c r="D75" s="12" t="str">
        <x:v>Move forward with the ESDIS DAAC UWG Summit Meeting idea, and they request that all UWG members be given an opportunity to listen in virtually.</x:v>
      </x:c>
      <x:c r="E75" s="12" t="str">
        <x:v>Move forward with the ESDIS DAAC UWG Summit Meeting idea, and they request that all UWG members be given an opportunity to listen in virtually.</x:v>
      </x:c>
      <x:c r="F75" s="12" t="str">
        <x:v>Action</x:v>
      </x:c>
      <x:c r="G75" s="12" t="str">
        <x:v>LP DAAC User Working Group</x:v>
      </x:c>
      <x:c r="H75" s="12" t="n">
        <x:v>2024</x:v>
      </x:c>
      <x:c r="I75" s="12" t="str">
        <x:v>Earthdata users</x:v>
      </x:c>
      <x:c r="J75" s="12" t="str">
        <x:v>High</x:v>
      </x:c>
      <x:c r="K75" s="16" t="n">
        <x:v>0.75</x:v>
      </x:c>
      <x:c r="L75" s="12" t="str">
        <x:v>LSA similarity cluster; human review pending</x:v>
      </x:c>
      <x:c r="M75" s="12" t="str">
        <x:v>Section: New Actions and Recommendations; table row 16</x:v>
      </x:c>
      <x:c r="N75" s="12" t="str"/>
      <x:c r="O75" s="12" t="str">
        <x:v>No</x:v>
      </x:c>
      <x:c r="P75" s="12" t="str">
        <x:v>No</x:v>
      </x:c>
      <x:c r="Q75" s="12"/>
      <x:c r="R75" s="12"/>
    </x:row>
    <x:row r="76">
      <x:c r="A76" s="12" t="str">
        <x:v>EVD-00075</x:v>
      </x:c>
      <x:c r="B76" s="12" t="str">
        <x:v>NEED-0100</x:v>
      </x:c>
      <x:c r="C76" s="12" t="str">
        <x:v>SRC-0004</x:v>
      </x:c>
      <x:c r="D76" s="12" t="str">
        <x:v>Continue collaborating with the NASA Earthdata team (via ESDIS EUMSO) to share and highlight relevant user stories.</x:v>
      </x:c>
      <x:c r="E76" s="12" t="str">
        <x:v>Continue collaborating with the NASA Earthdata team (via ESDIS EUMSO) to share and highlight relevant user stories.</x:v>
      </x:c>
      <x:c r="F76" s="12" t="str">
        <x:v>Action</x:v>
      </x:c>
      <x:c r="G76" s="12" t="str">
        <x:v>LP DAAC User Working Group</x:v>
      </x:c>
      <x:c r="H76" s="12" t="n">
        <x:v>2024</x:v>
      </x:c>
      <x:c r="I76" s="12" t="str">
        <x:v>Earthdata users</x:v>
      </x:c>
      <x:c r="J76" s="12" t="str">
        <x:v>High</x:v>
      </x:c>
      <x:c r="K76" s="16" t="n">
        <x:v>0.55</x:v>
      </x:c>
      <x:c r="L76" s="12" t="str">
        <x:v>LSA similarity cluster; human review pending</x:v>
      </x:c>
      <x:c r="M76" s="12" t="str">
        <x:v>Section: New Actions and Recommendations; table row 18</x:v>
      </x:c>
      <x:c r="N76" s="12" t="str"/>
      <x:c r="O76" s="12" t="str">
        <x:v>No</x:v>
      </x:c>
      <x:c r="P76" s="12" t="str">
        <x:v>No</x:v>
      </x:c>
      <x:c r="Q76" s="12"/>
      <x:c r="R76" s="12"/>
    </x:row>
    <x:row r="77">
      <x:c r="A77" s="12" t="str">
        <x:v>EVD-00076</x:v>
      </x:c>
      <x:c r="B77" s="12" t="str">
        <x:v>NEED-0126</x:v>
      </x:c>
      <x:c r="C77" s="12" t="str">
        <x:v>SRC-0004</x:v>
      </x:c>
      <x:c r="D77" s="12" t="str">
        <x:v>Create content both notifying users that ASTER and MODIS will be ceasing forward processing in the future and helping users transition to other sources of data (VIIRS, HLS, ECOSTRESS, etc.)</x:v>
      </x:c>
      <x:c r="E77" s="12" t="str">
        <x:v>Create content both notifying users that ASTER and MODIS will be ceasing forward processing in the future and helping users transition to other sources of data (VIIRS, HLS, ECOSTRESS, etc.)</x:v>
      </x:c>
      <x:c r="F77" s="12" t="str">
        <x:v>Action</x:v>
      </x:c>
      <x:c r="G77" s="12" t="str">
        <x:v>LP DAAC User Working Group</x:v>
      </x:c>
      <x:c r="H77" s="12" t="n">
        <x:v>2024</x:v>
      </x:c>
      <x:c r="I77" s="12" t="str">
        <x:v>Earthdata users</x:v>
      </x:c>
      <x:c r="J77" s="12" t="str">
        <x:v>High</x:v>
      </x:c>
      <x:c r="K77" s="16" t="n">
        <x:v>0.75</x:v>
      </x:c>
      <x:c r="L77" s="12" t="str">
        <x:v>LSA similarity cluster; human review pending</x:v>
      </x:c>
      <x:c r="M77" s="12" t="str">
        <x:v>Section: New Actions and Recommendations; table row 19</x:v>
      </x:c>
      <x:c r="N77" s="12" t="str"/>
      <x:c r="O77" s="12" t="str">
        <x:v>No</x:v>
      </x:c>
      <x:c r="P77" s="12" t="str">
        <x:v>No</x:v>
      </x:c>
      <x:c r="Q77" s="12"/>
      <x:c r="R77" s="12"/>
    </x:row>
    <x:row r="78">
      <x:c r="A78" s="12" t="str">
        <x:v>EVD-00077</x:v>
      </x:c>
      <x:c r="B78" s="12" t="str">
        <x:v>NEED-0207</x:v>
      </x:c>
      <x:c r="C78" s="12" t="str">
        <x:v>SRC-0004</x:v>
      </x:c>
      <x:c r="D78" s="12" t="str">
        <x:v>Continue highlighting the synergistic use of TIR and VSWIR data to support the current ECOTRESS and EMIT missions and future SBG mission.</x:v>
      </x:c>
      <x:c r="E78" s="12" t="str">
        <x:v>Continue highlighting the synergistic use of TIR and VSWIR data to support the current ECOTRESS and EMIT missions and future SBG mission.</x:v>
      </x:c>
      <x:c r="F78" s="12" t="str">
        <x:v>Action</x:v>
      </x:c>
      <x:c r="G78" s="12" t="str">
        <x:v>LP DAAC User Working Group</x:v>
      </x:c>
      <x:c r="H78" s="12" t="n">
        <x:v>2024</x:v>
      </x:c>
      <x:c r="I78" s="12" t="str">
        <x:v>GIS users; Data producers and mission teams</x:v>
      </x:c>
      <x:c r="J78" s="12" t="str">
        <x:v>High</x:v>
      </x:c>
      <x:c r="K78" s="16" t="n">
        <x:v>0.75</x:v>
      </x:c>
      <x:c r="L78" s="12" t="str">
        <x:v>LSA similarity cluster; human review pending</x:v>
      </x:c>
      <x:c r="M78" s="12" t="str">
        <x:v>Section: New Actions and Recommendations; table row 20</x:v>
      </x:c>
      <x:c r="N78" s="12" t="str"/>
      <x:c r="O78" s="12" t="str">
        <x:v>No</x:v>
      </x:c>
      <x:c r="P78" s="12" t="str">
        <x:v>No</x:v>
      </x:c>
      <x:c r="Q78" s="12"/>
      <x:c r="R78" s="12"/>
    </x:row>
    <x:row r="79">
      <x:c r="A79" s="12" t="str">
        <x:v>EVD-00078</x:v>
      </x:c>
      <x:c r="B79" s="12" t="str">
        <x:v>NEED-0195</x:v>
      </x:c>
      <x:c r="C79" s="12" t="str">
        <x:v>SRC-0004</x:v>
      </x:c>
      <x:c r="D79" s="12" t="str">
        <x:v>Provide webinars and/or workshops for the geology user community to expand use of LP DAAC supported products within that user community.</x:v>
      </x:c>
      <x:c r="E79" s="12" t="str">
        <x:v>Provide webinars and/or workshops for the geology user community to expand use of LP DAAC supported products within that user community.</x:v>
      </x:c>
      <x:c r="F79" s="12" t="str">
        <x:v>Action</x:v>
      </x:c>
      <x:c r="G79" s="12" t="str">
        <x:v>LP DAAC User Working Group</x:v>
      </x:c>
      <x:c r="H79" s="12" t="n">
        <x:v>2024</x:v>
      </x:c>
      <x:c r="I79" s="12" t="str">
        <x:v>Educators and trainers</x:v>
      </x:c>
      <x:c r="J79" s="12" t="str">
        <x:v>High</x:v>
      </x:c>
      <x:c r="K79" s="16" t="n">
        <x:v>0.75</x:v>
      </x:c>
      <x:c r="L79" s="12" t="str">
        <x:v>LSA similarity cluster; human review pending</x:v>
      </x:c>
      <x:c r="M79" s="12" t="str">
        <x:v>Section: New Actions and Recommendations; table row 21</x:v>
      </x:c>
      <x:c r="N79" s="12" t="str"/>
      <x:c r="O79" s="12" t="str">
        <x:v>No</x:v>
      </x:c>
      <x:c r="P79" s="12" t="str">
        <x:v>No</x:v>
      </x:c>
      <x:c r="Q79" s="12"/>
      <x:c r="R79" s="12"/>
    </x:row>
    <x:row r="80">
      <x:c r="A80" s="12" t="str">
        <x:v>EVD-00079</x:v>
      </x:c>
      <x:c r="B80" s="12" t="str">
        <x:v>NEED-0207</x:v>
      </x:c>
      <x:c r="C80" s="12" t="str">
        <x:v>SRC-0004</x:v>
      </x:c>
      <x:c r="D80" s="12" t="str">
        <x:v>The LP DAAC UWG appreciates LP DAAC support at conferences and meetings and recommends continuing to support conferences and meetings relevant to LP DAAC-supported missions.</x:v>
      </x:c>
      <x:c r="E80" s="12" t="str">
        <x:v>The LP DAAC UWG appreciates LP DAAC support at conferences and meetings and recommends continuing to support conferences and meetings relevant to LP DAAC-supported missions.</x:v>
      </x:c>
      <x:c r="F80" s="12" t="str">
        <x:v>Action</x:v>
      </x:c>
      <x:c r="G80" s="12" t="str">
        <x:v>LP DAAC User Working Group</x:v>
      </x:c>
      <x:c r="H80" s="12" t="n">
        <x:v>2024</x:v>
      </x:c>
      <x:c r="I80" s="12" t="str">
        <x:v>Data producers and mission teams</x:v>
      </x:c>
      <x:c r="J80" s="12" t="str">
        <x:v>High</x:v>
      </x:c>
      <x:c r="K80" s="16" t="n">
        <x:v>0.75</x:v>
      </x:c>
      <x:c r="L80" s="12" t="str">
        <x:v>LSA similarity cluster; human review pending</x:v>
      </x:c>
      <x:c r="M80" s="12" t="str">
        <x:v>Section: New Actions and Recommendations; table row 22</x:v>
      </x:c>
      <x:c r="N80" s="12" t="str"/>
      <x:c r="O80" s="12" t="str">
        <x:v>No</x:v>
      </x:c>
      <x:c r="P80" s="12" t="str">
        <x:v>No</x:v>
      </x:c>
      <x:c r="Q80" s="12"/>
      <x:c r="R80" s="12"/>
    </x:row>
    <x:row r="81">
      <x:c r="A81" s="12" t="str">
        <x:v>EVD-00080</x:v>
      </x:c>
      <x:c r="B81" s="12" t="str">
        <x:v>NEED-0193</x:v>
      </x:c>
      <x:c r="C81" s="12" t="str">
        <x:v>SRC-0004</x:v>
      </x:c>
      <x:c r="D81" s="12" t="str">
        <x:v>The LP DAAC UWG recommends creating R equivalent tutorials of existing Python resources.</x:v>
      </x:c>
      <x:c r="E81" s="12" t="str">
        <x:v>The LP DAAC UWG recommends creating R equivalent tutorials of existing Python resources.</x:v>
      </x:c>
      <x:c r="F81" s="12" t="str">
        <x:v>Action</x:v>
      </x:c>
      <x:c r="G81" s="12" t="str">
        <x:v>LP DAAC User Working Group</x:v>
      </x:c>
      <x:c r="H81" s="12" t="n">
        <x:v>2024</x:v>
      </x:c>
      <x:c r="I81" s="12" t="str">
        <x:v>Application developers; Educators and trainers</x:v>
      </x:c>
      <x:c r="J81" s="12" t="str">
        <x:v>Low</x:v>
      </x:c>
      <x:c r="K81" s="16" t="n">
        <x:v>0.75</x:v>
      </x:c>
      <x:c r="L81" s="12" t="str">
        <x:v>LSA similarity cluster; human review pending</x:v>
      </x:c>
      <x:c r="M81" s="12" t="str">
        <x:v>Section: New Actions and Recommendations; table row 24</x:v>
      </x:c>
      <x:c r="N81" s="12" t="str"/>
      <x:c r="O81" s="12" t="str">
        <x:v>No</x:v>
      </x:c>
      <x:c r="P81" s="12" t="str">
        <x:v>No</x:v>
      </x:c>
      <x:c r="Q81" s="12"/>
      <x:c r="R81" s="12"/>
    </x:row>
    <x:row r="82">
      <x:c r="A82" s="12" t="str">
        <x:v>EVD-00081</x:v>
      </x:c>
      <x:c r="B82" s="12" t="str">
        <x:v>NEED-0193</x:v>
      </x:c>
      <x:c r="C82" s="12" t="str">
        <x:v>SRC-0004</x:v>
      </x:c>
      <x:c r="D82" s="12" t="str">
        <x:v>Incorporate SHIFT data into existing VITALS tutorials, add additional tutorials for HLS, GEDI.</x:v>
      </x:c>
      <x:c r="E82" s="12" t="str">
        <x:v>Incorporate SHIFT data into existing VITALS tutorials, add additional tutorials for HLS, GEDI.</x:v>
      </x:c>
      <x:c r="F82" s="12" t="str">
        <x:v>Action</x:v>
      </x:c>
      <x:c r="G82" s="12" t="str">
        <x:v>LP DAAC User Working Group</x:v>
      </x:c>
      <x:c r="H82" s="12" t="n">
        <x:v>2024</x:v>
      </x:c>
      <x:c r="I82" s="12" t="str">
        <x:v>Educators and trainers</x:v>
      </x:c>
      <x:c r="J82" s="12" t="str">
        <x:v>Medium</x:v>
      </x:c>
      <x:c r="K82" s="16" t="n">
        <x:v>0.75</x:v>
      </x:c>
      <x:c r="L82" s="12" t="str">
        <x:v>LSA similarity cluster; human review pending</x:v>
      </x:c>
      <x:c r="M82" s="12" t="str">
        <x:v>Section: New Actions and Recommendations; table row 25</x:v>
      </x:c>
      <x:c r="N82" s="12" t="str"/>
      <x:c r="O82" s="12" t="str">
        <x:v>No</x:v>
      </x:c>
      <x:c r="P82" s="12" t="str">
        <x:v>No</x:v>
      </x:c>
      <x:c r="Q82" s="12"/>
      <x:c r="R82" s="12"/>
    </x:row>
    <x:row r="83">
      <x:c r="A83" s="12" t="str">
        <x:v>EVD-00082</x:v>
      </x:c>
      <x:c r="B83" s="12" t="str">
        <x:v>NEED-0091</x:v>
      </x:c>
      <x:c r="C83" s="12" t="str">
        <x:v>SRC-0004</x:v>
      </x:c>
      <x:c r="D83" s="12" t="str">
        <x:v>Work with other DAACs to increase the use of cross-DAAC product harmonization and data fusion, including the combined use of “different” data (ex: SAR and Optical, Optical and Lidar, etc.).</x:v>
      </x:c>
      <x:c r="E83" s="12" t="str">
        <x:v>Work with other DAACs to increase the use of cross-DAAC product harmonization and data fusion, including the combined use of “different” data (ex: SAR and Optical, Optical and Lidar, etc.).</x:v>
      </x:c>
      <x:c r="F83" s="12" t="str">
        <x:v>Action</x:v>
      </x:c>
      <x:c r="G83" s="12" t="str">
        <x:v>LP DAAC User Working Group</x:v>
      </x:c>
      <x:c r="H83" s="12" t="n">
        <x:v>2024</x:v>
      </x:c>
      <x:c r="I83" s="12" t="str">
        <x:v>Earthdata users</x:v>
      </x:c>
      <x:c r="J83" s="12" t="str">
        <x:v>Medium</x:v>
      </x:c>
      <x:c r="K83" s="16" t="n">
        <x:v>0.75</x:v>
      </x:c>
      <x:c r="L83" s="12" t="str">
        <x:v>LSA similarity cluster; human review pending</x:v>
      </x:c>
      <x:c r="M83" s="12" t="str">
        <x:v>Section: New Actions and Recommendations; table row 26</x:v>
      </x:c>
      <x:c r="N83" s="12" t="str"/>
      <x:c r="O83" s="12" t="str">
        <x:v>No</x:v>
      </x:c>
      <x:c r="P83" s="12" t="str">
        <x:v>No</x:v>
      </x:c>
      <x:c r="Q83" s="12"/>
      <x:c r="R83" s="12"/>
    </x:row>
    <x:row r="84">
      <x:c r="A84" s="12" t="str">
        <x:v>EVD-00083</x:v>
      </x:c>
      <x:c r="B84" s="12" t="str">
        <x:v>NEED-0207</x:v>
      </x:c>
      <x:c r="C84" s="12" t="str">
        <x:v>SRC-0004</x:v>
      </x:c>
      <x:c r="D84" s="12" t="str">
        <x:v>Continue collaborating with supported missions on science enablement activities.</x:v>
      </x:c>
      <x:c r="E84" s="12" t="str">
        <x:v>Continue collaborating with supported missions on science enablement activities.</x:v>
      </x:c>
      <x:c r="F84" s="12" t="str">
        <x:v>Action</x:v>
      </x:c>
      <x:c r="G84" s="12" t="str">
        <x:v>LP DAAC User Working Group</x:v>
      </x:c>
      <x:c r="H84" s="12" t="n">
        <x:v>2024</x:v>
      </x:c>
      <x:c r="I84" s="12" t="str">
        <x:v>Data producers and mission teams</x:v>
      </x:c>
      <x:c r="J84" s="12" t="str">
        <x:v>High</x:v>
      </x:c>
      <x:c r="K84" s="16" t="n">
        <x:v>0.75</x:v>
      </x:c>
      <x:c r="L84" s="12" t="str">
        <x:v>LSA similarity cluster; human review pending</x:v>
      </x:c>
      <x:c r="M84" s="12" t="str">
        <x:v>Section: New Actions and Recommendations; table row 27</x:v>
      </x:c>
      <x:c r="N84" s="12" t="str"/>
      <x:c r="O84" s="12" t="str">
        <x:v>No</x:v>
      </x:c>
      <x:c r="P84" s="12" t="str">
        <x:v>No</x:v>
      </x:c>
      <x:c r="Q84" s="12"/>
      <x:c r="R84" s="12"/>
    </x:row>
    <x:row r="85">
      <x:c r="A85" s="12" t="str">
        <x:v>EVD-00084</x:v>
      </x:c>
      <x:c r="B85" s="12" t="str">
        <x:v>NEED-0157</x:v>
      </x:c>
      <x:c r="C85" s="12" t="str">
        <x:v>SRC-0004</x:v>
      </x:c>
      <x:c r="D85" s="12" t="str">
        <x:v>Create StoryMaps as another science communication content type.</x:v>
      </x:c>
      <x:c r="E85" s="12" t="str">
        <x:v>Create StoryMaps as another science communication content type.</x:v>
      </x:c>
      <x:c r="F85" s="12" t="str">
        <x:v>Action</x:v>
      </x:c>
      <x:c r="G85" s="12" t="str">
        <x:v>LP DAAC User Working Group</x:v>
      </x:c>
      <x:c r="H85" s="12" t="n">
        <x:v>2024</x:v>
      </x:c>
      <x:c r="I85" s="12" t="str">
        <x:v>Earthdata users</x:v>
      </x:c>
      <x:c r="J85" s="12" t="str">
        <x:v>High</x:v>
      </x:c>
      <x:c r="K85" s="16" t="n">
        <x:v>0.75</x:v>
      </x:c>
      <x:c r="L85" s="12" t="str">
        <x:v>LSA similarity cluster; human review pending</x:v>
      </x:c>
      <x:c r="M85" s="12" t="str">
        <x:v>Section: New Actions and Recommendations; table row 28</x:v>
      </x:c>
      <x:c r="N85" s="12" t="str"/>
      <x:c r="O85" s="12" t="str">
        <x:v>No</x:v>
      </x:c>
      <x:c r="P85" s="12" t="str">
        <x:v>No</x:v>
      </x:c>
      <x:c r="Q85" s="12"/>
      <x:c r="R85" s="12"/>
    </x:row>
    <x:row r="86">
      <x:c r="A86" s="12" t="str">
        <x:v>EVD-00085</x:v>
      </x:c>
      <x:c r="B86" s="12" t="str">
        <x:v>NEED-0207</x:v>
      </x:c>
      <x:c r="C86" s="12" t="str">
        <x:v>SRC-0004</x:v>
      </x:c>
      <x:c r="D86" s="12" t="str">
        <x:v>Continue Supporting early adopter activities for new missions (ex: SBG).</x:v>
      </x:c>
      <x:c r="E86" s="12" t="str">
        <x:v>Continue Supporting early adopter activities for new missions (ex: SBG).</x:v>
      </x:c>
      <x:c r="F86" s="12" t="str">
        <x:v>Action</x:v>
      </x:c>
      <x:c r="G86" s="12" t="str">
        <x:v>LP DAAC User Working Group</x:v>
      </x:c>
      <x:c r="H86" s="12" t="n">
        <x:v>2024</x:v>
      </x:c>
      <x:c r="I86" s="12" t="str">
        <x:v>Data producers and mission teams</x:v>
      </x:c>
      <x:c r="J86" s="12" t="str">
        <x:v>High</x:v>
      </x:c>
      <x:c r="K86" s="16" t="n">
        <x:v>0.75</x:v>
      </x:c>
      <x:c r="L86" s="12" t="str">
        <x:v>LSA similarity cluster; human review pending</x:v>
      </x:c>
      <x:c r="M86" s="12" t="str">
        <x:v>Section: New Actions and Recommendations; table row 30</x:v>
      </x:c>
      <x:c r="N86" s="12" t="str"/>
      <x:c r="O86" s="12" t="str">
        <x:v>No</x:v>
      </x:c>
      <x:c r="P86" s="12" t="str">
        <x:v>No</x:v>
      </x:c>
      <x:c r="Q86" s="12"/>
      <x:c r="R86" s="12"/>
    </x:row>
    <x:row r="87">
      <x:c r="A87" s="12" t="str">
        <x:v>EVD-00086</x:v>
      </x:c>
      <x:c r="B87" s="12" t="str">
        <x:v>NEED-0137</x:v>
      </x:c>
      <x:c r="C87" s="12" t="str">
        <x:v>SRC-0004</x:v>
      </x:c>
      <x:c r="D87" s="12" t="str">
        <x:v>The LP DAAC UWG recommends that LP DAAC onboard into Earthdata Pub.</x:v>
      </x:c>
      <x:c r="E87" s="12" t="str">
        <x:v>The LP DAAC UWG recommends that LP DAAC onboard into Earthdata Pub.</x:v>
      </x:c>
      <x:c r="F87" s="12" t="str">
        <x:v>Action</x:v>
      </x:c>
      <x:c r="G87" s="12" t="str">
        <x:v>LP DAAC User Working Group</x:v>
      </x:c>
      <x:c r="H87" s="12" t="n">
        <x:v>2024</x:v>
      </x:c>
      <x:c r="I87" s="12" t="str">
        <x:v>Earthdata users</x:v>
      </x:c>
      <x:c r="J87" s="12" t="str">
        <x:v>Low</x:v>
      </x:c>
      <x:c r="K87" s="16" t="n">
        <x:v>0.75</x:v>
      </x:c>
      <x:c r="L87" s="12" t="str">
        <x:v>LSA similarity cluster; human review pending</x:v>
      </x:c>
      <x:c r="M87" s="12" t="str">
        <x:v>Section: New Actions and Recommendations; table row 32</x:v>
      </x:c>
      <x:c r="N87" s="12" t="str"/>
      <x:c r="O87" s="12" t="str">
        <x:v>No</x:v>
      </x:c>
      <x:c r="P87" s="12" t="str">
        <x:v>No</x:v>
      </x:c>
      <x:c r="Q87" s="12"/>
      <x:c r="R87" s="12"/>
    </x:row>
    <x:row r="88">
      <x:c r="A88" s="12" t="str">
        <x:v>EVD-00087</x:v>
      </x:c>
      <x:c r="B88" s="12" t="str">
        <x:v>NEED-0082</x:v>
      </x:c>
      <x:c r="C88" s="12" t="str">
        <x:v>SRC-0004</x:v>
      </x:c>
      <x:c r="D88" s="12" t="str">
        <x:v>The LP DAAC UWG is supportive of the NASA Earthdata GIS Team (EGIST) integrating ASTER GDEM and OPERA DIST-ALERT products into the platform.</x:v>
      </x:c>
      <x:c r="E88" s="12" t="str">
        <x:v>The LP DAAC UWG is supportive of the NASA Earthdata GIS Team (EGIST) integrating ASTER GDEM and OPERA DIST-ALERT products into the platform.</x:v>
      </x:c>
      <x:c r="F88" s="12" t="str">
        <x:v>Action</x:v>
      </x:c>
      <x:c r="G88" s="12" t="str">
        <x:v>LP DAAC User Working Group</x:v>
      </x:c>
      <x:c r="H88" s="12" t="n">
        <x:v>2024</x:v>
      </x:c>
      <x:c r="I88" s="12" t="str">
        <x:v>GIS users</x:v>
      </x:c>
      <x:c r="J88" s="12" t="str">
        <x:v>Medium</x:v>
      </x:c>
      <x:c r="K88" s="16" t="n">
        <x:v>0.75</x:v>
      </x:c>
      <x:c r="L88" s="12" t="str">
        <x:v>LSA similarity cluster; human review pending</x:v>
      </x:c>
      <x:c r="M88" s="12" t="str">
        <x:v>Section: New Actions and Recommendations; table row 34</x:v>
      </x:c>
      <x:c r="N88" s="12" t="str"/>
      <x:c r="O88" s="12" t="str">
        <x:v>No</x:v>
      </x:c>
      <x:c r="P88" s="12" t="str">
        <x:v>No</x:v>
      </x:c>
      <x:c r="Q88" s="12"/>
      <x:c r="R88" s="12"/>
    </x:row>
    <x:row r="89">
      <x:c r="A89" s="12" t="str">
        <x:v>EVD-00088</x:v>
      </x:c>
      <x:c r="B89" s="12" t="str">
        <x:v>NEED-0074</x:v>
      </x:c>
      <x:c r="C89" s="12" t="str">
        <x:v>SRC-0004</x:v>
      </x:c>
      <x:c r="D89" s="12" t="str">
        <x:v>The LP DAAC UWG recommends providing additional information on EGIS, Visualization, Exploration, and Data Analysis (VEDA), and the NASA – IBM Geospatial Foundational Model.</x:v>
      </x:c>
      <x:c r="E89" s="12" t="str">
        <x:v>The LP DAAC UWG recommends providing additional information on EGIS, Visualization, Exploration, and Data Analysis (VEDA), and the NASA – IBM Geospatial Foundational Model.</x:v>
      </x:c>
      <x:c r="F89" s="12" t="str">
        <x:v>Action</x:v>
      </x:c>
      <x:c r="G89" s="12" t="str">
        <x:v>LP DAAC User Working Group</x:v>
      </x:c>
      <x:c r="H89" s="12" t="n">
        <x:v>2024</x:v>
      </x:c>
      <x:c r="I89" s="12" t="str">
        <x:v>GIS users; Earth science researchers</x:v>
      </x:c>
      <x:c r="J89" s="12" t="str">
        <x:v>Low</x:v>
      </x:c>
      <x:c r="K89" s="16" t="n">
        <x:v>0.75</x:v>
      </x:c>
      <x:c r="L89" s="12" t="str">
        <x:v>LSA similarity cluster; human review pending</x:v>
      </x:c>
      <x:c r="M89" s="12" t="str">
        <x:v>Section: New Actions and Recommendations; table row 36</x:v>
      </x:c>
      <x:c r="N89" s="12" t="str"/>
      <x:c r="O89" s="12" t="str">
        <x:v>No</x:v>
      </x:c>
      <x:c r="P89" s="12" t="str">
        <x:v>No</x:v>
      </x:c>
      <x:c r="Q89" s="12"/>
      <x:c r="R89" s="12"/>
    </x:row>
    <x:row r="90">
      <x:c r="A90" s="12" t="str">
        <x:v>EVD-00089</x:v>
      </x:c>
      <x:c r="B90" s="12" t="str">
        <x:v>NEED-0190</x:v>
      </x:c>
      <x:c r="C90" s="12" t="str">
        <x:v>SRC-0004</x:v>
      </x:c>
      <x:c r="D90" s="12" t="str">
        <x:v>The LP DAAC UWG recommends lightning talk sessions where UWG members can highlight their use of LP DAAC data, tools, and services, and provide feedback at future meetings.</x:v>
      </x:c>
      <x:c r="E90" s="12" t="str">
        <x:v>The LP DAAC UWG recommends lightning talk sessions where UWG members can highlight their use of LP DAAC data, tools, and services, and provide feedback at future meetings.</x:v>
      </x:c>
      <x:c r="F90" s="12" t="str">
        <x:v>Action</x:v>
      </x:c>
      <x:c r="G90" s="12" t="str">
        <x:v>LP DAAC User Working Group</x:v>
      </x:c>
      <x:c r="H90" s="12" t="n">
        <x:v>2024</x:v>
      </x:c>
      <x:c r="I90" s="12" t="str">
        <x:v>Earthdata users</x:v>
      </x:c>
      <x:c r="J90" s="12" t="str">
        <x:v>High</x:v>
      </x:c>
      <x:c r="K90" s="16" t="n">
        <x:v>0.75</x:v>
      </x:c>
      <x:c r="L90" s="12" t="str">
        <x:v>LSA similarity cluster; human review pending</x:v>
      </x:c>
      <x:c r="M90" s="12" t="str">
        <x:v>Section: New Actions and Recommendations; table row 38</x:v>
      </x:c>
      <x:c r="N90" s="12" t="str"/>
      <x:c r="O90" s="12" t="str">
        <x:v>No</x:v>
      </x:c>
      <x:c r="P90" s="12" t="str">
        <x:v>No</x:v>
      </x:c>
      <x:c r="Q90" s="12"/>
      <x:c r="R90" s="12"/>
    </x:row>
    <x:row r="91">
      <x:c r="A91" s="12" t="str">
        <x:v>EVD-00090</x:v>
      </x:c>
      <x:c r="B91" s="12" t="str">
        <x:v>NEED-0136</x:v>
      </x:c>
      <x:c r="C91" s="12" t="str">
        <x:v>SRC-0004</x:v>
      </x:c>
      <x:c r="D91" s="12" t="str">
        <x:v>Fewer presentations overall to allow more time for discussion.</x:v>
      </x:c>
      <x:c r="E91" s="12" t="str">
        <x:v>Fewer presentations overall to allow more time for discussion.</x:v>
      </x:c>
      <x:c r="F91" s="12" t="str">
        <x:v>Action</x:v>
      </x:c>
      <x:c r="G91" s="12" t="str">
        <x:v>LP DAAC User Working Group</x:v>
      </x:c>
      <x:c r="H91" s="12" t="n">
        <x:v>2024</x:v>
      </x:c>
      <x:c r="I91" s="12" t="str">
        <x:v>Earthdata users</x:v>
      </x:c>
      <x:c r="J91" s="12" t="str">
        <x:v>High</x:v>
      </x:c>
      <x:c r="K91" s="16" t="n">
        <x:v>0.75</x:v>
      </x:c>
      <x:c r="L91" s="12" t="str">
        <x:v>LSA similarity cluster; human review pending</x:v>
      </x:c>
      <x:c r="M91" s="12" t="str">
        <x:v>Section: New Actions and Recommendations; table row 39</x:v>
      </x:c>
      <x:c r="N91" s="12" t="str"/>
      <x:c r="O91" s="12" t="str">
        <x:v>No</x:v>
      </x:c>
      <x:c r="P91" s="12" t="str">
        <x:v>No</x:v>
      </x:c>
      <x:c r="Q91" s="12"/>
      <x:c r="R91" s="12"/>
    </x:row>
    <x:row r="92">
      <x:c r="A92" s="12" t="str">
        <x:v>EVD-00091</x:v>
      </x:c>
      <x:c r="B92" s="12" t="str">
        <x:v>NEED-0122</x:v>
      </x:c>
      <x:c r="C92" s="12" t="str">
        <x:v>SRC-0004</x:v>
      </x:c>
      <x:c r="D92" s="12" t="str">
        <x:v>Take questions immediately following each presentation.</x:v>
      </x:c>
      <x:c r="E92" s="12" t="str">
        <x:v>Take questions immediately following each presentation.</x:v>
      </x:c>
      <x:c r="F92" s="12" t="str">
        <x:v>Action</x:v>
      </x:c>
      <x:c r="G92" s="12" t="str">
        <x:v>LP DAAC User Working Group</x:v>
      </x:c>
      <x:c r="H92" s="12" t="n">
        <x:v>2024</x:v>
      </x:c>
      <x:c r="I92" s="12" t="str">
        <x:v>Earthdata users</x:v>
      </x:c>
      <x:c r="J92" s="12" t="str">
        <x:v>Medium</x:v>
      </x:c>
      <x:c r="K92" s="16" t="n">
        <x:v>0.75</x:v>
      </x:c>
      <x:c r="L92" s="12" t="str">
        <x:v>LSA similarity cluster; human review pending</x:v>
      </x:c>
      <x:c r="M92" s="12" t="str">
        <x:v>Section: New Actions and Recommendations; table row 40</x:v>
      </x:c>
      <x:c r="N92" s="12" t="str"/>
      <x:c r="O92" s="12" t="str">
        <x:v>No</x:v>
      </x:c>
      <x:c r="P92" s="12" t="str">
        <x:v>No</x:v>
      </x:c>
      <x:c r="Q92" s="12"/>
      <x:c r="R92" s="12"/>
    </x:row>
    <x:row r="93">
      <x:c r="A93" s="12" t="str">
        <x:v>EVD-00092</x:v>
      </x:c>
      <x:c r="B93" s="12" t="str">
        <x:v>NEED-0124</x:v>
      </x:c>
      <x:c r="C93" s="12" t="str">
        <x:v>SRC-0004</x:v>
      </x:c>
      <x:c r="D93" s="12" t="str">
        <x:v>Host a one hour meeting every two months to check in on UWG activities.</x:v>
      </x:c>
      <x:c r="E93" s="12" t="str">
        <x:v>Host a one hour meeting every two months to check in on UWG activities.</x:v>
      </x:c>
      <x:c r="F93" s="12" t="str">
        <x:v>Action</x:v>
      </x:c>
      <x:c r="G93" s="12" t="str">
        <x:v>LP DAAC User Working Group</x:v>
      </x:c>
      <x:c r="H93" s="12" t="n">
        <x:v>2024</x:v>
      </x:c>
      <x:c r="I93" s="12" t="str">
        <x:v>Earthdata users</x:v>
      </x:c>
      <x:c r="J93" s="12" t="str">
        <x:v>Medium</x:v>
      </x:c>
      <x:c r="K93" s="16" t="n">
        <x:v>0.75</x:v>
      </x:c>
      <x:c r="L93" s="12" t="str">
        <x:v>LSA similarity cluster; human review pending</x:v>
      </x:c>
      <x:c r="M93" s="12" t="str">
        <x:v>Section: New Actions and Recommendations; table row 41</x:v>
      </x:c>
      <x:c r="N93" s="12" t="str"/>
      <x:c r="O93" s="12" t="str">
        <x:v>No</x:v>
      </x:c>
      <x:c r="P93" s="12" t="str">
        <x:v>No</x:v>
      </x:c>
      <x:c r="Q93" s="12"/>
      <x:c r="R93" s="12"/>
    </x:row>
    <x:row r="94">
      <x:c r="A94" s="12" t="str">
        <x:v>EVD-00093</x:v>
      </x:c>
      <x:c r="B94" s="12" t="str">
        <x:v>NEED-0126</x:v>
      </x:c>
      <x:c r="C94" s="12" t="str">
        <x:v>SRC-0004</x:v>
      </x:c>
      <x:c r="D94" s="12" t="str">
        <x:v>Create an option that allows users to opt out of Earthdata Login Authentication.</x:v>
      </x:c>
      <x:c r="E94" s="12" t="str">
        <x:v>Create an option that allows users to opt out of Earthdata Login Authentication.</x:v>
      </x:c>
      <x:c r="F94" s="12" t="str">
        <x:v>Action</x:v>
      </x:c>
      <x:c r="G94" s="12" t="str">
        <x:v>LP DAAC User Working Group</x:v>
      </x:c>
      <x:c r="H94" s="12" t="n">
        <x:v>2024</x:v>
      </x:c>
      <x:c r="I94" s="12" t="str">
        <x:v>Earthdata users</x:v>
      </x:c>
      <x:c r="J94" s="12" t="str">
        <x:v>High</x:v>
      </x:c>
      <x:c r="K94" s="16" t="n">
        <x:v>0.75</x:v>
      </x:c>
      <x:c r="L94" s="12" t="str">
        <x:v>LSA similarity cluster; human review pending</x:v>
      </x:c>
      <x:c r="M94" s="12" t="str">
        <x:v>Section: New Actions and Recommendations; table row 43</x:v>
      </x:c>
      <x:c r="N94" s="12" t="str"/>
      <x:c r="O94" s="12" t="str">
        <x:v>No</x:v>
      </x:c>
      <x:c r="P94" s="12" t="str">
        <x:v>No</x:v>
      </x:c>
      <x:c r="Q94" s="12"/>
      <x:c r="R94" s="12"/>
    </x:row>
    <x:row r="95">
      <x:c r="A95" s="12" t="str">
        <x:v>EVD-00094</x:v>
      </x:c>
      <x:c r="B95" s="12" t="str">
        <x:v>NEED-0125</x:v>
      </x:c>
      <x:c r="C95" s="12" t="str">
        <x:v>SRC-0004</x:v>
      </x:c>
      <x:c r="D95" s="12" t="str">
        <x:v>Look into internship opportunities.</x:v>
      </x:c>
      <x:c r="E95" s="12" t="str">
        <x:v>Look into internship opportunities.</x:v>
      </x:c>
      <x:c r="F95" s="12" t="str">
        <x:v>Action</x:v>
      </x:c>
      <x:c r="G95" s="12" t="str">
        <x:v>LP DAAC User Working Group</x:v>
      </x:c>
      <x:c r="H95" s="12" t="n">
        <x:v>2024</x:v>
      </x:c>
      <x:c r="I95" s="12" t="str">
        <x:v>Earthdata users</x:v>
      </x:c>
      <x:c r="J95" s="12" t="str">
        <x:v>Medium</x:v>
      </x:c>
      <x:c r="K95" s="16" t="n">
        <x:v>0.75</x:v>
      </x:c>
      <x:c r="L95" s="12" t="str">
        <x:v>LSA similarity cluster; human review pending</x:v>
      </x:c>
      <x:c r="M95" s="12" t="str">
        <x:v>Section: New Actions and Recommendations; table row 45</x:v>
      </x:c>
      <x:c r="N95" s="12" t="str"/>
      <x:c r="O95" s="12" t="str">
        <x:v>No</x:v>
      </x:c>
      <x:c r="P95" s="12" t="str">
        <x:v>No</x:v>
      </x:c>
      <x:c r="Q95" s="12"/>
      <x:c r="R95" s="12"/>
    </x:row>
    <x:row r="96">
      <x:c r="A96" s="12" t="str">
        <x:v>EVD-00095</x:v>
      </x:c>
      <x:c r="B96" s="12" t="str">
        <x:v>NEED-0159</x:v>
      </x:c>
      <x:c r="C96" s="12" t="str">
        <x:v>SRC-0004</x:v>
      </x:c>
      <x:c r="D96" s="12" t="str">
        <x:v>Communicate information on the drifting behavior and its repercussions for both MODIS instruments, which have significant impacts on the continuity of the atmosphere products due to both changes in temporal sampling and product quality.</x:v>
      </x:c>
      <x:c r="E96" s="12" t="str">
        <x:v>Communicate information on the drifting behavior and its repercussions for both MODIS instruments, which have significant impacts on the continuity of the atmosphere products due to both changes in temporal sampling and product quality.</x:v>
      </x:c>
      <x:c r="F96" s="12" t="str">
        <x:v>Action</x:v>
      </x:c>
      <x:c r="G96" s="12" t="str">
        <x:v>LAADS DAAC User Working Group</x:v>
      </x:c>
      <x:c r="H96" s="12" t="n">
        <x:v>2024</x:v>
      </x:c>
      <x:c r="I96" s="12" t="str">
        <x:v>Earthdata users</x:v>
      </x:c>
      <x:c r="J96" s="12" t="str">
        <x:v>Medium</x:v>
      </x:c>
      <x:c r="K96" s="16" t="n">
        <x:v>0.55</x:v>
      </x:c>
      <x:c r="L96" s="12" t="str">
        <x:v>LSA similarity cluster; human review pending</x:v>
      </x:c>
      <x:c r="M96" s="12" t="str">
        <x:v>Section: New Actions and Recommendations; table row 2</x:v>
      </x:c>
      <x:c r="N96" s="12" t="str"/>
      <x:c r="O96" s="12" t="str">
        <x:v>No</x:v>
      </x:c>
      <x:c r="P96" s="12" t="str">
        <x:v>No</x:v>
      </x:c>
      <x:c r="Q96" s="12"/>
      <x:c r="R96" s="12"/>
    </x:row>
    <x:row r="97">
      <x:c r="A97" s="12" t="str">
        <x:v>EVD-00096</x:v>
      </x:c>
      <x:c r="B97" s="12" t="str">
        <x:v>NEED-0002</x:v>
      </x:c>
      <x:c r="C97" s="12" t="str">
        <x:v>SRC-0004</x:v>
      </x:c>
      <x:c r="D97" s="12" t="str">
        <x:v>Identify how the LAADS DAAC can ensure that the MODIS user community can smoothly transition to using VIIRS cloud/aerosol products when the MODIS missions reach their Phase-F decommissioning phase by the end of 2026.</x:v>
      </x:c>
      <x:c r="E97" s="12" t="str">
        <x:v>Identify how the LAADS DAAC can ensure that the MODIS user community can smoothly transition to using VIIRS cloud/aerosol products when the MODIS missions reach their Phase-F decommissioning phase by the end of 2026.</x:v>
      </x:c>
      <x:c r="F97" s="12" t="str">
        <x:v>Action</x:v>
      </x:c>
      <x:c r="G97" s="12" t="str">
        <x:v>LAADS DAAC User Working Group</x:v>
      </x:c>
      <x:c r="H97" s="12" t="n">
        <x:v>2024</x:v>
      </x:c>
      <x:c r="I97" s="12" t="str">
        <x:v>Cloud-native researchers; Data producers and mission teams</x:v>
      </x:c>
      <x:c r="J97" s="12" t="str">
        <x:v>High</x:v>
      </x:c>
      <x:c r="K97" s="16" t="n">
        <x:v>0.75</x:v>
      </x:c>
      <x:c r="L97" s="12" t="str">
        <x:v>LSA similarity cluster; human review pending</x:v>
      </x:c>
      <x:c r="M97" s="12" t="str">
        <x:v>Section: New Actions and Recommendations; table row 4</x:v>
      </x:c>
      <x:c r="N97" s="12" t="str"/>
      <x:c r="O97" s="12" t="str">
        <x:v>No</x:v>
      </x:c>
      <x:c r="P97" s="12" t="str">
        <x:v>No</x:v>
      </x:c>
      <x:c r="Q97" s="12"/>
      <x:c r="R97" s="12"/>
    </x:row>
    <x:row r="98">
      <x:c r="A98" s="12" t="str">
        <x:v>EVD-00097</x:v>
      </x:c>
      <x:c r="B98" s="12" t="str">
        <x:v>NEED-0055</x:v>
      </x:c>
      <x:c r="C98" s="12" t="str">
        <x:v>SRC-0004</x:v>
      </x:c>
      <x:c r="D98" s="12" t="str">
        <x:v>Work with ESDIS and the Earthdata team to improve the search and discovery processes, which currently lacks a focused search capability to point users to optimal science products and versions. For instance, a current search for “Atmosphere” via Find Data on the Earthdata portal returns 4,271 matching collections. The Earthdata portal should implement changes to its search capability that enable curating a focused set of atmosphere products, working closely with the algorithm teams, to distill and provide a smaller set of precisely matching up-to-date products.</x:v>
      </x:c>
      <x:c r="E98" s="12" t="str">
        <x:v>Work with ESDIS and the Earthdata team to improve the search and discovery processes, which currently lacks a focused search capability to point users to optimal science products and versions. For instance, a current search for “Atmosphere” via Find Data on the Earthdata portal returns 4,271 matching collections. The Earthdata portal should implement changes to its search capability that enable curating a focused set of atmosphere products, working closely with the algorithm teams, to distill and provide a smaller set of precisely matching up-to-date products.</x:v>
      </x:c>
      <x:c r="F98" s="12" t="str">
        <x:v>Action</x:v>
      </x:c>
      <x:c r="G98" s="12" t="str">
        <x:v>LAADS DAAC User Working Group</x:v>
      </x:c>
      <x:c r="H98" s="12" t="n">
        <x:v>2024</x:v>
      </x:c>
      <x:c r="I98" s="12" t="str">
        <x:v>Earthdata users</x:v>
      </x:c>
      <x:c r="J98" s="12" t="str">
        <x:v>High</x:v>
      </x:c>
      <x:c r="K98" s="16" t="n">
        <x:v>0.75</x:v>
      </x:c>
      <x:c r="L98" s="12" t="str">
        <x:v>LSA similarity cluster; human review pending</x:v>
      </x:c>
      <x:c r="M98" s="12" t="str">
        <x:v>Section: New Actions and Recommendations; table row 6</x:v>
      </x:c>
      <x:c r="N98" s="12" t="str"/>
      <x:c r="O98" s="12" t="str">
        <x:v>No</x:v>
      </x:c>
      <x:c r="P98" s="12" t="str">
        <x:v>No</x:v>
      </x:c>
      <x:c r="Q98" s="12"/>
      <x:c r="R98" s="12"/>
    </x:row>
    <x:row r="99">
      <x:c r="A99" s="12" t="str">
        <x:v>EVD-00098</x:v>
      </x:c>
      <x:c r="B99" s="12" t="str">
        <x:v>NEED-0071</x:v>
      </x:c>
      <x:c r="C99" s="12" t="str">
        <x:v>SRC-0004</x:v>
      </x:c>
      <x:c r="D99" s="12" t="str">
        <x:v>The LAADS DAAC, as part of its position within the Terrestrial Information Systems Laboratory, should attempt to acquire and curate other GSFC facility instruments-based surface validation networks and their data collections that are currently not available through a single DAAC source.</x:v>
      </x:c>
      <x:c r="E99" s="12" t="str">
        <x:v>The LAADS DAAC, as part of its position within the Terrestrial Information Systems Laboratory, should attempt to acquire and curate other GSFC facility instruments-based surface validation networks and their data collections that are currently not available through a single DAAC source.</x:v>
      </x:c>
      <x:c r="F99" s="12" t="str">
        <x:v>Action</x:v>
      </x:c>
      <x:c r="G99" s="12" t="str">
        <x:v>LAADS DAAC User Working Group</x:v>
      </x:c>
      <x:c r="H99" s="12" t="n">
        <x:v>2024</x:v>
      </x:c>
      <x:c r="I99" s="12" t="str">
        <x:v>Earthdata users</x:v>
      </x:c>
      <x:c r="J99" s="12" t="str">
        <x:v>High</x:v>
      </x:c>
      <x:c r="K99" s="16" t="n">
        <x:v>0.75</x:v>
      </x:c>
      <x:c r="L99" s="12" t="str">
        <x:v>LSA similarity cluster; human review pending</x:v>
      </x:c>
      <x:c r="M99" s="12" t="str">
        <x:v>Section: New Actions and Recommendations; table row 8</x:v>
      </x:c>
      <x:c r="N99" s="12" t="str"/>
      <x:c r="O99" s="12" t="str">
        <x:v>No</x:v>
      </x:c>
      <x:c r="P99" s="12" t="str">
        <x:v>No</x:v>
      </x:c>
      <x:c r="Q99" s="12"/>
      <x:c r="R99" s="12"/>
    </x:row>
    <x:row r="100">
      <x:c r="A100" s="12" t="str">
        <x:v>EVD-00099</x:v>
      </x:c>
      <x:c r="B100" s="12" t="str">
        <x:v>NEED-0207</x:v>
      </x:c>
      <x:c r="C100" s="12" t="str">
        <x:v>SRC-0004</x:v>
      </x:c>
      <x:c r="D100" s="12" t="str">
        <x:v>The LAADS DAAC should position itself to support new missions and programs such as ESO/AOS, Planetary Boundary Layer (PBL), Surface Topography and Vegetation (STV), etc.</x:v>
      </x:c>
      <x:c r="E100" s="12" t="str">
        <x:v>The LAADS DAAC should position itself to support new missions and programs such as ESO/AOS, Planetary Boundary Layer (PBL), Surface Topography and Vegetation (STV), etc.</x:v>
      </x:c>
      <x:c r="F100" s="12" t="str">
        <x:v>Action</x:v>
      </x:c>
      <x:c r="G100" s="12" t="str">
        <x:v>LAADS DAAC User Working Group</x:v>
      </x:c>
      <x:c r="H100" s="12" t="n">
        <x:v>2024</x:v>
      </x:c>
      <x:c r="I100" s="12" t="str">
        <x:v>Data producers and mission teams</x:v>
      </x:c>
      <x:c r="J100" s="12" t="str">
        <x:v>High</x:v>
      </x:c>
      <x:c r="K100" s="16" t="n">
        <x:v>0.75</x:v>
      </x:c>
      <x:c r="L100" s="12" t="str">
        <x:v>LSA similarity cluster; human review pending</x:v>
      </x:c>
      <x:c r="M100" s="12" t="str">
        <x:v>Section: New Actions and Recommendations; table row 10</x:v>
      </x:c>
      <x:c r="N100" s="12" t="str"/>
      <x:c r="O100" s="12" t="str">
        <x:v>No</x:v>
      </x:c>
      <x:c r="P100" s="12" t="str">
        <x:v>No</x:v>
      </x:c>
      <x:c r="Q100" s="12"/>
      <x:c r="R100" s="12"/>
    </x:row>
    <x:row r="101">
      <x:c r="A101" s="12" t="str">
        <x:v>EVD-00100</x:v>
      </x:c>
      <x:c r="B101" s="12" t="str">
        <x:v>NEED-0127</x:v>
      </x:c>
      <x:c r="C101" s="12" t="str">
        <x:v>SRC-0004</x:v>
      </x:c>
      <x:c r="D101" s="12" t="str">
        <x:v>Replace Mark Raleigh who is planning to resign from the UWG.</x:v>
      </x:c>
      <x:c r="E101" s="12" t="str">
        <x:v>Replace Mark Raleigh who is planning to resign from the UWG.</x:v>
      </x:c>
      <x:c r="F101" s="12" t="str">
        <x:v>Action</x:v>
      </x:c>
      <x:c r="G101" s="12" t="str">
        <x:v>NSIDC DAAC User Working Group</x:v>
      </x:c>
      <x:c r="H101" s="12" t="n">
        <x:v>2024</x:v>
      </x:c>
      <x:c r="I101" s="12" t="str">
        <x:v>Earthdata users</x:v>
      </x:c>
      <x:c r="J101" s="12" t="str">
        <x:v>Medium</x:v>
      </x:c>
      <x:c r="K101" s="16" t="n">
        <x:v>0.75</x:v>
      </x:c>
      <x:c r="L101" s="12" t="str">
        <x:v>LSA similarity cluster; human review pending</x:v>
      </x:c>
      <x:c r="M101" s="12" t="str">
        <x:v>Section: New Actions and Recommendations; table row 2</x:v>
      </x:c>
      <x:c r="N101" s="12" t="str"/>
      <x:c r="O101" s="12" t="str">
        <x:v>No</x:v>
      </x:c>
      <x:c r="P101" s="12" t="str">
        <x:v>No</x:v>
      </x:c>
      <x:c r="Q101" s="12"/>
      <x:c r="R101" s="12"/>
    </x:row>
    <x:row r="102">
      <x:c r="A102" s="12" t="str">
        <x:v>EVD-00101</x:v>
      </x:c>
      <x:c r="B102" s="12" t="str">
        <x:v>NEED-0143</x:v>
      </x:c>
      <x:c r="C102" s="12" t="str">
        <x:v>SRC-0004</x:v>
      </x:c>
      <x:c r="D102" s="12" t="str">
        <x:v>More engagement with UWG through the year would be helpful, beyond annual meeting and quarterly telecons.</x:v>
      </x:c>
      <x:c r="E102" s="12" t="str">
        <x:v>More engagement with UWG through the year would be helpful, beyond annual meeting and quarterly telecons.</x:v>
      </x:c>
      <x:c r="F102" s="12" t="str">
        <x:v>Action</x:v>
      </x:c>
      <x:c r="G102" s="12" t="str">
        <x:v>NSIDC DAAC User Working Group</x:v>
      </x:c>
      <x:c r="H102" s="12" t="n">
        <x:v>2024</x:v>
      </x:c>
      <x:c r="I102" s="12" t="str">
        <x:v>Earthdata users</x:v>
      </x:c>
      <x:c r="J102" s="12" t="str">
        <x:v>Medium</x:v>
      </x:c>
      <x:c r="K102" s="16" t="n">
        <x:v>0.75</x:v>
      </x:c>
      <x:c r="L102" s="12" t="str">
        <x:v>LSA similarity cluster; human review pending</x:v>
      </x:c>
      <x:c r="M102" s="12" t="str">
        <x:v>Section: New Actions and Recommendations; table row 5</x:v>
      </x:c>
      <x:c r="N102" s="12" t="str"/>
      <x:c r="O102" s="12" t="str">
        <x:v>No</x:v>
      </x:c>
      <x:c r="P102" s="12" t="str">
        <x:v>No</x:v>
      </x:c>
      <x:c r="Q102" s="12"/>
      <x:c r="R102" s="12"/>
    </x:row>
    <x:row r="103">
      <x:c r="A103" s="12" t="str">
        <x:v>EVD-00102</x:v>
      </x:c>
      <x:c r="B103" s="12" t="str">
        <x:v>NEED-0122</x:v>
      </x:c>
      <x:c r="C103" s="12" t="str">
        <x:v>SRC-0004</x:v>
      </x:c>
      <x:c r="D103" s="12" t="str">
        <x:v>The UWG is not large enough to represent all users and broader input would better inform NSIDC DAAC priorities</x:v>
      </x:c>
      <x:c r="E103" s="12" t="str">
        <x:v>The UWG is not large enough to represent all users and broader input would better inform NSIDC DAAC priorities</x:v>
      </x:c>
      <x:c r="F103" s="12" t="str">
        <x:v>Action</x:v>
      </x:c>
      <x:c r="G103" s="12" t="str">
        <x:v>NSIDC DAAC User Working Group</x:v>
      </x:c>
      <x:c r="H103" s="12" t="n">
        <x:v>2024</x:v>
      </x:c>
      <x:c r="I103" s="12" t="str">
        <x:v>Earthdata users</x:v>
      </x:c>
      <x:c r="J103" s="12" t="str">
        <x:v>Medium</x:v>
      </x:c>
      <x:c r="K103" s="16" t="n">
        <x:v>0.75</x:v>
      </x:c>
      <x:c r="L103" s="12" t="str">
        <x:v>LSA similarity cluster; human review pending</x:v>
      </x:c>
      <x:c r="M103" s="12" t="str">
        <x:v>Section: New Actions and Recommendations; table row 8</x:v>
      </x:c>
      <x:c r="N103" s="12" t="str"/>
      <x:c r="O103" s="12" t="str">
        <x:v>No</x:v>
      </x:c>
      <x:c r="P103" s="12" t="str">
        <x:v>No</x:v>
      </x:c>
      <x:c r="Q103" s="12"/>
      <x:c r="R103" s="12"/>
    </x:row>
    <x:row r="104">
      <x:c r="A104" s="12" t="str">
        <x:v>EVD-00103</x:v>
      </x:c>
      <x:c r="B104" s="12" t="str">
        <x:v>NEED-0140</x:v>
      </x:c>
      <x:c r="C104" s="12" t="str">
        <x:v>SRC-0004</x:v>
      </x:c>
      <x:c r="D104" s="12" t="str">
        <x:v>Provide updates on efforts toward COFs.</x:v>
      </x:c>
      <x:c r="E104" s="12" t="str">
        <x:v>Provide updates on efforts toward COFs.</x:v>
      </x:c>
      <x:c r="F104" s="12" t="str">
        <x:v>Action</x:v>
      </x:c>
      <x:c r="G104" s="12" t="str">
        <x:v>NSIDC DAAC User Working Group</x:v>
      </x:c>
      <x:c r="H104" s="12" t="n">
        <x:v>2024</x:v>
      </x:c>
      <x:c r="I104" s="12" t="str">
        <x:v>Earthdata users</x:v>
      </x:c>
      <x:c r="J104" s="12" t="str">
        <x:v>High</x:v>
      </x:c>
      <x:c r="K104" s="16" t="n">
        <x:v>0.75</x:v>
      </x:c>
      <x:c r="L104" s="12" t="str">
        <x:v>LSA similarity cluster; human review pending</x:v>
      </x:c>
      <x:c r="M104" s="12" t="str">
        <x:v>Section: New Actions and Recommendations; table row 11</x:v>
      </x:c>
      <x:c r="N104" s="12" t="str"/>
      <x:c r="O104" s="12" t="str">
        <x:v>No</x:v>
      </x:c>
      <x:c r="P104" s="12" t="str">
        <x:v>No</x:v>
      </x:c>
      <x:c r="Q104" s="12"/>
      <x:c r="R104" s="12"/>
    </x:row>
    <x:row r="105">
      <x:c r="A105" s="12" t="str">
        <x:v>EVD-00104</x:v>
      </x:c>
      <x:c r="B105" s="12" t="str">
        <x:v>NEED-0007</x:v>
      </x:c>
      <x:c r="C105" s="12" t="str">
        <x:v>SRC-0004</x:v>
      </x:c>
      <x:c r="D105" s="12" t="str">
        <x:v>Provide status updates on ECS Decomm and cloud transition.</x:v>
      </x:c>
      <x:c r="E105" s="12" t="str">
        <x:v>Provide status updates on ECS Decomm and cloud transition.</x:v>
      </x:c>
      <x:c r="F105" s="12" t="str">
        <x:v>Action</x:v>
      </x:c>
      <x:c r="G105" s="12" t="str">
        <x:v>NSIDC DAAC User Working Group</x:v>
      </x:c>
      <x:c r="H105" s="12" t="n">
        <x:v>2024</x:v>
      </x:c>
      <x:c r="I105" s="12" t="str">
        <x:v>Cloud-native researchers</x:v>
      </x:c>
      <x:c r="J105" s="12" t="str">
        <x:v>High</x:v>
      </x:c>
      <x:c r="K105" s="16" t="n">
        <x:v>0.75</x:v>
      </x:c>
      <x:c r="L105" s="12" t="str">
        <x:v>LSA similarity cluster; human review pending</x:v>
      </x:c>
      <x:c r="M105" s="12" t="str">
        <x:v>Section: New Actions and Recommendations; table row 13</x:v>
      </x:c>
      <x:c r="N105" s="12" t="str"/>
      <x:c r="O105" s="12" t="str">
        <x:v>No</x:v>
      </x:c>
      <x:c r="P105" s="12" t="str">
        <x:v>No</x:v>
      </x:c>
      <x:c r="Q105" s="12"/>
      <x:c r="R105" s="12"/>
    </x:row>
    <x:row r="106">
      <x:c r="A106" s="12" t="str">
        <x:v>EVD-00105</x:v>
      </x:c>
      <x:c r="B106" s="12" t="str">
        <x:v>NEED-0090</x:v>
      </x:c>
      <x:c r="C106" s="12" t="str">
        <x:v>SRC-0004</x:v>
      </x:c>
      <x:c r="D106" s="12" t="str">
        <x:v>How will domain redirects work after ECS is decommissioned? Will programmatic requests to ECS get an informative error message?</x:v>
      </x:c>
      <x:c r="E106" s="12" t="str">
        <x:v>How will domain redirects work after ECS is decommissioned? Will programmatic requests to ECS get an informative error message?</x:v>
      </x:c>
      <x:c r="F106" s="12" t="str">
        <x:v>Action</x:v>
      </x:c>
      <x:c r="G106" s="12" t="str">
        <x:v>NSIDC DAAC User Working Group</x:v>
      </x:c>
      <x:c r="H106" s="12" t="n">
        <x:v>2024</x:v>
      </x:c>
      <x:c r="I106" s="12" t="str">
        <x:v>Application developers; Data producers and mission teams</x:v>
      </x:c>
      <x:c r="J106" s="12" t="str">
        <x:v>Medium</x:v>
      </x:c>
      <x:c r="K106" s="16" t="n">
        <x:v>0.55</x:v>
      </x:c>
      <x:c r="L106" s="12" t="str">
        <x:v>LSA similarity cluster; human review pending</x:v>
      </x:c>
      <x:c r="M106" s="12" t="str">
        <x:v>Section: New Actions and Recommendations; table row 15</x:v>
      </x:c>
      <x:c r="N106" s="12" t="str"/>
      <x:c r="O106" s="12" t="str">
        <x:v>No</x:v>
      </x:c>
      <x:c r="P106" s="12" t="str">
        <x:v>No</x:v>
      </x:c>
      <x:c r="Q106" s="12"/>
      <x:c r="R106" s="12"/>
    </x:row>
    <x:row r="107">
      <x:c r="A107" s="12" t="str">
        <x:v>EVD-00106</x:v>
      </x:c>
      <x:c r="B107" s="12" t="str">
        <x:v>NEED-0129</x:v>
      </x:c>
      <x:c r="C107" s="12" t="str">
        <x:v>SRC-0004</x:v>
      </x:c>
      <x:c r="D107" s="12" t="str">
        <x:v>More interaction with ARSET will be valuable.</x:v>
      </x:c>
      <x:c r="E107" s="12" t="str">
        <x:v>More interaction with ARSET will be valuable.</x:v>
      </x:c>
      <x:c r="F107" s="12" t="str">
        <x:v>Action</x:v>
      </x:c>
      <x:c r="G107" s="12" t="str">
        <x:v>NSIDC DAAC User Working Group</x:v>
      </x:c>
      <x:c r="H107" s="12" t="n">
        <x:v>2024</x:v>
      </x:c>
      <x:c r="I107" s="12" t="str">
        <x:v>Earthdata users</x:v>
      </x:c>
      <x:c r="J107" s="12" t="str">
        <x:v>Medium</x:v>
      </x:c>
      <x:c r="K107" s="16" t="n">
        <x:v>0.75</x:v>
      </x:c>
      <x:c r="L107" s="12" t="str">
        <x:v>LSA similarity cluster; human review pending</x:v>
      </x:c>
      <x:c r="M107" s="12" t="str">
        <x:v>Section: New Actions and Recommendations; table row 17</x:v>
      </x:c>
      <x:c r="N107" s="12" t="str"/>
      <x:c r="O107" s="12" t="str">
        <x:v>No</x:v>
      </x:c>
      <x:c r="P107" s="12" t="str">
        <x:v>No</x:v>
      </x:c>
      <x:c r="Q107" s="12"/>
      <x:c r="R107" s="12"/>
    </x:row>
    <x:row r="108">
      <x:c r="A108" s="12" t="str">
        <x:v>EVD-00107</x:v>
      </x:c>
      <x:c r="B108" s="12" t="str">
        <x:v>NEED-0119</x:v>
      </x:c>
      <x:c r="C108" s="12" t="str">
        <x:v>SRC-0004</x:v>
      </x:c>
      <x:c r="D108" s="12" t="str">
        <x:v>Share reports with UWG.</x:v>
      </x:c>
      <x:c r="E108" s="12" t="str">
        <x:v>Share reports with UWG.</x:v>
      </x:c>
      <x:c r="F108" s="12" t="str">
        <x:v>Action</x:v>
      </x:c>
      <x:c r="G108" s="12" t="str">
        <x:v>NSIDC DAAC User Working Group</x:v>
      </x:c>
      <x:c r="H108" s="12" t="n">
        <x:v>2024</x:v>
      </x:c>
      <x:c r="I108" s="12" t="str">
        <x:v>Earthdata users</x:v>
      </x:c>
      <x:c r="J108" s="12" t="str">
        <x:v>Medium</x:v>
      </x:c>
      <x:c r="K108" s="16" t="n">
        <x:v>0.75</x:v>
      </x:c>
      <x:c r="L108" s="12" t="str">
        <x:v>LSA similarity cluster; human review pending</x:v>
      </x:c>
      <x:c r="M108" s="12" t="str">
        <x:v>Section: New Actions and Recommendations; table row 20</x:v>
      </x:c>
      <x:c r="N108" s="12" t="str"/>
      <x:c r="O108" s="12" t="str">
        <x:v>No</x:v>
      </x:c>
      <x:c r="P108" s="12" t="str">
        <x:v>No</x:v>
      </x:c>
      <x:c r="Q108" s="12"/>
      <x:c r="R108" s="12"/>
    </x:row>
    <x:row r="109">
      <x:c r="A109" s="12" t="str">
        <x:v>EVD-00108</x:v>
      </x:c>
      <x:c r="B109" s="12" t="str">
        <x:v>NEED-0035</x:v>
      </x:c>
      <x:c r="C109" s="12" t="str">
        <x:v>SRC-0004</x:v>
      </x:c>
      <x:c r="D109" s="12" t="str">
        <x:v>UWG is interested in hearing if a copy of CryoSat-2 data could be archived at a DAAC, as is planned for CRISTAL, and/or if earthaccess could be extended to CryoSat-2 (and other ESA) data.</x:v>
      </x:c>
      <x:c r="E109" s="12" t="str">
        <x:v>UWG is interested in hearing if a copy of CryoSat-2 data could be archived at a DAAC, as is planned for CRISTAL, and/or if earthaccess could be extended to CryoSat-2 (and other ESA) data.</x:v>
      </x:c>
      <x:c r="F109" s="12" t="str">
        <x:v>Action</x:v>
      </x:c>
      <x:c r="G109" s="12" t="str">
        <x:v>NSIDC DAAC User Working Group</x:v>
      </x:c>
      <x:c r="H109" s="12" t="n">
        <x:v>2024</x:v>
      </x:c>
      <x:c r="I109" s="12" t="str">
        <x:v>Data producers and mission teams</x:v>
      </x:c>
      <x:c r="J109" s="12" t="str">
        <x:v>Medium</x:v>
      </x:c>
      <x:c r="K109" s="16" t="n">
        <x:v>0.75</x:v>
      </x:c>
      <x:c r="L109" s="12" t="str">
        <x:v>LSA similarity cluster; human review pending</x:v>
      </x:c>
      <x:c r="M109" s="12" t="str">
        <x:v>Section: New Actions and Recommendations; table row 22</x:v>
      </x:c>
      <x:c r="N109" s="12" t="str"/>
      <x:c r="O109" s="12" t="str">
        <x:v>No</x:v>
      </x:c>
      <x:c r="P109" s="12" t="str">
        <x:v>No</x:v>
      </x:c>
      <x:c r="Q109" s="12"/>
      <x:c r="R109" s="12"/>
    </x:row>
    <x:row r="110">
      <x:c r="A110" s="12" t="str">
        <x:v>EVD-00109</x:v>
      </x:c>
      <x:c r="B110" s="12" t="str">
        <x:v>NEED-0122</x:v>
      </x:c>
      <x:c r="C110" s="12" t="str">
        <x:v>SRC-0004</x:v>
      </x:c>
      <x:c r="D110" s="12" t="str">
        <x:v>Difficult to understand when and how best to chunk data.</x:v>
      </x:c>
      <x:c r="E110" s="12" t="str">
        <x:v>Difficult to understand when and how best to chunk data.</x:v>
      </x:c>
      <x:c r="F110" s="12" t="str">
        <x:v>Action</x:v>
      </x:c>
      <x:c r="G110" s="12" t="str">
        <x:v>NSIDC DAAC User Working Group</x:v>
      </x:c>
      <x:c r="H110" s="12" t="n">
        <x:v>2024</x:v>
      </x:c>
      <x:c r="I110" s="12" t="str">
        <x:v>Earthdata users</x:v>
      </x:c>
      <x:c r="J110" s="12" t="str">
        <x:v>Medium</x:v>
      </x:c>
      <x:c r="K110" s="16" t="n">
        <x:v>0.75</x:v>
      </x:c>
      <x:c r="L110" s="12" t="str">
        <x:v>LSA similarity cluster; human review pending</x:v>
      </x:c>
      <x:c r="M110" s="12" t="str">
        <x:v>Section: New Actions and Recommendations; table row 24</x:v>
      </x:c>
      <x:c r="N110" s="12" t="str"/>
      <x:c r="O110" s="12" t="str">
        <x:v>No</x:v>
      </x:c>
      <x:c r="P110" s="12" t="str">
        <x:v>No</x:v>
      </x:c>
      <x:c r="Q110" s="12"/>
      <x:c r="R110" s="12"/>
    </x:row>
    <x:row r="111">
      <x:c r="A111" s="12" t="str">
        <x:v>EVD-00110</x:v>
      </x:c>
      <x:c r="B111" s="12" t="str">
        <x:v>NEED-0120</x:v>
      </x:c>
      <x:c r="C111" s="12" t="str">
        <x:v>SRC-0004</x:v>
      </x:c>
      <x:c r="D111" s="12" t="str">
        <x:v>Important for DAAC to engage with Earth Science to Action, particularly through native communities.</x:v>
      </x:c>
      <x:c r="E111" s="12" t="str">
        <x:v>Important for DAAC to engage with Earth Science to Action, particularly through native communities.</x:v>
      </x:c>
      <x:c r="F111" s="12" t="str">
        <x:v>Action</x:v>
      </x:c>
      <x:c r="G111" s="12" t="str">
        <x:v>NSIDC DAAC User Working Group</x:v>
      </x:c>
      <x:c r="H111" s="12" t="n">
        <x:v>2024</x:v>
      </x:c>
      <x:c r="I111" s="12" t="str">
        <x:v>Earthdata users</x:v>
      </x:c>
      <x:c r="J111" s="12" t="str">
        <x:v>Medium</x:v>
      </x:c>
      <x:c r="K111" s="16" t="n">
        <x:v>0.75</x:v>
      </x:c>
      <x:c r="L111" s="12" t="str">
        <x:v>LSA similarity cluster; human review pending</x:v>
      </x:c>
      <x:c r="M111" s="12" t="str">
        <x:v>Section: New Actions and Recommendations; table row 26</x:v>
      </x:c>
      <x:c r="N111" s="12" t="str"/>
      <x:c r="O111" s="12" t="str">
        <x:v>No</x:v>
      </x:c>
      <x:c r="P111" s="12" t="str">
        <x:v>No</x:v>
      </x:c>
      <x:c r="Q111" s="12"/>
      <x:c r="R111" s="12"/>
    </x:row>
    <x:row r="112">
      <x:c r="A112" s="12" t="str">
        <x:v>EVD-00111</x:v>
      </x:c>
      <x:c r="B112" s="12" t="str">
        <x:v>NEED-0179</x:v>
      </x:c>
      <x:c r="C112" s="12" t="str">
        <x:v>SRC-0004</x:v>
      </x:c>
      <x:c r="D112" s="12" t="str">
        <x:v>Continue to provide high-quality scientific and data support through ORNL DAAC’s expert services that maintain the specialized, context-specific support needed for publication of diverse data.</x:v>
      </x:c>
      <x:c r="E112" s="12" t="str">
        <x:v>Continue to provide high-quality scientific and data support through ORNL DAAC’s expert services that maintain the specialized, context-specific support needed for publication of diverse data.</x:v>
      </x:c>
      <x:c r="F112" s="12" t="str">
        <x:v>Action</x:v>
      </x:c>
      <x:c r="G112" s="12" t="str">
        <x:v>ORNL DAAC User Working Group</x:v>
      </x:c>
      <x:c r="H112" s="12" t="n">
        <x:v>2024</x:v>
      </x:c>
      <x:c r="I112" s="12" t="str">
        <x:v>Data producers and mission teams</x:v>
      </x:c>
      <x:c r="J112" s="12" t="str">
        <x:v>High</x:v>
      </x:c>
      <x:c r="K112" s="16" t="n">
        <x:v>0.75</x:v>
      </x:c>
      <x:c r="L112" s="12" t="str">
        <x:v>LSA similarity cluster; human review pending</x:v>
      </x:c>
      <x:c r="M112" s="12" t="str">
        <x:v>Section: New Actions and Recommendations; table row 2</x:v>
      </x:c>
      <x:c r="N112" s="12" t="str"/>
      <x:c r="O112" s="12" t="str">
        <x:v>No</x:v>
      </x:c>
      <x:c r="P112" s="12" t="str">
        <x:v>No</x:v>
      </x:c>
      <x:c r="Q112" s="12"/>
      <x:c r="R112" s="12"/>
    </x:row>
    <x:row r="113">
      <x:c r="A113" s="12" t="str">
        <x:v>EVD-00112</x:v>
      </x:c>
      <x:c r="B113" s="12" t="str">
        <x:v>NEED-0123</x:v>
      </x:c>
      <x:c r="C113" s="12" t="str">
        <x:v>SRC-0004</x:v>
      </x:c>
      <x:c r="D113" s="12" t="str">
        <x:v>Provide clear, concrete, and implementable guidance to data producers to prepare archival-ready airborne and field data.</x:v>
      </x:c>
      <x:c r="E113" s="12" t="str">
        <x:v>Provide clear, concrete, and implementable guidance to data producers to prepare archival-ready airborne and field data.</x:v>
      </x:c>
      <x:c r="F113" s="12" t="str">
        <x:v>Action</x:v>
      </x:c>
      <x:c r="G113" s="12" t="str">
        <x:v>ORNL DAAC User Working Group</x:v>
      </x:c>
      <x:c r="H113" s="12" t="n">
        <x:v>2024</x:v>
      </x:c>
      <x:c r="I113" s="12" t="str">
        <x:v>Data producers and mission teams</x:v>
      </x:c>
      <x:c r="J113" s="12" t="str">
        <x:v>High</x:v>
      </x:c>
      <x:c r="K113" s="16" t="n">
        <x:v>0.75</x:v>
      </x:c>
      <x:c r="L113" s="12" t="str">
        <x:v>LSA similarity cluster; human review pending</x:v>
      </x:c>
      <x:c r="M113" s="12" t="str">
        <x:v>Section: New Actions and Recommendations; table row 3</x:v>
      </x:c>
      <x:c r="N113" s="12" t="str"/>
      <x:c r="O113" s="12" t="str">
        <x:v>No</x:v>
      </x:c>
      <x:c r="P113" s="12" t="str">
        <x:v>No</x:v>
      </x:c>
      <x:c r="Q113" s="12"/>
      <x:c r="R113" s="12"/>
    </x:row>
    <x:row r="114">
      <x:c r="A114" s="12" t="str">
        <x:v>EVD-00113</x:v>
      </x:c>
      <x:c r="B114" s="12" t="str">
        <x:v>NEED-0123</x:v>
      </x:c>
      <x:c r="C114" s="12" t="str">
        <x:v>SRC-0004</x:v>
      </x:c>
      <x:c r="D114" s="12" t="str">
        <x:v>Provide guidance and practices on drone data archival and use.</x:v>
      </x:c>
      <x:c r="E114" s="12" t="str">
        <x:v>Provide guidance and practices on drone data archival and use.</x:v>
      </x:c>
      <x:c r="F114" s="12" t="str">
        <x:v>Action</x:v>
      </x:c>
      <x:c r="G114" s="12" t="str">
        <x:v>ORNL DAAC User Working Group</x:v>
      </x:c>
      <x:c r="H114" s="12" t="n">
        <x:v>2024</x:v>
      </x:c>
      <x:c r="I114" s="12" t="str">
        <x:v>Earthdata users</x:v>
      </x:c>
      <x:c r="J114" s="12" t="str">
        <x:v>High</x:v>
      </x:c>
      <x:c r="K114" s="16" t="n">
        <x:v>0.75</x:v>
      </x:c>
      <x:c r="L114" s="12" t="str">
        <x:v>LSA similarity cluster; human review pending</x:v>
      </x:c>
      <x:c r="M114" s="12" t="str">
        <x:v>Section: New Actions and Recommendations; table row 4</x:v>
      </x:c>
      <x:c r="N114" s="12" t="str"/>
      <x:c r="O114" s="12" t="str">
        <x:v>No</x:v>
      </x:c>
      <x:c r="P114" s="12" t="str">
        <x:v>No</x:v>
      </x:c>
      <x:c r="Q114" s="12"/>
      <x:c r="R114" s="12"/>
    </x:row>
    <x:row r="115">
      <x:c r="A115" s="12" t="str">
        <x:v>EVD-00114</x:v>
      </x:c>
      <x:c r="B115" s="12" t="str">
        <x:v>NEED-0020</x:v>
      </x:c>
      <x:c r="C115" s="12" t="str">
        <x:v>SRC-0004</x:v>
      </x:c>
      <x:c r="D115" s="12" t="str">
        <x:v>Continue to improve the findability and accessibility of airborne and field data.</x:v>
      </x:c>
      <x:c r="E115" s="12" t="str">
        <x:v>Continue to improve the findability and accessibility of airborne and field data.</x:v>
      </x:c>
      <x:c r="F115" s="12" t="str">
        <x:v>Action</x:v>
      </x:c>
      <x:c r="G115" s="12" t="str">
        <x:v>ORNL DAAC User Working Group</x:v>
      </x:c>
      <x:c r="H115" s="12" t="n">
        <x:v>2024</x:v>
      </x:c>
      <x:c r="I115" s="12" t="str">
        <x:v>Earthdata users</x:v>
      </x:c>
      <x:c r="J115" s="12" t="str">
        <x:v>High</x:v>
      </x:c>
      <x:c r="K115" s="16" t="n">
        <x:v>0.75</x:v>
      </x:c>
      <x:c r="L115" s="12" t="str">
        <x:v>LSA similarity cluster; human review pending</x:v>
      </x:c>
      <x:c r="M115" s="12" t="str">
        <x:v>Section: New Actions and Recommendations; table row 6</x:v>
      </x:c>
      <x:c r="N115" s="12" t="str"/>
      <x:c r="O115" s="12" t="str">
        <x:v>No</x:v>
      </x:c>
      <x:c r="P115" s="12" t="str">
        <x:v>No</x:v>
      </x:c>
      <x:c r="Q115" s="12"/>
      <x:c r="R115" s="12"/>
    </x:row>
    <x:row r="116">
      <x:c r="A116" s="12" t="str">
        <x:v>EVD-00115</x:v>
      </x:c>
      <x:c r="B116" s="12" t="str">
        <x:v>NEED-0141</x:v>
      </x:c>
      <x:c r="C116" s="12" t="str">
        <x:v>SRC-0004</x:v>
      </x:c>
      <x:c r="D116" s="12" t="str">
        <x:v>Data use snippets next to data.</x:v>
      </x:c>
      <x:c r="E116" s="12" t="str">
        <x:v>Data use snippets next to data.</x:v>
      </x:c>
      <x:c r="F116" s="12" t="str">
        <x:v>Action</x:v>
      </x:c>
      <x:c r="G116" s="12" t="str">
        <x:v>ORNL DAAC User Working Group</x:v>
      </x:c>
      <x:c r="H116" s="12" t="n">
        <x:v>2024</x:v>
      </x:c>
      <x:c r="I116" s="12" t="str">
        <x:v>Earthdata users</x:v>
      </x:c>
      <x:c r="J116" s="12" t="str">
        <x:v>Medium</x:v>
      </x:c>
      <x:c r="K116" s="16" t="n">
        <x:v>0.75</x:v>
      </x:c>
      <x:c r="L116" s="12" t="str">
        <x:v>LSA similarity cluster; human review pending</x:v>
      </x:c>
      <x:c r="M116" s="12" t="str">
        <x:v>Section: New Actions and Recommendations; table row 8</x:v>
      </x:c>
      <x:c r="N116" s="12" t="str"/>
      <x:c r="O116" s="12" t="str">
        <x:v>No</x:v>
      </x:c>
      <x:c r="P116" s="12" t="str">
        <x:v>No</x:v>
      </x:c>
      <x:c r="Q116" s="12"/>
      <x:c r="R116" s="12"/>
    </x:row>
    <x:row r="117">
      <x:c r="A117" s="12" t="str">
        <x:v>EVD-00116</x:v>
      </x:c>
      <x:c r="B117" s="12" t="str">
        <x:v>NEED-0123</x:v>
      </x:c>
      <x:c r="C117" s="12" t="str">
        <x:v>SRC-0004</x:v>
      </x:c>
      <x:c r="D117" s="12" t="str">
        <x:v>Facilitate integration of airborne and field data in synthesis and modeling efforts.</x:v>
      </x:c>
      <x:c r="E117" s="12" t="str">
        <x:v>Facilitate integration of airborne and field data in synthesis and modeling efforts.</x:v>
      </x:c>
      <x:c r="F117" s="12" t="str">
        <x:v>Action</x:v>
      </x:c>
      <x:c r="G117" s="12" t="str">
        <x:v>ORNL DAAC User Working Group</x:v>
      </x:c>
      <x:c r="H117" s="12" t="n">
        <x:v>2024</x:v>
      </x:c>
      <x:c r="I117" s="12" t="str">
        <x:v>Earthdata users</x:v>
      </x:c>
      <x:c r="J117" s="12" t="str">
        <x:v>Medium</x:v>
      </x:c>
      <x:c r="K117" s="16" t="n">
        <x:v>0.75</x:v>
      </x:c>
      <x:c r="L117" s="12" t="str">
        <x:v>LSA similarity cluster; human review pending</x:v>
      </x:c>
      <x:c r="M117" s="12" t="str">
        <x:v>Section: New Actions and Recommendations; table row 9</x:v>
      </x:c>
      <x:c r="N117" s="12" t="str"/>
      <x:c r="O117" s="12" t="str">
        <x:v>No</x:v>
      </x:c>
      <x:c r="P117" s="12" t="str">
        <x:v>No</x:v>
      </x:c>
      <x:c r="Q117" s="12"/>
      <x:c r="R117" s="12"/>
    </x:row>
    <x:row r="118">
      <x:c r="A118" s="12" t="str">
        <x:v>EVD-00117</x:v>
      </x:c>
      <x:c r="B118" s="12" t="str">
        <x:v>NEED-0140</x:v>
      </x:c>
      <x:c r="C118" s="12" t="str">
        <x:v>SRC-0004</x:v>
      </x:c>
      <x:c r="D118" s="12" t="str">
        <x:v>Recommendations, comments and concerns from the UWG have been noted and compiled into new action items.</x:v>
      </x:c>
      <x:c r="E118" s="12" t="str">
        <x:v>Recommendations, comments and concerns from the UWG have been noted and compiled into new action items.</x:v>
      </x:c>
      <x:c r="F118" s="12" t="str">
        <x:v>Action</x:v>
      </x:c>
      <x:c r="G118" s="12" t="str">
        <x:v>Ocean Biology DAAC User Working Group</x:v>
      </x:c>
      <x:c r="H118" s="12" t="n">
        <x:v>2024</x:v>
      </x:c>
      <x:c r="I118" s="12" t="str">
        <x:v>Earthdata users</x:v>
      </x:c>
      <x:c r="J118" s="12" t="str">
        <x:v>Low</x:v>
      </x:c>
      <x:c r="K118" s="16" t="n">
        <x:v>0.75</x:v>
      </x:c>
      <x:c r="L118" s="12" t="str">
        <x:v>LSA similarity cluster; human review pending</x:v>
      </x:c>
      <x:c r="M118" s="12" t="str">
        <x:v>Section: New Actions and Recommendations</x:v>
      </x:c>
      <x:c r="N118" s="12" t="str"/>
      <x:c r="O118" s="12" t="str">
        <x:v>No</x:v>
      </x:c>
      <x:c r="P118" s="12" t="str">
        <x:v>No</x:v>
      </x:c>
      <x:c r="Q118" s="12"/>
      <x:c r="R118" s="12"/>
    </x:row>
    <x:row r="119">
      <x:c r="A119" s="12" t="str">
        <x:v>EVD-00118</x:v>
      </x:c>
      <x:c r="B119" s="12" t="str">
        <x:v>NEED-0065</x:v>
      </x:c>
      <x:c r="C119" s="12" t="str">
        <x:v>SRC-0004</x:v>
      </x:c>
      <x:c r="D119" s="12" t="str">
        <x:v>The UWG recommends improving the EDSC interface to enhance user experience in finding data, similar to the EO Browser. They highlighted useful EO Browser features such as scaling index, image-based search, and the ability to change bands. Additionally, they noted that the EDSC's search results often confuse users by resembling a 'Google search' page.</x:v>
      </x:c>
      <x:c r="E119" s="12" t="str">
        <x:v>The UWG recommends improving the EDSC interface to enhance user experience in finding data, similar to the EO Browser. They highlighted useful EO Browser features such as scaling index, image-based search, and the ability to change bands. Additionally, they noted that the EDSC's search results often confuse users by resembling a 'Google search' page.</x:v>
      </x:c>
      <x:c r="F119" s="12" t="str">
        <x:v>Action</x:v>
      </x:c>
      <x:c r="G119" s="12" t="str">
        <x:v>Ocean Biology DAAC User Working Group</x:v>
      </x:c>
      <x:c r="H119" s="12" t="n">
        <x:v>2024</x:v>
      </x:c>
      <x:c r="I119" s="12" t="str">
        <x:v>Earthdata users</x:v>
      </x:c>
      <x:c r="J119" s="12" t="str">
        <x:v>Low</x:v>
      </x:c>
      <x:c r="K119" s="16" t="n">
        <x:v>0.75</x:v>
      </x:c>
      <x:c r="L119" s="12" t="str">
        <x:v>LSA similarity cluster; human review pending</x:v>
      </x:c>
      <x:c r="M119" s="12" t="str">
        <x:v>Section: New Actions and Recommendations</x:v>
      </x:c>
      <x:c r="N119" s="12" t="str"/>
      <x:c r="O119" s="12" t="str">
        <x:v>No</x:v>
      </x:c>
      <x:c r="P119" s="12" t="str">
        <x:v>No</x:v>
      </x:c>
      <x:c r="Q119" s="12"/>
      <x:c r="R119" s="12"/>
    </x:row>
    <x:row r="120">
      <x:c r="A120" s="12" t="str">
        <x:v>EVD-00119</x:v>
      </x:c>
      <x:c r="B120" s="12" t="str">
        <x:v>NEED-0119</x:v>
      </x:c>
      <x:c r="C120" s="12" t="str">
        <x:v>SRC-0004</x:v>
      </x:c>
      <x:c r="D120" s="12" t="str">
        <x:v>Additionally, the UWG mentioned that it would be helpful to share OB.DAAC user statistics and takeaway points with them.</x:v>
      </x:c>
      <x:c r="E120" s="12" t="str">
        <x:v>Additionally, the UWG mentioned that it would be helpful to share OB.DAAC user statistics and takeaway points with them.</x:v>
      </x:c>
      <x:c r="F120" s="12" t="str">
        <x:v>Action</x:v>
      </x:c>
      <x:c r="G120" s="12" t="str">
        <x:v>Ocean Biology DAAC User Working Group</x:v>
      </x:c>
      <x:c r="H120" s="12" t="n">
        <x:v>2024</x:v>
      </x:c>
      <x:c r="I120" s="12" t="str">
        <x:v>Earthdata users</x:v>
      </x:c>
      <x:c r="J120" s="12" t="str">
        <x:v>Medium</x:v>
      </x:c>
      <x:c r="K120" s="16" t="n">
        <x:v>0.75</x:v>
      </x:c>
      <x:c r="L120" s="12" t="str">
        <x:v>LSA similarity cluster; human review pending</x:v>
      </x:c>
      <x:c r="M120" s="12" t="str">
        <x:v>Section: New Actions and Recommendations</x:v>
      </x:c>
      <x:c r="N120" s="12" t="str"/>
      <x:c r="O120" s="12" t="str">
        <x:v>No</x:v>
      </x:c>
      <x:c r="P120" s="12" t="str">
        <x:v>No</x:v>
      </x:c>
      <x:c r="Q120" s="12"/>
      <x:c r="R120" s="12"/>
    </x:row>
    <x:row r="121">
      <x:c r="A121" s="12" t="str">
        <x:v>EVD-00120</x:v>
      </x:c>
      <x:c r="B121" s="12" t="str">
        <x:v>NEED-0075</x:v>
      </x:c>
      <x:c r="C121" s="12" t="str">
        <x:v>SRC-0004</x:v>
      </x:c>
      <x:c r="D121" s="12" t="str">
        <x:v>UWG inquired about the in-situ data QA/QC process and whether SeaBASS retroactively applies new QC standards to existing datasets and publishes it as a new version. New QC standards are not applied retroactively.</x:v>
      </x:c>
      <x:c r="E121" s="12" t="str">
        <x:v>UWG inquired about the in-situ data QA/QC process and whether SeaBASS retroactively applies new QC standards to existing datasets and publishes it as a new version. New QC standards are not applied retroactively.</x:v>
      </x:c>
      <x:c r="F121" s="12" t="str">
        <x:v>Action</x:v>
      </x:c>
      <x:c r="G121" s="12" t="str">
        <x:v>Ocean Biology DAAC User Working Group</x:v>
      </x:c>
      <x:c r="H121" s="12" t="n">
        <x:v>2024</x:v>
      </x:c>
      <x:c r="I121" s="12" t="str">
        <x:v>Earthdata users</x:v>
      </x:c>
      <x:c r="J121" s="12" t="str">
        <x:v>Medium</x:v>
      </x:c>
      <x:c r="K121" s="16" t="n">
        <x:v>0.75</x:v>
      </x:c>
      <x:c r="L121" s="12" t="str">
        <x:v>LSA similarity cluster; human review pending</x:v>
      </x:c>
      <x:c r="M121" s="12" t="str">
        <x:v>Section: New Actions and Recommendations</x:v>
      </x:c>
      <x:c r="N121" s="12" t="str"/>
      <x:c r="O121" s="12" t="str">
        <x:v>No</x:v>
      </x:c>
      <x:c r="P121" s="12" t="str">
        <x:v>No</x:v>
      </x:c>
      <x:c r="Q121" s="12"/>
      <x:c r="R121" s="12"/>
    </x:row>
    <x:row r="122">
      <x:c r="A122" s="12" t="str">
        <x:v>EVD-00121</x:v>
      </x:c>
      <x:c r="B122" s="12" t="str">
        <x:v>NEED-0060</x:v>
      </x:c>
      <x:c r="C122" s="12" t="str">
        <x:v>SRC-0004</x:v>
      </x:c>
      <x:c r="D122" s="12" t="str">
        <x:v>UWG voted that OB.DAAC was the ideal place for CALIOP backscattering datasets to reside because 1) users would like to access these files in tandem with other ocean color datasets 2) having the data at OB.DAAC should accelerate discovery and use by the community.</x:v>
      </x:c>
      <x:c r="E122" s="12" t="str">
        <x:v>UWG voted that OB.DAAC was the ideal place for CALIOP backscattering datasets to reside because 1) users would like to access these files in tandem with other ocean color datasets 2) having the data at OB.DAAC should accelerate discovery and use by the community.</x:v>
      </x:c>
      <x:c r="F122" s="12" t="str">
        <x:v>Action</x:v>
      </x:c>
      <x:c r="G122" s="12" t="str">
        <x:v>Ocean Biology DAAC User Working Group</x:v>
      </x:c>
      <x:c r="H122" s="12" t="n">
        <x:v>2024</x:v>
      </x:c>
      <x:c r="I122" s="12" t="str">
        <x:v>Earthdata users</x:v>
      </x:c>
      <x:c r="J122" s="12" t="str">
        <x:v>High</x:v>
      </x:c>
      <x:c r="K122" s="16" t="n">
        <x:v>0.75</x:v>
      </x:c>
      <x:c r="L122" s="12" t="str">
        <x:v>LSA similarity cluster; human review pending</x:v>
      </x:c>
      <x:c r="M122" s="12" t="str">
        <x:v>Section: New Actions and Recommendations</x:v>
      </x:c>
      <x:c r="N122" s="12" t="str"/>
      <x:c r="O122" s="12" t="str">
        <x:v>No</x:v>
      </x:c>
      <x:c r="P122" s="12" t="str">
        <x:v>No</x:v>
      </x:c>
      <x:c r="Q122" s="12"/>
      <x:c r="R122" s="12"/>
    </x:row>
    <x:row r="123">
      <x:c r="A123" s="12" t="str">
        <x:v>EVD-00122</x:v>
      </x:c>
      <x:c r="B123" s="12" t="str">
        <x:v>NEED-0071</x:v>
      </x:c>
      <x:c r="C123" s="12" t="str">
        <x:v>SRC-0004</x:v>
      </x:c>
      <x:c r="D123" s="12" t="str">
        <x:v>Optimal formats for data need to be determined. Currently datasets are HDF5 tar files.</x:v>
      </x:c>
      <x:c r="E123" s="12" t="str">
        <x:v>Optimal formats for data need to be determined. Currently datasets are HDF5 tar files.</x:v>
      </x:c>
      <x:c r="F123" s="12" t="str">
        <x:v>Action</x:v>
      </x:c>
      <x:c r="G123" s="12" t="str">
        <x:v>Ocean Biology DAAC User Working Group</x:v>
      </x:c>
      <x:c r="H123" s="12" t="n">
        <x:v>2024</x:v>
      </x:c>
      <x:c r="I123" s="12" t="str">
        <x:v>Earthdata users</x:v>
      </x:c>
      <x:c r="J123" s="12" t="str">
        <x:v>High</x:v>
      </x:c>
      <x:c r="K123" s="16" t="n">
        <x:v>0.75</x:v>
      </x:c>
      <x:c r="L123" s="12" t="str">
        <x:v>LSA similarity cluster; human review pending</x:v>
      </x:c>
      <x:c r="M123" s="12" t="str">
        <x:v>Section: New Actions and Recommendations</x:v>
      </x:c>
      <x:c r="N123" s="12" t="str"/>
      <x:c r="O123" s="12" t="str">
        <x:v>No</x:v>
      </x:c>
      <x:c r="P123" s="12" t="str">
        <x:v>No</x:v>
      </x:c>
      <x:c r="Q123" s="12"/>
      <x:c r="R123" s="12"/>
    </x:row>
    <x:row r="124">
      <x:c r="A124" s="12" t="str">
        <x:v>EVD-00123</x:v>
      </x:c>
      <x:c r="B124" s="12" t="str">
        <x:v>NEED-0121</x:v>
      </x:c>
      <x:c r="C124" s="12" t="str">
        <x:v>SRC-0004</x:v>
      </x:c>
      <x:c r="D124" s="12" t="str">
        <x:v>UWG member shared that notification from APT interface wasn’t sufficient regarding changes to the document by other authors and progression of the document through review and publication stages.</x:v>
      </x:c>
      <x:c r="E124" s="12" t="str">
        <x:v>UWG member shared that notification from APT interface wasn’t sufficient regarding changes to the document by other authors and progression of the document through review and publication stages.</x:v>
      </x:c>
      <x:c r="F124" s="12" t="str">
        <x:v>Action</x:v>
      </x:c>
      <x:c r="G124" s="12" t="str">
        <x:v>Ocean Biology DAAC User Working Group</x:v>
      </x:c>
      <x:c r="H124" s="12" t="n">
        <x:v>2024</x:v>
      </x:c>
      <x:c r="I124" s="12" t="str">
        <x:v>Data producers and mission teams</x:v>
      </x:c>
      <x:c r="J124" s="12" t="str">
        <x:v>Medium</x:v>
      </x:c>
      <x:c r="K124" s="16" t="n">
        <x:v>0.75</x:v>
      </x:c>
      <x:c r="L124" s="12" t="str">
        <x:v>LSA similarity cluster; human review pending</x:v>
      </x:c>
      <x:c r="M124" s="12" t="str">
        <x:v>Section: New Actions and Recommendations</x:v>
      </x:c>
      <x:c r="N124" s="12" t="str"/>
      <x:c r="O124" s="12" t="str">
        <x:v>No</x:v>
      </x:c>
      <x:c r="P124" s="12" t="str">
        <x:v>No</x:v>
      </x:c>
      <x:c r="Q124" s="12"/>
      <x:c r="R124" s="12"/>
    </x:row>
    <x:row r="125">
      <x:c r="A125" s="12" t="str">
        <x:v>EVD-00124</x:v>
      </x:c>
      <x:c r="B125" s="12" t="str">
        <x:v>NEED-0172</x:v>
      </x:c>
      <x:c r="C125" s="12" t="str">
        <x:v>SRC-0004</x:v>
      </x:c>
      <x:c r="D125" s="12" t="str">
        <x:v>Brad shared that feedback on changes to documents can be viewed by collaborators when they are logged into tool.</x:v>
      </x:c>
      <x:c r="E125" s="12" t="str">
        <x:v>Brad shared that feedback on changes to documents can be viewed by collaborators when they are logged into tool.</x:v>
      </x:c>
      <x:c r="F125" s="12" t="str">
        <x:v>Action</x:v>
      </x:c>
      <x:c r="G125" s="12" t="str">
        <x:v>Ocean Biology DAAC User Working Group</x:v>
      </x:c>
      <x:c r="H125" s="12" t="n">
        <x:v>2024</x:v>
      </x:c>
      <x:c r="I125" s="12" t="str">
        <x:v>Earthdata users</x:v>
      </x:c>
      <x:c r="J125" s="12" t="str">
        <x:v>Medium</x:v>
      </x:c>
      <x:c r="K125" s="16" t="n">
        <x:v>0.75</x:v>
      </x:c>
      <x:c r="L125" s="12" t="str">
        <x:v>LSA similarity cluster; human review pending</x:v>
      </x:c>
      <x:c r="M125" s="12" t="str">
        <x:v>Section: New Actions and Recommendations</x:v>
      </x:c>
      <x:c r="N125" s="12" t="str"/>
      <x:c r="O125" s="12" t="str">
        <x:v>No</x:v>
      </x:c>
      <x:c r="P125" s="12" t="str">
        <x:v>No</x:v>
      </x:c>
      <x:c r="Q125" s="12"/>
      <x:c r="R125" s="12"/>
    </x:row>
    <x:row r="126">
      <x:c r="A126" s="12" t="str">
        <x:v>EVD-00125</x:v>
      </x:c>
      <x:c r="B126" s="12" t="str">
        <x:v>NEED-0032</x:v>
      </x:c>
      <x:c r="C126" s="12" t="str">
        <x:v>SRC-0004</x:v>
      </x:c>
      <x:c r="D126" s="12" t="str">
        <x:v>DAAC tutorials/notebooks are primarily done in Python. UWG did not feel that was an issue since Python is widely used, although support of Matlab would increase accessibility of tools to the entire user community.</x:v>
      </x:c>
      <x:c r="E126" s="12" t="str">
        <x:v>DAAC tutorials/notebooks are primarily done in Python. UWG did not feel that was an issue since Python is widely used, although support of Matlab would increase accessibility of tools to the entire user community.</x:v>
      </x:c>
      <x:c r="F126" s="12" t="str">
        <x:v>Action</x:v>
      </x:c>
      <x:c r="G126" s="12" t="str">
        <x:v>Ocean Biology DAAC User Working Group</x:v>
      </x:c>
      <x:c r="H126" s="12" t="n">
        <x:v>2024</x:v>
      </x:c>
      <x:c r="I126" s="12" t="str">
        <x:v>Application developers; Educators and trainers</x:v>
      </x:c>
      <x:c r="J126" s="12" t="str">
        <x:v>High</x:v>
      </x:c>
      <x:c r="K126" s="16" t="n">
        <x:v>0.75</x:v>
      </x:c>
      <x:c r="L126" s="12" t="str">
        <x:v>LSA similarity cluster; human review pending</x:v>
      </x:c>
      <x:c r="M126" s="12" t="str">
        <x:v>Section: New Actions and Recommendations</x:v>
      </x:c>
      <x:c r="N126" s="12" t="str"/>
      <x:c r="O126" s="12" t="str">
        <x:v>No</x:v>
      </x:c>
      <x:c r="P126" s="12" t="str">
        <x:v>No</x:v>
      </x:c>
      <x:c r="Q126" s="12"/>
      <x:c r="R126" s="12"/>
    </x:row>
    <x:row r="127">
      <x:c r="A127" s="12" t="str">
        <x:v>EVD-00126</x:v>
      </x:c>
      <x:c r="B127" s="12" t="str">
        <x:v>NEED-0017</x:v>
      </x:c>
      <x:c r="C127" s="12" t="str">
        <x:v>SRC-0004</x:v>
      </x:c>
      <x:c r="D127" s="12" t="str">
        <x:v>Users can set up a MATLAB instance from JupyterHub (link to MathWorks resource on Openscapes site: https://nasa-openscapes.github.io/earthdata-cloud-cookbook/tutorials/matlab.html), however MATLAB using JupyterHub is not as efficient as using Python.</x:v>
      </x:c>
      <x:c r="E127" s="12" t="str">
        <x:v>Users can set up a MATLAB instance from JupyterHub (link to MathWorks resource on Openscapes site: https://nasa-openscapes.github.io/earthdata-cloud-cookbook/tutorials/matlab.html), however MATLAB using JupyterHub is not as efficient as using Python.</x:v>
      </x:c>
      <x:c r="F127" s="12" t="str">
        <x:v>Action</x:v>
      </x:c>
      <x:c r="G127" s="12" t="str">
        <x:v>Ocean Biology DAAC User Working Group</x:v>
      </x:c>
      <x:c r="H127" s="12" t="n">
        <x:v>2024</x:v>
      </x:c>
      <x:c r="I127" s="12" t="str">
        <x:v>Cloud-native researchers; Application developers; Educators and trainers</x:v>
      </x:c>
      <x:c r="J127" s="12" t="str">
        <x:v>Medium</x:v>
      </x:c>
      <x:c r="K127" s="16" t="n">
        <x:v>0.75</x:v>
      </x:c>
      <x:c r="L127" s="12" t="str">
        <x:v>LSA similarity cluster; human review pending</x:v>
      </x:c>
      <x:c r="M127" s="12" t="str">
        <x:v>Section: New Actions and Recommendations</x:v>
      </x:c>
      <x:c r="N127" s="12" t="str"/>
      <x:c r="O127" s="12" t="str">
        <x:v>No</x:v>
      </x:c>
      <x:c r="P127" s="12" t="str">
        <x:v>No</x:v>
      </x:c>
      <x:c r="Q127" s="12"/>
      <x:c r="R127" s="12"/>
    </x:row>
    <x:row r="128">
      <x:c r="A128" s="12" t="str">
        <x:v>EVD-00127</x:v>
      </x:c>
      <x:c r="B128" s="12" t="str">
        <x:v>NEED-0013</x:v>
      </x:c>
      <x:c r="C128" s="12" t="str">
        <x:v>SRC-0004</x:v>
      </x:c>
      <x:c r="D128" s="12" t="str">
        <x:v>SeaDAS is exploring integration of SeaDAS into NASA’s cloud compute environment and what features can/should be offered in the cloud for processing.</x:v>
      </x:c>
      <x:c r="E128" s="12" t="str">
        <x:v>SeaDAS is exploring integration of SeaDAS into NASA’s cloud compute environment and what features can/should be offered in the cloud for processing.</x:v>
      </x:c>
      <x:c r="F128" s="12" t="str">
        <x:v>Action</x:v>
      </x:c>
      <x:c r="G128" s="12" t="str">
        <x:v>Ocean Biology DAAC User Working Group</x:v>
      </x:c>
      <x:c r="H128" s="12" t="n">
        <x:v>2024</x:v>
      </x:c>
      <x:c r="I128" s="12" t="str">
        <x:v>Cloud-native researchers</x:v>
      </x:c>
      <x:c r="J128" s="12" t="str">
        <x:v>High</x:v>
      </x:c>
      <x:c r="K128" s="16" t="n">
        <x:v>0.75</x:v>
      </x:c>
      <x:c r="L128" s="12" t="str">
        <x:v>LSA similarity cluster; human review pending</x:v>
      </x:c>
      <x:c r="M128" s="12" t="str">
        <x:v>Section: New Actions and Recommendations</x:v>
      </x:c>
      <x:c r="N128" s="12" t="str"/>
      <x:c r="O128" s="12" t="str">
        <x:v>No</x:v>
      </x:c>
      <x:c r="P128" s="12" t="str">
        <x:v>No</x:v>
      </x:c>
      <x:c r="Q128" s="12"/>
      <x:c r="R128" s="12"/>
    </x:row>
    <x:row r="129">
      <x:c r="A129" s="12" t="str">
        <x:v>EVD-00128</x:v>
      </x:c>
      <x:c r="B129" s="12" t="str">
        <x:v>NEED-0210</x:v>
      </x:c>
      <x:c r="C129" s="12" t="str">
        <x:v>SRC-0004</x:v>
      </x:c>
      <x:c r="D129" s="12" t="str">
        <x:v>PRISM support in OCSSW is coming. David Thompson will work with SeaDAS team on establishing that.</x:v>
      </x:c>
      <x:c r="E129" s="12" t="str">
        <x:v>PRISM support in OCSSW is coming. David Thompson will work with SeaDAS team on establishing that.</x:v>
      </x:c>
      <x:c r="F129" s="12" t="str">
        <x:v>Action</x:v>
      </x:c>
      <x:c r="G129" s="12" t="str">
        <x:v>Ocean Biology DAAC User Working Group</x:v>
      </x:c>
      <x:c r="H129" s="12" t="n">
        <x:v>2024</x:v>
      </x:c>
      <x:c r="I129" s="12" t="str">
        <x:v>Earthdata users</x:v>
      </x:c>
      <x:c r="J129" s="12" t="str">
        <x:v>High</x:v>
      </x:c>
      <x:c r="K129" s="16" t="n">
        <x:v>0.75</x:v>
      </x:c>
      <x:c r="L129" s="12" t="str">
        <x:v>LSA similarity cluster; human review pending</x:v>
      </x:c>
      <x:c r="M129" s="12" t="str">
        <x:v>Section: New Actions and Recommendations</x:v>
      </x:c>
      <x:c r="N129" s="12" t="str"/>
      <x:c r="O129" s="12" t="str">
        <x:v>No</x:v>
      </x:c>
      <x:c r="P129" s="12" t="str">
        <x:v>No</x:v>
      </x:c>
      <x:c r="Q129" s="12"/>
      <x:c r="R129" s="12"/>
    </x:row>
    <x:row r="130">
      <x:c r="A130" s="12" t="str">
        <x:v>EVD-00129</x:v>
      </x:c>
      <x:c r="B130" s="12" t="str">
        <x:v>NEED-0130</x:v>
      </x:c>
      <x:c r="C130" s="12" t="str">
        <x:v>SRC-0004</x:v>
      </x:c>
      <x:c r="D130" s="12" t="str">
        <x:v>Point of clarification: OCSSW is native to Linux, but SeaDAS works on all platforms - Linux, Window, Mac.</x:v>
      </x:c>
      <x:c r="E130" s="12" t="str">
        <x:v>Point of clarification: OCSSW is native to Linux, but SeaDAS works on all platforms - Linux, Window, Mac.</x:v>
      </x:c>
      <x:c r="F130" s="12" t="str">
        <x:v>Action</x:v>
      </x:c>
      <x:c r="G130" s="12" t="str">
        <x:v>Ocean Biology DAAC User Working Group</x:v>
      </x:c>
      <x:c r="H130" s="12" t="n">
        <x:v>2024</x:v>
      </x:c>
      <x:c r="I130" s="12" t="str">
        <x:v>Earthdata users</x:v>
      </x:c>
      <x:c r="J130" s="12" t="str">
        <x:v>Medium</x:v>
      </x:c>
      <x:c r="K130" s="16" t="n">
        <x:v>0.75</x:v>
      </x:c>
      <x:c r="L130" s="12" t="str">
        <x:v>LSA similarity cluster; human review pending</x:v>
      </x:c>
      <x:c r="M130" s="12" t="str">
        <x:v>Section: New Actions and Recommendations</x:v>
      </x:c>
      <x:c r="N130" s="12" t="str"/>
      <x:c r="O130" s="12" t="str">
        <x:v>No</x:v>
      </x:c>
      <x:c r="P130" s="12" t="str">
        <x:v>No</x:v>
      </x:c>
      <x:c r="Q130" s="12"/>
      <x:c r="R130" s="12"/>
    </x:row>
    <x:row r="131">
      <x:c r="A131" s="12" t="str">
        <x:v>EVD-00130</x:v>
      </x:c>
      <x:c r="B131" s="12" t="str">
        <x:v>NEED-0168</x:v>
      </x:c>
      <x:c r="C131" s="12" t="str">
        <x:v>SRC-0004</x:v>
      </x:c>
      <x:c r="D131" s="12" t="str">
        <x:v>It might be useful to find out usage statistics for SeaDAS software to inform which features are most useful to the community, what features to include in upcoming versions vs which features could be sunsetted and to increase usage of existing tools across the user community.</x:v>
      </x:c>
      <x:c r="E131" s="12" t="str">
        <x:v>It might be useful to find out usage statistics for SeaDAS software to inform which features are most useful to the community, what features to include in upcoming versions vs which features could be sunsetted and to increase usage of existing tools across the user community.</x:v>
      </x:c>
      <x:c r="F131" s="12" t="str">
        <x:v>Action</x:v>
      </x:c>
      <x:c r="G131" s="12" t="str">
        <x:v>Ocean Biology DAAC User Working Group</x:v>
      </x:c>
      <x:c r="H131" s="12" t="n">
        <x:v>2024</x:v>
      </x:c>
      <x:c r="I131" s="12" t="str">
        <x:v>Application developers</x:v>
      </x:c>
      <x:c r="J131" s="12" t="str">
        <x:v>Medium</x:v>
      </x:c>
      <x:c r="K131" s="16" t="n">
        <x:v>0.75</x:v>
      </x:c>
      <x:c r="L131" s="12" t="str">
        <x:v>LSA similarity cluster; human review pending</x:v>
      </x:c>
      <x:c r="M131" s="12" t="str">
        <x:v>Section: New Actions and Recommendations</x:v>
      </x:c>
      <x:c r="N131" s="12" t="str"/>
      <x:c r="O131" s="12" t="str">
        <x:v>No</x:v>
      </x:c>
      <x:c r="P131" s="12" t="str">
        <x:v>No</x:v>
      </x:c>
      <x:c r="Q131" s="12"/>
      <x:c r="R131" s="12"/>
    </x:row>
    <x:row r="132">
      <x:c r="A132" s="12" t="str">
        <x:v>EVD-00131</x:v>
      </x:c>
      <x:c r="B132" s="12" t="str">
        <x:v>NEED-0130</x:v>
      </x:c>
      <x:c r="C132" s="12" t="str">
        <x:v>SRC-0004</x:v>
      </x:c>
      <x:c r="D132" s="12" t="str">
        <x:v>OCSSW and SeaDAS aren't frequently used together.</x:v>
      </x:c>
      <x:c r="E132" s="12" t="str">
        <x:v>OCSSW and SeaDAS aren't frequently used together.</x:v>
      </x:c>
      <x:c r="F132" s="12" t="str">
        <x:v>Action</x:v>
      </x:c>
      <x:c r="G132" s="12" t="str">
        <x:v>Ocean Biology DAAC User Working Group</x:v>
      </x:c>
      <x:c r="H132" s="12" t="n">
        <x:v>2024</x:v>
      </x:c>
      <x:c r="I132" s="12" t="str">
        <x:v>Earthdata users</x:v>
      </x:c>
      <x:c r="J132" s="12" t="str">
        <x:v>Medium</x:v>
      </x:c>
      <x:c r="K132" s="16" t="n">
        <x:v>0.75</x:v>
      </x:c>
      <x:c r="L132" s="12" t="str">
        <x:v>LSA similarity cluster; human review pending</x:v>
      </x:c>
      <x:c r="M132" s="12" t="str">
        <x:v>Section: New Actions and Recommendations</x:v>
      </x:c>
      <x:c r="N132" s="12" t="str"/>
      <x:c r="O132" s="12" t="str">
        <x:v>No</x:v>
      </x:c>
      <x:c r="P132" s="12" t="str">
        <x:v>No</x:v>
      </x:c>
      <x:c r="Q132" s="12"/>
      <x:c r="R132" s="12"/>
    </x:row>
    <x:row r="133">
      <x:c r="A133" s="12" t="str">
        <x:v>EVD-00132</x:v>
      </x:c>
      <x:c r="B133" s="12" t="str">
        <x:v>NEED-0130</x:v>
      </x:c>
      <x:c r="C133" s="12" t="str">
        <x:v>SRC-0004</x:v>
      </x:c>
      <x:c r="D133" s="12" t="str">
        <x:v>In-situ data can be matched up in SeaDAS, but the data must have a header in order for SeaDAS to be able to use it.</x:v>
      </x:c>
      <x:c r="E133" s="12" t="str">
        <x:v>In-situ data can be matched up in SeaDAS, but the data must have a header in order for SeaDAS to be able to use it.</x:v>
      </x:c>
      <x:c r="F133" s="12" t="str">
        <x:v>Action</x:v>
      </x:c>
      <x:c r="G133" s="12" t="str">
        <x:v>Ocean Biology DAAC User Working Group</x:v>
      </x:c>
      <x:c r="H133" s="12" t="n">
        <x:v>2024</x:v>
      </x:c>
      <x:c r="I133" s="12" t="str">
        <x:v>Earthdata users</x:v>
      </x:c>
      <x:c r="J133" s="12" t="str">
        <x:v>Medium</x:v>
      </x:c>
      <x:c r="K133" s="16" t="n">
        <x:v>0.75</x:v>
      </x:c>
      <x:c r="L133" s="12" t="str">
        <x:v>LSA similarity cluster; human review pending</x:v>
      </x:c>
      <x:c r="M133" s="12" t="str">
        <x:v>Section: New Actions and Recommendations</x:v>
      </x:c>
      <x:c r="N133" s="12" t="str"/>
      <x:c r="O133" s="12" t="str">
        <x:v>No</x:v>
      </x:c>
      <x:c r="P133" s="12" t="str">
        <x:v>No</x:v>
      </x:c>
      <x:c r="Q133" s="12"/>
      <x:c r="R133" s="12"/>
    </x:row>
    <x:row r="134">
      <x:c r="A134" s="12" t="str">
        <x:v>EVD-00133</x:v>
      </x:c>
      <x:c r="B134" s="12" t="str">
        <x:v>NEED-0002</x:v>
      </x:c>
      <x:c r="C134" s="12" t="str">
        <x:v>SRC-0004</x:v>
      </x:c>
      <x:c r="D134" s="12" t="str">
        <x:v>Have the user community/UWG members contribute to defining OCSSW in the cloud.</x:v>
      </x:c>
      <x:c r="E134" s="12" t="str">
        <x:v>Have the user community/UWG members contribute to defining OCSSW in the cloud.</x:v>
      </x:c>
      <x:c r="F134" s="12" t="str">
        <x:v>Action</x:v>
      </x:c>
      <x:c r="G134" s="12" t="str">
        <x:v>Ocean Biology DAAC User Working Group</x:v>
      </x:c>
      <x:c r="H134" s="12" t="n">
        <x:v>2024</x:v>
      </x:c>
      <x:c r="I134" s="12" t="str">
        <x:v>Cloud-native researchers</x:v>
      </x:c>
      <x:c r="J134" s="12" t="str">
        <x:v>Medium</x:v>
      </x:c>
      <x:c r="K134" s="16" t="n">
        <x:v>0.75</x:v>
      </x:c>
      <x:c r="L134" s="12" t="str">
        <x:v>LSA similarity cluster; human review pending</x:v>
      </x:c>
      <x:c r="M134" s="12" t="str">
        <x:v>Section: New Actions and Recommendations</x:v>
      </x:c>
      <x:c r="N134" s="12" t="str"/>
      <x:c r="O134" s="12" t="str">
        <x:v>No</x:v>
      </x:c>
      <x:c r="P134" s="12" t="str">
        <x:v>No</x:v>
      </x:c>
      <x:c r="Q134" s="12"/>
      <x:c r="R134" s="12"/>
    </x:row>
    <x:row r="135">
      <x:c r="A135" s="12" t="str">
        <x:v>EVD-00134</x:v>
      </x:c>
      <x:c r="B135" s="12" t="str">
        <x:v>NEED-0078</x:v>
      </x:c>
      <x:c r="C135" s="12" t="str">
        <x:v>SRC-0004</x:v>
      </x:c>
      <x:c r="D135" s="12" t="str">
        <x:v>Allow 'save as' to let user save the file as a different format. This is currently solved by using 'export'.</x:v>
      </x:c>
      <x:c r="E135" s="12" t="str">
        <x:v>Allow 'save as' to let user save the file as a different format. This is currently solved by using 'export'.</x:v>
      </x:c>
      <x:c r="F135" s="12" t="str">
        <x:v>Action</x:v>
      </x:c>
      <x:c r="G135" s="12" t="str">
        <x:v>Ocean Biology DAAC User Working Group</x:v>
      </x:c>
      <x:c r="H135" s="12" t="n">
        <x:v>2024</x:v>
      </x:c>
      <x:c r="I135" s="12" t="str">
        <x:v>Earthdata users</x:v>
      </x:c>
      <x:c r="J135" s="12" t="str">
        <x:v>High</x:v>
      </x:c>
      <x:c r="K135" s="16" t="n">
        <x:v>0.75</x:v>
      </x:c>
      <x:c r="L135" s="12" t="str">
        <x:v>LSA similarity cluster; human review pending</x:v>
      </x:c>
      <x:c r="M135" s="12" t="str">
        <x:v>Section: New Actions and Recommendations</x:v>
      </x:c>
      <x:c r="N135" s="12" t="str"/>
      <x:c r="O135" s="12" t="str">
        <x:v>No</x:v>
      </x:c>
      <x:c r="P135" s="12" t="str">
        <x:v>No</x:v>
      </x:c>
      <x:c r="Q135" s="12"/>
      <x:c r="R135" s="12"/>
    </x:row>
    <x:row r="136">
      <x:c r="A136" s="12" t="str">
        <x:v>EVD-00135</x:v>
      </x:c>
      <x:c r="B136" s="12" t="str">
        <x:v>NEED-0127</x:v>
      </x:c>
      <x:c r="C136" s="12" t="str">
        <x:v>SRC-0004</x:v>
      </x:c>
      <x:c r="D136" s="12" t="str">
        <x:v>'Import code'/'code builder' button was found to be useful in a previous version. Will this come back?</x:v>
      </x:c>
      <x:c r="E136" s="12" t="str">
        <x:v>'Import code'/'code builder' button was found to be useful in a previous version. Will this come back?</x:v>
      </x:c>
      <x:c r="F136" s="12" t="str">
        <x:v>Action</x:v>
      </x:c>
      <x:c r="G136" s="12" t="str">
        <x:v>Ocean Biology DAAC User Working Group</x:v>
      </x:c>
      <x:c r="H136" s="12" t="n">
        <x:v>2024</x:v>
      </x:c>
      <x:c r="I136" s="12" t="str">
        <x:v>Application developers</x:v>
      </x:c>
      <x:c r="J136" s="12" t="str">
        <x:v>Medium</x:v>
      </x:c>
      <x:c r="K136" s="16" t="n">
        <x:v>0.75</x:v>
      </x:c>
      <x:c r="L136" s="12" t="str">
        <x:v>LSA similarity cluster; human review pending</x:v>
      </x:c>
      <x:c r="M136" s="12" t="str">
        <x:v>Section: New Actions and Recommendations</x:v>
      </x:c>
      <x:c r="N136" s="12" t="str"/>
      <x:c r="O136" s="12" t="str">
        <x:v>No</x:v>
      </x:c>
      <x:c r="P136" s="12" t="str">
        <x:v>No</x:v>
      </x:c>
      <x:c r="Q136" s="12"/>
      <x:c r="R136" s="12"/>
    </x:row>
    <x:row r="137">
      <x:c r="A137" s="12" t="str">
        <x:v>EVD-00136</x:v>
      </x:c>
      <x:c r="B137" s="12" t="str">
        <x:v>NEED-0166</x:v>
      </x:c>
      <x:c r="C137" s="12" t="str">
        <x:v>SRC-0004</x:v>
      </x:c>
      <x:c r="D137" s="12" t="str">
        <x:v>Plotting spectral view using Level 2 data requires headers that currently have to be manually added in order to import and view in other tools. This becomes a time-consuming effort since it has to be done for multiple files. Can SeaDAS include headers automatically?</x:v>
      </x:c>
      <x:c r="E137" s="12" t="str">
        <x:v>Plotting spectral view using Level 2 data requires headers that currently have to be manually added in order to import and view in other tools. This becomes a time-consuming effort since it has to be done for multiple files. Can SeaDAS include headers automatically?</x:v>
      </x:c>
      <x:c r="F137" s="12" t="str">
        <x:v>Action</x:v>
      </x:c>
      <x:c r="G137" s="12" t="str">
        <x:v>Ocean Biology DAAC User Working Group</x:v>
      </x:c>
      <x:c r="H137" s="12" t="n">
        <x:v>2024</x:v>
      </x:c>
      <x:c r="I137" s="12" t="str">
        <x:v>Earthdata users</x:v>
      </x:c>
      <x:c r="J137" s="12" t="str">
        <x:v>Medium</x:v>
      </x:c>
      <x:c r="K137" s="16" t="n">
        <x:v>0.75</x:v>
      </x:c>
      <x:c r="L137" s="12" t="str">
        <x:v>LSA similarity cluster; human review pending</x:v>
      </x:c>
      <x:c r="M137" s="12" t="str">
        <x:v>Section: New Actions and Recommendations</x:v>
      </x:c>
      <x:c r="N137" s="12" t="str"/>
      <x:c r="O137" s="12" t="str">
        <x:v>No</x:v>
      </x:c>
      <x:c r="P137" s="12" t="str">
        <x:v>No</x:v>
      </x:c>
      <x:c r="Q137" s="12"/>
      <x:c r="R137" s="12"/>
    </x:row>
    <x:row r="138">
      <x:c r="A138" s="12" t="str">
        <x:v>EVD-00137</x:v>
      </x:c>
      <x:c r="B138" s="12" t="str">
        <x:v>NEED-0121</x:v>
      </x:c>
      <x:c r="C138" s="12" t="str">
        <x:v>SRC-0004</x:v>
      </x:c>
      <x:c r="D138" s="12" t="str">
        <x:v>Can spectral view be averaged?</x:v>
      </x:c>
      <x:c r="E138" s="12" t="str">
        <x:v>Can spectral view be averaged?</x:v>
      </x:c>
      <x:c r="F138" s="12" t="str">
        <x:v>Action</x:v>
      </x:c>
      <x:c r="G138" s="12" t="str">
        <x:v>Ocean Biology DAAC User Working Group</x:v>
      </x:c>
      <x:c r="H138" s="12" t="n">
        <x:v>2024</x:v>
      </x:c>
      <x:c r="I138" s="12" t="str">
        <x:v>Earthdata users</x:v>
      </x:c>
      <x:c r="J138" s="12" t="str">
        <x:v>Medium</x:v>
      </x:c>
      <x:c r="K138" s="16" t="n">
        <x:v>0.75</x:v>
      </x:c>
      <x:c r="L138" s="12" t="str">
        <x:v>LSA similarity cluster; human review pending</x:v>
      </x:c>
      <x:c r="M138" s="12" t="str">
        <x:v>Section: New Actions and Recommendations</x:v>
      </x:c>
      <x:c r="N138" s="12" t="str"/>
      <x:c r="O138" s="12" t="str">
        <x:v>No</x:v>
      </x:c>
      <x:c r="P138" s="12" t="str">
        <x:v>No</x:v>
      </x:c>
      <x:c r="Q138" s="12"/>
      <x:c r="R138" s="12"/>
    </x:row>
    <x:row r="139">
      <x:c r="A139" s="12" t="str">
        <x:v>EVD-00138</x:v>
      </x:c>
      <x:c r="B139" s="12" t="str">
        <x:v>NEED-0126</x:v>
      </x:c>
      <x:c r="C139" s="12" t="str">
        <x:v>SRC-0004</x:v>
      </x:c>
      <x:c r="D139" s="12" t="str">
        <x:v>Users have trouble with Docker for Windows.</x:v>
      </x:c>
      <x:c r="E139" s="12" t="str">
        <x:v>Users have trouble with Docker for Windows.</x:v>
      </x:c>
      <x:c r="F139" s="12" t="str">
        <x:v>Action</x:v>
      </x:c>
      <x:c r="G139" s="12" t="str">
        <x:v>Ocean Biology DAAC User Working Group</x:v>
      </x:c>
      <x:c r="H139" s="12" t="n">
        <x:v>2024</x:v>
      </x:c>
      <x:c r="I139" s="12" t="str">
        <x:v>Earthdata users</x:v>
      </x:c>
      <x:c r="J139" s="12" t="str">
        <x:v>Medium</x:v>
      </x:c>
      <x:c r="K139" s="16" t="n">
        <x:v>0.75</x:v>
      </x:c>
      <x:c r="L139" s="12" t="str">
        <x:v>LSA similarity cluster; human review pending</x:v>
      </x:c>
      <x:c r="M139" s="12" t="str">
        <x:v>Section: New Actions and Recommendations</x:v>
      </x:c>
      <x:c r="N139" s="12" t="str"/>
      <x:c r="O139" s="12" t="str">
        <x:v>No</x:v>
      </x:c>
      <x:c r="P139" s="12" t="str">
        <x:v>No</x:v>
      </x:c>
      <x:c r="Q139" s="12"/>
      <x:c r="R139" s="12"/>
    </x:row>
    <x:row r="140">
      <x:c r="A140" s="12" t="str">
        <x:v>EVD-00139</x:v>
      </x:c>
      <x:c r="B140" s="12" t="str">
        <x:v>NEED-0130</x:v>
      </x:c>
      <x:c r="C140" s="12" t="str">
        <x:v>SRC-0004</x:v>
      </x:c>
      <x:c r="D140" s="12" t="str">
        <x:v>SeaDAS requires an internet connection because it automatically looks for ancillary data even if you already have it locally. This creates a lot of queries from the same IP which ultimately gets the IP blocked by NASA. Can ancillary auto-find be disabled by user?</x:v>
      </x:c>
      <x:c r="E140" s="12" t="str">
        <x:v>SeaDAS requires an internet connection because it automatically looks for ancillary data even if you already have it locally. This creates a lot of queries from the same IP which ultimately gets the IP blocked by NASA. Can ancillary auto-find be disabled by user?</x:v>
      </x:c>
      <x:c r="F140" s="12" t="str">
        <x:v>Action</x:v>
      </x:c>
      <x:c r="G140" s="12" t="str">
        <x:v>Ocean Biology DAAC User Working Group</x:v>
      </x:c>
      <x:c r="H140" s="12" t="n">
        <x:v>2024</x:v>
      </x:c>
      <x:c r="I140" s="12" t="str">
        <x:v>Earthdata users</x:v>
      </x:c>
      <x:c r="J140" s="12" t="str">
        <x:v>Medium</x:v>
      </x:c>
      <x:c r="K140" s="16" t="n">
        <x:v>0.75</x:v>
      </x:c>
      <x:c r="L140" s="12" t="str">
        <x:v>LSA similarity cluster; human review pending</x:v>
      </x:c>
      <x:c r="M140" s="12" t="str">
        <x:v>Section: New Actions and Recommendations</x:v>
      </x:c>
      <x:c r="N140" s="12" t="str"/>
      <x:c r="O140" s="12" t="str">
        <x:v>No</x:v>
      </x:c>
      <x:c r="P140" s="12" t="str">
        <x:v>No</x:v>
      </x:c>
      <x:c r="Q140" s="12"/>
      <x:c r="R140" s="12"/>
    </x:row>
    <x:row r="141">
      <x:c r="A141" s="12" t="str">
        <x:v>EVD-00140</x:v>
      </x:c>
      <x:c r="B141" s="12" t="str">
        <x:v>NEED-0202</x:v>
      </x:c>
      <x:c r="C141" s="12" t="str">
        <x:v>SRC-0004</x:v>
      </x:c>
      <x:c r="D141" s="12" t="str">
        <x:v>Tutorial requested for 1) running L2gen from command line 2) toggle flags from command line 3) customization of satellite data processing using OCSSW; OB.DAAC requested specific examples from UWG to help craft these tutorials.</x:v>
      </x:c>
      <x:c r="E141" s="12" t="str">
        <x:v>Tutorial requested for 1) running L2gen from command line 2) toggle flags from command line 3) customization of satellite data processing using OCSSW; OB.DAAC requested specific examples from UWG to help craft these tutorials.</x:v>
      </x:c>
      <x:c r="F141" s="12" t="str">
        <x:v>Action</x:v>
      </x:c>
      <x:c r="G141" s="12" t="str">
        <x:v>Ocean Biology DAAC User Working Group</x:v>
      </x:c>
      <x:c r="H141" s="12" t="n">
        <x:v>2024</x:v>
      </x:c>
      <x:c r="I141" s="12" t="str">
        <x:v>Educators and trainers</x:v>
      </x:c>
      <x:c r="J141" s="12" t="str">
        <x:v>Medium</x:v>
      </x:c>
      <x:c r="K141" s="16" t="n">
        <x:v>0.55</x:v>
      </x:c>
      <x:c r="L141" s="12" t="str">
        <x:v>LSA similarity cluster; human review pending</x:v>
      </x:c>
      <x:c r="M141" s="12" t="str">
        <x:v>Section: New Actions and Recommendations</x:v>
      </x:c>
      <x:c r="N141" s="12" t="str"/>
      <x:c r="O141" s="12" t="str">
        <x:v>No</x:v>
      </x:c>
      <x:c r="P141" s="12" t="str">
        <x:v>No</x:v>
      </x:c>
      <x:c r="Q141" s="12"/>
      <x:c r="R141" s="12"/>
    </x:row>
    <x:row r="142">
      <x:c r="A142" s="12" t="str">
        <x:v>EVD-00141</x:v>
      </x:c>
      <x:c r="B142" s="12" t="str">
        <x:v>NEED-0130</x:v>
      </x:c>
      <x:c r="C142" s="12" t="str">
        <x:v>SRC-0004</x:v>
      </x:c>
      <x:c r="D142" s="12" t="str">
        <x:v>UWG asked SeaDAS team what challenges they encountered moving from developing for a sensor like VIIRS to OCI which has more channels.</x:v>
      </x:c>
      <x:c r="E142" s="12" t="str">
        <x:v>UWG asked SeaDAS team what challenges they encountered moving from developing for a sensor like VIIRS to OCI which has more channels.</x:v>
      </x:c>
      <x:c r="F142" s="12" t="str">
        <x:v>Action</x:v>
      </x:c>
      <x:c r="G142" s="12" t="str">
        <x:v>Ocean Biology DAAC User Working Group</x:v>
      </x:c>
      <x:c r="H142" s="12" t="n">
        <x:v>2024</x:v>
      </x:c>
      <x:c r="I142" s="12" t="str">
        <x:v>Earthdata users</x:v>
      </x:c>
      <x:c r="J142" s="12" t="str">
        <x:v>Medium</x:v>
      </x:c>
      <x:c r="K142" s="16" t="n">
        <x:v>0.75</x:v>
      </x:c>
      <x:c r="L142" s="12" t="str">
        <x:v>LSA similarity cluster; human review pending</x:v>
      </x:c>
      <x:c r="M142" s="12" t="str">
        <x:v>Section: New Actions and Recommendations</x:v>
      </x:c>
      <x:c r="N142" s="12" t="str"/>
      <x:c r="O142" s="12" t="str">
        <x:v>No</x:v>
      </x:c>
      <x:c r="P142" s="12" t="str">
        <x:v>No</x:v>
      </x:c>
      <x:c r="Q142" s="12"/>
      <x:c r="R142" s="12"/>
    </x:row>
    <x:row r="143">
      <x:c r="A143" s="12" t="str">
        <x:v>EVD-00142</x:v>
      </x:c>
      <x:c r="B143" s="12" t="str">
        <x:v>NEED-0163</x:v>
      </x:c>
      <x:c r="C143" s="12" t="str">
        <x:v>SRC-0004</x:v>
      </x:c>
      <x:c r="D143" s="12" t="str">
        <x:v>(A:) performance issue - slower to process OCI.</x:v>
      </x:c>
      <x:c r="E143" s="12" t="str">
        <x:v>(A:) performance issue - slower to process OCI.</x:v>
      </x:c>
      <x:c r="F143" s="12" t="str">
        <x:v>Action</x:v>
      </x:c>
      <x:c r="G143" s="12" t="str">
        <x:v>Ocean Biology DAAC User Working Group</x:v>
      </x:c>
      <x:c r="H143" s="12" t="n">
        <x:v>2024</x:v>
      </x:c>
      <x:c r="I143" s="12" t="str">
        <x:v>Earthdata users</x:v>
      </x:c>
      <x:c r="J143" s="12" t="str">
        <x:v>Medium</x:v>
      </x:c>
      <x:c r="K143" s="16" t="n">
        <x:v>0.55</x:v>
      </x:c>
      <x:c r="L143" s="12" t="str">
        <x:v>LSA similarity cluster; human review pending</x:v>
      </x:c>
      <x:c r="M143" s="12" t="str">
        <x:v>Section: New Actions and Recommendations</x:v>
      </x:c>
      <x:c r="N143" s="12" t="str"/>
      <x:c r="O143" s="12" t="str">
        <x:v>No</x:v>
      </x:c>
      <x:c r="P143" s="12" t="str">
        <x:v>No</x:v>
      </x:c>
      <x:c r="Q143" s="12"/>
      <x:c r="R143" s="12"/>
    </x:row>
    <x:row r="144">
      <x:c r="A144" s="12" t="str">
        <x:v>EVD-00143</x:v>
      </x:c>
      <x:c r="B144" s="12" t="str">
        <x:v>NEED-0013</x:v>
      </x:c>
      <x:c r="C144" s="12" t="str">
        <x:v>SRC-0004</x:v>
      </x:c>
      <x:c r="D144" s="12" t="str">
        <x:v>Computational efficiency will be important factor when deciding what to enable SeaDAS to do in the cloud and will encourage user adoption of a cloud instance.</x:v>
      </x:c>
      <x:c r="E144" s="12" t="str">
        <x:v>Computational efficiency will be important factor when deciding what to enable SeaDAS to do in the cloud and will encourage user adoption of a cloud instance.</x:v>
      </x:c>
      <x:c r="F144" s="12" t="str">
        <x:v>Action</x:v>
      </x:c>
      <x:c r="G144" s="12" t="str">
        <x:v>Ocean Biology DAAC User Working Group</x:v>
      </x:c>
      <x:c r="H144" s="12" t="n">
        <x:v>2024</x:v>
      </x:c>
      <x:c r="I144" s="12" t="str">
        <x:v>Cloud-native researchers</x:v>
      </x:c>
      <x:c r="J144" s="12" t="str">
        <x:v>High</x:v>
      </x:c>
      <x:c r="K144" s="16" t="n">
        <x:v>0.75</x:v>
      </x:c>
      <x:c r="L144" s="12" t="str">
        <x:v>LSA similarity cluster; human review pending</x:v>
      </x:c>
      <x:c r="M144" s="12" t="str">
        <x:v>Section: New Actions and Recommendations</x:v>
      </x:c>
      <x:c r="N144" s="12" t="str"/>
      <x:c r="O144" s="12" t="str">
        <x:v>No</x:v>
      </x:c>
      <x:c r="P144" s="12" t="str">
        <x:v>No</x:v>
      </x:c>
      <x:c r="Q144" s="12"/>
      <x:c r="R144" s="12"/>
    </x:row>
    <x:row r="145">
      <x:c r="A145" s="12" t="str">
        <x:v>EVD-00144</x:v>
      </x:c>
      <x:c r="B145" s="12" t="str">
        <x:v>NEED-0042</x:v>
      </x:c>
      <x:c r="C145" s="12" t="str">
        <x:v>SRC-0004</x:v>
      </x:c>
      <x:c r="D145" s="12" t="str">
        <x:v>Enlarger requiring more local machine capacity to download and install the software. Size information is available on the SeaDAS website under Downloads &gt; SeaDAS Software Package.</x:v>
      </x:c>
      <x:c r="E145" s="12" t="str">
        <x:v>Enlarger requiring more local machine capacity to download and install the software. Size information is available on the SeaDAS website under Downloads &gt; SeaDAS Software Package.</x:v>
      </x:c>
      <x:c r="F145" s="12" t="str">
        <x:v>Action</x:v>
      </x:c>
      <x:c r="G145" s="12" t="str">
        <x:v>Ocean Biology DAAC User Working Group</x:v>
      </x:c>
      <x:c r="H145" s="12" t="n">
        <x:v>2024</x:v>
      </x:c>
      <x:c r="I145" s="12" t="str">
        <x:v>Application developers</x:v>
      </x:c>
      <x:c r="J145" s="12" t="str">
        <x:v>Medium</x:v>
      </x:c>
      <x:c r="K145" s="16" t="n">
        <x:v>0.75</x:v>
      </x:c>
      <x:c r="L145" s="12" t="str">
        <x:v>LSA similarity cluster; human review pending</x:v>
      </x:c>
      <x:c r="M145" s="12" t="str">
        <x:v>Section: New Actions and Recommendations</x:v>
      </x:c>
      <x:c r="N145" s="12" t="str"/>
      <x:c r="O145" s="12" t="str">
        <x:v>No</x:v>
      </x:c>
      <x:c r="P145" s="12" t="str">
        <x:v>No</x:v>
      </x:c>
      <x:c r="Q145" s="12"/>
      <x:c r="R145" s="12"/>
    </x:row>
    <x:row r="146">
      <x:c r="A146" s="12" t="str">
        <x:v>EVD-00145</x:v>
      </x:c>
      <x:c r="B146" s="12" t="str">
        <x:v>NEED-0167</x:v>
      </x:c>
      <x:c r="C146" s="12" t="str">
        <x:v>SRC-0004</x:v>
      </x:c>
      <x:c r="D146" s="12" t="str">
        <x:v>Discussion about SeaDAS usage led to compare/contrast with other popular tools like Panoply. While UWG agrees that SeaDAS is much more powerful than a tool like Panoply, they expressed a learning curve for visualization since it just accepts lat/lon. It was suggested that tools like ArcGIS may make for a better comparison with SeaDAS in terms of capability/ease of use.</x:v>
      </x:c>
      <x:c r="E146" s="12" t="str">
        <x:v>Discussion about SeaDAS usage led to compare/contrast with other popular tools like Panoply. While UWG agrees that SeaDAS is much more powerful than a tool like Panoply, they expressed a learning curve for visualization since it just accepts lat/lon. It was suggested that tools like ArcGIS may make for a better comparison with SeaDAS in terms of capability/ease of use.</x:v>
      </x:c>
      <x:c r="F146" s="12" t="str">
        <x:v>Action</x:v>
      </x:c>
      <x:c r="G146" s="12" t="str">
        <x:v>Ocean Biology DAAC User Working Group</x:v>
      </x:c>
      <x:c r="H146" s="12" t="n">
        <x:v>2024</x:v>
      </x:c>
      <x:c r="I146" s="12" t="str">
        <x:v>GIS users</x:v>
      </x:c>
      <x:c r="J146" s="12" t="str">
        <x:v>Medium</x:v>
      </x:c>
      <x:c r="K146" s="16" t="n">
        <x:v>0.75</x:v>
      </x:c>
      <x:c r="L146" s="12" t="str">
        <x:v>LSA similarity cluster; human review pending</x:v>
      </x:c>
      <x:c r="M146" s="12" t="str">
        <x:v>Section: New Actions and Recommendations</x:v>
      </x:c>
      <x:c r="N146" s="12" t="str"/>
      <x:c r="O146" s="12" t="str">
        <x:v>No</x:v>
      </x:c>
      <x:c r="P146" s="12" t="str">
        <x:v>No</x:v>
      </x:c>
      <x:c r="Q146" s="12"/>
      <x:c r="R146" s="12"/>
    </x:row>
    <x:row r="147">
      <x:c r="A147" s="12" t="str">
        <x:v>EVD-00146</x:v>
      </x:c>
      <x:c r="B147" s="12" t="str">
        <x:v>NEED-0010</x:v>
      </x:c>
      <x:c r="C147" s="12" t="str">
        <x:v>SRC-0004</x:v>
      </x:c>
      <x:c r="D147" s="12" t="str">
        <x:v>Concern: The move to cloud computing presents significant risks to access.</x:v>
      </x:c>
      <x:c r="E147" s="12" t="str">
        <x:v>The move to cloud computing presents significant risks to access.</x:v>
      </x:c>
      <x:c r="F147" s="12" t="str">
        <x:v>Action</x:v>
      </x:c>
      <x:c r="G147" s="12" t="str">
        <x:v>Ocean Biology DAAC User Working Group</x:v>
      </x:c>
      <x:c r="H147" s="12" t="n">
        <x:v>2024</x:v>
      </x:c>
      <x:c r="I147" s="12" t="str">
        <x:v>Cloud-native researchers</x:v>
      </x:c>
      <x:c r="J147" s="12" t="str">
        <x:v>Medium</x:v>
      </x:c>
      <x:c r="K147" s="16" t="n">
        <x:v>0.75</x:v>
      </x:c>
      <x:c r="L147" s="12" t="str">
        <x:v>LSA similarity cluster; human review pending</x:v>
      </x:c>
      <x:c r="M147" s="12" t="str">
        <x:v>Section: New Actions and Recommendations</x:v>
      </x:c>
      <x:c r="N147" s="12" t="str"/>
      <x:c r="O147" s="12" t="str">
        <x:v>No</x:v>
      </x:c>
      <x:c r="P147" s="12" t="str">
        <x:v>No</x:v>
      </x:c>
      <x:c r="Q147" s="12"/>
      <x:c r="R147" s="12"/>
    </x:row>
    <x:row r="148">
      <x:c r="A148" s="12" t="str">
        <x:v>EVD-00147</x:v>
      </x:c>
      <x:c r="B148" s="12" t="str">
        <x:v>NEED-0130</x:v>
      </x:c>
      <x:c r="C148" s="12" t="str">
        <x:v>SRC-0004</x:v>
      </x:c>
      <x:c r="D148" s="12" t="str">
        <x:v>Universities can't afford the costs under current internal structures.</x:v>
      </x:c>
      <x:c r="E148" s="12" t="str">
        <x:v>Universities can't afford the costs under current internal structures.</x:v>
      </x:c>
      <x:c r="F148" s="12" t="str">
        <x:v>Action</x:v>
      </x:c>
      <x:c r="G148" s="12" t="str">
        <x:v>Ocean Biology DAAC User Working Group</x:v>
      </x:c>
      <x:c r="H148" s="12" t="n">
        <x:v>2024</x:v>
      </x:c>
      <x:c r="I148" s="12" t="str">
        <x:v>Earthdata users</x:v>
      </x:c>
      <x:c r="J148" s="12" t="str">
        <x:v>Medium</x:v>
      </x:c>
      <x:c r="K148" s="16" t="n">
        <x:v>0.75</x:v>
      </x:c>
      <x:c r="L148" s="12" t="str">
        <x:v>LSA similarity cluster; human review pending</x:v>
      </x:c>
      <x:c r="M148" s="12" t="str">
        <x:v>Section: New Actions and Recommendations</x:v>
      </x:c>
      <x:c r="N148" s="12" t="str"/>
      <x:c r="O148" s="12" t="str">
        <x:v>No</x:v>
      </x:c>
      <x:c r="P148" s="12" t="str">
        <x:v>No</x:v>
      </x:c>
      <x:c r="Q148" s="12"/>
      <x:c r="R148" s="12"/>
    </x:row>
    <x:row r="149">
      <x:c r="A149" s="12" t="str">
        <x:v>EVD-00148</x:v>
      </x:c>
      <x:c r="B149" s="12" t="str">
        <x:v>NEED-0123</x:v>
      </x:c>
      <x:c r="C149" s="12" t="str">
        <x:v>SRC-0004</x:v>
      </x:c>
      <x:c r="D149" s="12" t="str">
        <x:v>Grants may provide temporary relief, but sustainability is a concern post-grant.</x:v>
      </x:c>
      <x:c r="E149" s="12" t="str">
        <x:v>Grants may provide temporary relief, but sustainability is a concern post-grant.</x:v>
      </x:c>
      <x:c r="F149" s="12" t="str">
        <x:v>Action</x:v>
      </x:c>
      <x:c r="G149" s="12" t="str">
        <x:v>Ocean Biology DAAC User Working Group</x:v>
      </x:c>
      <x:c r="H149" s="12" t="n">
        <x:v>2024</x:v>
      </x:c>
      <x:c r="I149" s="12" t="str">
        <x:v>Earthdata users</x:v>
      </x:c>
      <x:c r="J149" s="12" t="str">
        <x:v>High</x:v>
      </x:c>
      <x:c r="K149" s="16" t="n">
        <x:v>0.75</x:v>
      </x:c>
      <x:c r="L149" s="12" t="str">
        <x:v>LSA similarity cluster; human review pending</x:v>
      </x:c>
      <x:c r="M149" s="12" t="str">
        <x:v>Section: New Actions and Recommendations</x:v>
      </x:c>
      <x:c r="N149" s="12" t="str"/>
      <x:c r="O149" s="12" t="str">
        <x:v>No</x:v>
      </x:c>
      <x:c r="P149" s="12" t="str">
        <x:v>No</x:v>
      </x:c>
      <x:c r="Q149" s="12"/>
      <x:c r="R149" s="12"/>
    </x:row>
    <x:row r="150">
      <x:c r="A150" s="12" t="str">
        <x:v>EVD-00149</x:v>
      </x:c>
      <x:c r="B150" s="12" t="str">
        <x:v>NEED-0099</x:v>
      </x:c>
      <x:c r="C150" s="12" t="str">
        <x:v>SRC-0004</x:v>
      </x:c>
      <x:c r="D150" s="12" t="str">
        <x:v>Funding for classroom/university settings is uncertain.</x:v>
      </x:c>
      <x:c r="E150" s="12" t="str">
        <x:v>Funding for classroom/university settings is uncertain.</x:v>
      </x:c>
      <x:c r="F150" s="12" t="str">
        <x:v>Action</x:v>
      </x:c>
      <x:c r="G150" s="12" t="str">
        <x:v>Ocean Biology DAAC User Working Group</x:v>
      </x:c>
      <x:c r="H150" s="12" t="n">
        <x:v>2024</x:v>
      </x:c>
      <x:c r="I150" s="12" t="str">
        <x:v>Earthdata users</x:v>
      </x:c>
      <x:c r="J150" s="12" t="str">
        <x:v>Medium</x:v>
      </x:c>
      <x:c r="K150" s="16" t="n">
        <x:v>0.55</x:v>
      </x:c>
      <x:c r="L150" s="12" t="str">
        <x:v>LSA similarity cluster; human review pending</x:v>
      </x:c>
      <x:c r="M150" s="12" t="str">
        <x:v>Section: New Actions and Recommendations</x:v>
      </x:c>
      <x:c r="N150" s="12" t="str"/>
      <x:c r="O150" s="12" t="str">
        <x:v>No</x:v>
      </x:c>
      <x:c r="P150" s="12" t="str">
        <x:v>No</x:v>
      </x:c>
      <x:c r="Q150" s="12"/>
      <x:c r="R150" s="12"/>
    </x:row>
    <x:row r="151">
      <x:c r="A151" s="12" t="str">
        <x:v>EVD-00150</x:v>
      </x:c>
      <x:c r="B151" s="12" t="str">
        <x:v>NEED-0133</x:v>
      </x:c>
      <x:c r="C151" s="12" t="str">
        <x:v>SRC-0004</x:v>
      </x:c>
      <x:c r="D151" s="12" t="str">
        <x:v>Partnerships with NIH and NSF to address concerns collectively.</x:v>
      </x:c>
      <x:c r="E151" s="12" t="str">
        <x:v>Partnerships with NIH and NSF to address concerns collectively.</x:v>
      </x:c>
      <x:c r="F151" s="12" t="str">
        <x:v>Action</x:v>
      </x:c>
      <x:c r="G151" s="12" t="str">
        <x:v>Ocean Biology DAAC User Working Group</x:v>
      </x:c>
      <x:c r="H151" s="12" t="n">
        <x:v>2024</x:v>
      </x:c>
      <x:c r="I151" s="12" t="str">
        <x:v>Earthdata users</x:v>
      </x:c>
      <x:c r="J151" s="12" t="str">
        <x:v>Medium</x:v>
      </x:c>
      <x:c r="K151" s="16" t="n">
        <x:v>0.75</x:v>
      </x:c>
      <x:c r="L151" s="12" t="str">
        <x:v>LSA similarity cluster; human review pending</x:v>
      </x:c>
      <x:c r="M151" s="12" t="str">
        <x:v>Section: New Actions and Recommendations</x:v>
      </x:c>
      <x:c r="N151" s="12" t="str"/>
      <x:c r="O151" s="12" t="str">
        <x:v>No</x:v>
      </x:c>
      <x:c r="P151" s="12" t="str">
        <x:v>No</x:v>
      </x:c>
      <x:c r="Q151" s="12"/>
      <x:c r="R151" s="12"/>
    </x:row>
    <x:row r="152">
      <x:c r="A152" s="12" t="str">
        <x:v>EVD-00151</x:v>
      </x:c>
      <x:c r="B152" s="12" t="str">
        <x:v>NEED-0084</x:v>
      </x:c>
      <x:c r="C152" s="12" t="str">
        <x:v>SRC-0004</x:v>
      </x:c>
      <x:c r="D152" s="12" t="str">
        <x:v>Perform data transformations to alleviate data size and machine capacity issues.</x:v>
      </x:c>
      <x:c r="E152" s="12" t="str">
        <x:v>Perform data transformations to alleviate data size and machine capacity issues.</x:v>
      </x:c>
      <x:c r="F152" s="12" t="str">
        <x:v>Action</x:v>
      </x:c>
      <x:c r="G152" s="12" t="str">
        <x:v>Ocean Biology DAAC User Working Group</x:v>
      </x:c>
      <x:c r="H152" s="12" t="n">
        <x:v>2024</x:v>
      </x:c>
      <x:c r="I152" s="12" t="str">
        <x:v>Earthdata users</x:v>
      </x:c>
      <x:c r="J152" s="12" t="str">
        <x:v>Medium</x:v>
      </x:c>
      <x:c r="K152" s="16" t="n">
        <x:v>0.75</x:v>
      </x:c>
      <x:c r="L152" s="12" t="str">
        <x:v>LSA similarity cluster; human review pending</x:v>
      </x:c>
      <x:c r="M152" s="12" t="str">
        <x:v>Section: New Actions and Recommendations</x:v>
      </x:c>
      <x:c r="N152" s="12" t="str"/>
      <x:c r="O152" s="12" t="str">
        <x:v>No</x:v>
      </x:c>
      <x:c r="P152" s="12" t="str">
        <x:v>No</x:v>
      </x:c>
      <x:c r="Q152" s="12"/>
      <x:c r="R152" s="12"/>
    </x:row>
    <x:row r="153">
      <x:c r="A153" s="12" t="str">
        <x:v>EVD-00152</x:v>
      </x:c>
      <x:c r="B153" s="12" t="str">
        <x:v>NEED-0130</x:v>
      </x:c>
      <x:c r="C153" s="12" t="str">
        <x:v>SRC-0004</x:v>
      </x:c>
      <x:c r="D153" s="12" t="str">
        <x:v>Consider models like Copernicus to lessen user cost burdens.</x:v>
      </x:c>
      <x:c r="E153" s="12" t="str">
        <x:v>Consider models like Copernicus to lessen user cost burdens.</x:v>
      </x:c>
      <x:c r="F153" s="12" t="str">
        <x:v>Action</x:v>
      </x:c>
      <x:c r="G153" s="12" t="str">
        <x:v>Ocean Biology DAAC User Working Group</x:v>
      </x:c>
      <x:c r="H153" s="12" t="n">
        <x:v>2024</x:v>
      </x:c>
      <x:c r="I153" s="12" t="str">
        <x:v>Earthdata users</x:v>
      </x:c>
      <x:c r="J153" s="12" t="str">
        <x:v>High</x:v>
      </x:c>
      <x:c r="K153" s="16" t="n">
        <x:v>0.75</x:v>
      </x:c>
      <x:c r="L153" s="12" t="str">
        <x:v>LSA similarity cluster; human review pending</x:v>
      </x:c>
      <x:c r="M153" s="12" t="str">
        <x:v>Section: New Actions and Recommendations</x:v>
      </x:c>
      <x:c r="N153" s="12" t="str"/>
      <x:c r="O153" s="12" t="str">
        <x:v>No</x:v>
      </x:c>
      <x:c r="P153" s="12" t="str">
        <x:v>No</x:v>
      </x:c>
      <x:c r="Q153" s="12"/>
      <x:c r="R153" s="12"/>
    </x:row>
    <x:row r="154">
      <x:c r="A154" s="12" t="str">
        <x:v>EVD-00153</x:v>
      </x:c>
      <x:c r="B154" s="12" t="str">
        <x:v>NEED-0030</x:v>
      </x:c>
      <x:c r="C154" s="12" t="str">
        <x:v>SRC-0004</x:v>
      </x:c>
      <x:c r="D154" s="12" t="str">
        <x:v>NASA should focus on ensuring equitable access and avoid cost traps with private services.</x:v>
      </x:c>
      <x:c r="E154" s="12" t="str">
        <x:v>NASA should focus on ensuring equitable access and avoid cost traps with private services.</x:v>
      </x:c>
      <x:c r="F154" s="12" t="str">
        <x:v>Action</x:v>
      </x:c>
      <x:c r="G154" s="12" t="str">
        <x:v>Ocean Biology DAAC User Working Group</x:v>
      </x:c>
      <x:c r="H154" s="12" t="n">
        <x:v>2024</x:v>
      </x:c>
      <x:c r="I154" s="12" t="str">
        <x:v>Earthdata users</x:v>
      </x:c>
      <x:c r="J154" s="12" t="str">
        <x:v>High</x:v>
      </x:c>
      <x:c r="K154" s="16" t="n">
        <x:v>0.75</x:v>
      </x:c>
      <x:c r="L154" s="12" t="str">
        <x:v>LSA similarity cluster; human review pending</x:v>
      </x:c>
      <x:c r="M154" s="12" t="str">
        <x:v>Section: New Actions and Recommendations</x:v>
      </x:c>
      <x:c r="N154" s="12" t="str"/>
      <x:c r="O154" s="12" t="str">
        <x:v>No</x:v>
      </x:c>
      <x:c r="P154" s="12" t="str">
        <x:v>No</x:v>
      </x:c>
      <x:c r="Q154" s="12"/>
      <x:c r="R154" s="12"/>
    </x:row>
    <x:row r="155">
      <x:c r="A155" s="12" t="str">
        <x:v>EVD-00154</x:v>
      </x:c>
      <x:c r="B155" s="12" t="str">
        <x:v>NEED-0180</x:v>
      </x:c>
      <x:c r="C155" s="12" t="str">
        <x:v>SRC-0004</x:v>
      </x:c>
      <x:c r="D155" s="12" t="str">
        <x:v>Concern: Users are worried about potential charges for previously free services like Google Earth Engine.</x:v>
      </x:c>
      <x:c r="E155" s="12" t="str">
        <x:v>Users are worried about potential charges for previously free services like Google Earth Engine.</x:v>
      </x:c>
      <x:c r="F155" s="12" t="str">
        <x:v>Action</x:v>
      </x:c>
      <x:c r="G155" s="12" t="str">
        <x:v>Ocean Biology DAAC User Working Group</x:v>
      </x:c>
      <x:c r="H155" s="12" t="n">
        <x:v>2024</x:v>
      </x:c>
      <x:c r="I155" s="12" t="str">
        <x:v>Earthdata users</x:v>
      </x:c>
      <x:c r="J155" s="12" t="str">
        <x:v>Medium</x:v>
      </x:c>
      <x:c r="K155" s="16" t="n">
        <x:v>0.75</x:v>
      </x:c>
      <x:c r="L155" s="12" t="str">
        <x:v>LSA similarity cluster; human review pending</x:v>
      </x:c>
      <x:c r="M155" s="12" t="str">
        <x:v>Section: New Actions and Recommendations</x:v>
      </x:c>
      <x:c r="N155" s="12" t="str"/>
      <x:c r="O155" s="12" t="str">
        <x:v>No</x:v>
      </x:c>
      <x:c r="P155" s="12" t="str">
        <x:v>No</x:v>
      </x:c>
      <x:c r="Q155" s="12"/>
      <x:c r="R155" s="12"/>
    </x:row>
    <x:row r="156">
      <x:c r="A156" s="12" t="str">
        <x:v>EVD-00155</x:v>
      </x:c>
      <x:c r="B156" s="12" t="str">
        <x:v>NEED-0180</x:v>
      </x:c>
      <x:c r="C156" s="12" t="str">
        <x:v>SRC-0004</x:v>
      </x:c>
      <x:c r="D156" s="12" t="str">
        <x:v>Under-resourced users rely on free services.</x:v>
      </x:c>
      <x:c r="E156" s="12" t="str">
        <x:v>Under-resourced users rely on free services.</x:v>
      </x:c>
      <x:c r="F156" s="12" t="str">
        <x:v>Action</x:v>
      </x:c>
      <x:c r="G156" s="12" t="str">
        <x:v>Ocean Biology DAAC User Working Group</x:v>
      </x:c>
      <x:c r="H156" s="12" t="n">
        <x:v>2024</x:v>
      </x:c>
      <x:c r="I156" s="12" t="str">
        <x:v>Earthdata users</x:v>
      </x:c>
      <x:c r="J156" s="12" t="str">
        <x:v>Medium</x:v>
      </x:c>
      <x:c r="K156" s="16" t="n">
        <x:v>0.75</x:v>
      </x:c>
      <x:c r="L156" s="12" t="str">
        <x:v>LSA similarity cluster; human review pending</x:v>
      </x:c>
      <x:c r="M156" s="12" t="str">
        <x:v>Section: New Actions and Recommendations</x:v>
      </x:c>
      <x:c r="N156" s="12" t="str"/>
      <x:c r="O156" s="12" t="str">
        <x:v>No</x:v>
      </x:c>
      <x:c r="P156" s="12" t="str">
        <x:v>No</x:v>
      </x:c>
      <x:c r="Q156" s="12"/>
      <x:c r="R156" s="12"/>
    </x:row>
    <x:row r="157">
      <x:c r="A157" s="12" t="str">
        <x:v>EVD-00156</x:v>
      </x:c>
      <x:c r="B157" s="12" t="str">
        <x:v>NEED-0127</x:v>
      </x:c>
      <x:c r="C157" s="12" t="str">
        <x:v>SRC-0004</x:v>
      </x:c>
      <x:c r="D157" s="12" t="str">
        <x:v>Examples like UC Berkeley's sudden end of Google's free tier cause concern.</x:v>
      </x:c>
      <x:c r="E157" s="12" t="str">
        <x:v>Examples like UC Berkeley's sudden end of Google's free tier cause concern.</x:v>
      </x:c>
      <x:c r="F157" s="12" t="str">
        <x:v>Action</x:v>
      </x:c>
      <x:c r="G157" s="12" t="str">
        <x:v>Ocean Biology DAAC User Working Group</x:v>
      </x:c>
      <x:c r="H157" s="12" t="n">
        <x:v>2024</x:v>
      </x:c>
      <x:c r="I157" s="12" t="str">
        <x:v>Earthdata users</x:v>
      </x:c>
      <x:c r="J157" s="12" t="str">
        <x:v>Medium</x:v>
      </x:c>
      <x:c r="K157" s="16" t="n">
        <x:v>0.75</x:v>
      </x:c>
      <x:c r="L157" s="12" t="str">
        <x:v>LSA similarity cluster; human review pending</x:v>
      </x:c>
      <x:c r="M157" s="12" t="str">
        <x:v>Section: New Actions and Recommendations</x:v>
      </x:c>
      <x:c r="N157" s="12" t="str"/>
      <x:c r="O157" s="12" t="str">
        <x:v>No</x:v>
      </x:c>
      <x:c r="P157" s="12" t="str">
        <x:v>No</x:v>
      </x:c>
      <x:c r="Q157" s="12"/>
      <x:c r="R157" s="12"/>
    </x:row>
    <x:row r="158">
      <x:c r="A158" s="12" t="str">
        <x:v>EVD-00157</x:v>
      </x:c>
      <x:c r="B158" s="12" t="str">
        <x:v>NEED-0005</x:v>
      </x:c>
      <x:c r="C158" s="12" t="str">
        <x:v>SRC-0004</x:v>
      </x:c>
      <x:c r="D158" s="12" t="str">
        <x:v>Define use cases for cloud computing to help users understand costs.</x:v>
      </x:c>
      <x:c r="E158" s="12" t="str">
        <x:v>Define use cases for cloud computing to help users understand costs.</x:v>
      </x:c>
      <x:c r="F158" s="12" t="str">
        <x:v>Action</x:v>
      </x:c>
      <x:c r="G158" s="12" t="str">
        <x:v>Ocean Biology DAAC User Working Group</x:v>
      </x:c>
      <x:c r="H158" s="12" t="n">
        <x:v>2024</x:v>
      </x:c>
      <x:c r="I158" s="12" t="str">
        <x:v>Cloud-native researchers</x:v>
      </x:c>
      <x:c r="J158" s="12" t="str">
        <x:v>Medium</x:v>
      </x:c>
      <x:c r="K158" s="16" t="n">
        <x:v>0.75</x:v>
      </x:c>
      <x:c r="L158" s="12" t="str">
        <x:v>LSA similarity cluster; human review pending</x:v>
      </x:c>
      <x:c r="M158" s="12" t="str">
        <x:v>Section: New Actions and Recommendations</x:v>
      </x:c>
      <x:c r="N158" s="12" t="str"/>
      <x:c r="O158" s="12" t="str">
        <x:v>No</x:v>
      </x:c>
      <x:c r="P158" s="12" t="str">
        <x:v>No</x:v>
      </x:c>
      <x:c r="Q158" s="12"/>
      <x:c r="R158" s="12"/>
    </x:row>
    <x:row r="159">
      <x:c r="A159" s="12" t="str">
        <x:v>EVD-00158</x:v>
      </x:c>
      <x:c r="B159" s="12" t="str">
        <x:v>NEED-0005</x:v>
      </x:c>
      <x:c r="C159" s="12" t="str">
        <x:v>SRC-0004</x:v>
      </x:c>
      <x:c r="D159" s="12" t="str">
        <x:v>Provide cloud usage statistics (like those from EO Browser) to help users plan for computational costs.</x:v>
      </x:c>
      <x:c r="E159" s="12" t="str">
        <x:v>Provide cloud usage statistics (like those from EO Browser) to help users plan for computational costs.</x:v>
      </x:c>
      <x:c r="F159" s="12" t="str">
        <x:v>Action</x:v>
      </x:c>
      <x:c r="G159" s="12" t="str">
        <x:v>Ocean Biology DAAC User Working Group</x:v>
      </x:c>
      <x:c r="H159" s="12" t="n">
        <x:v>2024</x:v>
      </x:c>
      <x:c r="I159" s="12" t="str">
        <x:v>Cloud-native researchers</x:v>
      </x:c>
      <x:c r="J159" s="12" t="str">
        <x:v>High</x:v>
      </x:c>
      <x:c r="K159" s="16" t="n">
        <x:v>0.75</x:v>
      </x:c>
      <x:c r="L159" s="12" t="str">
        <x:v>LSA similarity cluster; human review pending</x:v>
      </x:c>
      <x:c r="M159" s="12" t="str">
        <x:v>Section: New Actions and Recommendations</x:v>
      </x:c>
      <x:c r="N159" s="12" t="str"/>
      <x:c r="O159" s="12" t="str">
        <x:v>No</x:v>
      </x:c>
      <x:c r="P159" s="12" t="str">
        <x:v>No</x:v>
      </x:c>
      <x:c r="Q159" s="12"/>
      <x:c r="R159" s="12"/>
    </x:row>
    <x:row r="160">
      <x:c r="A160" s="12" t="str">
        <x:v>EVD-00159</x:v>
      </x:c>
      <x:c r="B160" s="12" t="str">
        <x:v>NEED-0010</x:v>
      </x:c>
      <x:c r="C160" s="12" t="str">
        <x:v>SRC-0004</x:v>
      </x:c>
      <x:c r="D160" s="12" t="str">
        <x:v>Ensure downloading NASA data from the cloud remains free, though computing costs are the user’s responsibility.</x:v>
      </x:c>
      <x:c r="E160" s="12" t="str">
        <x:v>Ensure downloading NASA data from the cloud remains free, though computing costs are the user’s responsibility.</x:v>
      </x:c>
      <x:c r="F160" s="12" t="str">
        <x:v>Action</x:v>
      </x:c>
      <x:c r="G160" s="12" t="str">
        <x:v>Ocean Biology DAAC User Working Group</x:v>
      </x:c>
      <x:c r="H160" s="12" t="n">
        <x:v>2024</x:v>
      </x:c>
      <x:c r="I160" s="12" t="str">
        <x:v>Cloud-native researchers</x:v>
      </x:c>
      <x:c r="J160" s="12" t="str">
        <x:v>High</x:v>
      </x:c>
      <x:c r="K160" s="16" t="n">
        <x:v>0.75</x:v>
      </x:c>
      <x:c r="L160" s="12" t="str">
        <x:v>LSA similarity cluster; human review pending</x:v>
      </x:c>
      <x:c r="M160" s="12" t="str">
        <x:v>Section: New Actions and Recommendations</x:v>
      </x:c>
      <x:c r="N160" s="12" t="str"/>
      <x:c r="O160" s="12" t="str">
        <x:v>No</x:v>
      </x:c>
      <x:c r="P160" s="12" t="str">
        <x:v>No</x:v>
      </x:c>
      <x:c r="Q160" s="12"/>
      <x:c r="R160" s="12"/>
    </x:row>
    <x:row r="161">
      <x:c r="A161" s="12" t="str">
        <x:v>EVD-00160</x:v>
      </x:c>
      <x:c r="B161" s="12" t="str">
        <x:v>NEED-0010</x:v>
      </x:c>
      <x:c r="C161" s="12" t="str">
        <x:v>SRC-0004</x:v>
      </x:c>
      <x:c r="D161" s="12" t="str">
        <x:v>Concern: Securing funding for cloud computing in certain areas.</x:v>
      </x:c>
      <x:c r="E161" s="12" t="str">
        <x:v>Securing funding for cloud computing in certain areas.</x:v>
      </x:c>
      <x:c r="F161" s="12" t="str">
        <x:v>Action</x:v>
      </x:c>
      <x:c r="G161" s="12" t="str">
        <x:v>Ocean Biology DAAC User Working Group</x:v>
      </x:c>
      <x:c r="H161" s="12" t="n">
        <x:v>2024</x:v>
      </x:c>
      <x:c r="I161" s="12" t="str">
        <x:v>Cloud-native researchers</x:v>
      </x:c>
      <x:c r="J161" s="12" t="str">
        <x:v>Medium</x:v>
      </x:c>
      <x:c r="K161" s="16" t="n">
        <x:v>0.75</x:v>
      </x:c>
      <x:c r="L161" s="12" t="str">
        <x:v>LSA similarity cluster; human review pending</x:v>
      </x:c>
      <x:c r="M161" s="12" t="str">
        <x:v>Section: New Actions and Recommendations</x:v>
      </x:c>
      <x:c r="N161" s="12" t="str"/>
      <x:c r="O161" s="12" t="str">
        <x:v>No</x:v>
      </x:c>
      <x:c r="P161" s="12" t="str">
        <x:v>No</x:v>
      </x:c>
      <x:c r="Q161" s="12"/>
      <x:c r="R161" s="12"/>
    </x:row>
    <x:row r="162">
      <x:c r="A162" s="12" t="str">
        <x:v>EVD-00161</x:v>
      </x:c>
      <x:c r="B162" s="12" t="str">
        <x:v>NEED-0133</x:v>
      </x:c>
      <x:c r="C162" s="12" t="str">
        <x:v>SRC-0004</x:v>
      </x:c>
      <x:c r="D162" s="12" t="str">
        <x:v>Privatization of resources could negatively affect science outcomes.</x:v>
      </x:c>
      <x:c r="E162" s="12" t="str">
        <x:v>Privatization of resources could negatively affect science outcomes.</x:v>
      </x:c>
      <x:c r="F162" s="12" t="str">
        <x:v>Action</x:v>
      </x:c>
      <x:c r="G162" s="12" t="str">
        <x:v>Ocean Biology DAAC User Working Group</x:v>
      </x:c>
      <x:c r="H162" s="12" t="n">
        <x:v>2024</x:v>
      </x:c>
      <x:c r="I162" s="12" t="str">
        <x:v>Earthdata users</x:v>
      </x:c>
      <x:c r="J162" s="12" t="str">
        <x:v>Medium</x:v>
      </x:c>
      <x:c r="K162" s="16" t="n">
        <x:v>0.75</x:v>
      </x:c>
      <x:c r="L162" s="12" t="str">
        <x:v>LSA similarity cluster; human review pending</x:v>
      </x:c>
      <x:c r="M162" s="12" t="str">
        <x:v>Section: New Actions and Recommendations</x:v>
      </x:c>
      <x:c r="N162" s="12" t="str"/>
      <x:c r="O162" s="12" t="str">
        <x:v>No</x:v>
      </x:c>
      <x:c r="P162" s="12" t="str">
        <x:v>No</x:v>
      </x:c>
      <x:c r="Q162" s="12"/>
      <x:c r="R162" s="12"/>
    </x:row>
    <x:row r="163">
      <x:c r="A163" s="12" t="str">
        <x:v>EVD-00162</x:v>
      </x:c>
      <x:c r="B163" s="12" t="str">
        <x:v>NEED-0102</x:v>
      </x:c>
      <x:c r="C163" s="12" t="str">
        <x:v>SRC-0004</x:v>
      </x:c>
      <x:c r="D163" s="12" t="str">
        <x:v>Collaborate between NASA, NSF, and NIH to improve coordination and avoid cost traps.</x:v>
      </x:c>
      <x:c r="E163" s="12" t="str">
        <x:v>Collaborate between NASA, NSF, and NIH to improve coordination and avoid cost traps.</x:v>
      </x:c>
      <x:c r="F163" s="12" t="str">
        <x:v>Action</x:v>
      </x:c>
      <x:c r="G163" s="12" t="str">
        <x:v>Ocean Biology DAAC User Working Group</x:v>
      </x:c>
      <x:c r="H163" s="12" t="n">
        <x:v>2024</x:v>
      </x:c>
      <x:c r="I163" s="12" t="str">
        <x:v>Earthdata users</x:v>
      </x:c>
      <x:c r="J163" s="12" t="str">
        <x:v>High</x:v>
      </x:c>
      <x:c r="K163" s="16" t="n">
        <x:v>0.55</x:v>
      </x:c>
      <x:c r="L163" s="12" t="str">
        <x:v>LSA similarity cluster; human review pending</x:v>
      </x:c>
      <x:c r="M163" s="12" t="str">
        <x:v>Section: New Actions and Recommendations</x:v>
      </x:c>
      <x:c r="N163" s="12" t="str"/>
      <x:c r="O163" s="12" t="str">
        <x:v>No</x:v>
      </x:c>
      <x:c r="P163" s="12" t="str">
        <x:v>No</x:v>
      </x:c>
      <x:c r="Q163" s="12"/>
      <x:c r="R163" s="12"/>
    </x:row>
    <x:row r="164">
      <x:c r="A164" s="12" t="str">
        <x:v>EVD-00163</x:v>
      </x:c>
      <x:c r="B164" s="12" t="str">
        <x:v>NEED-0133</x:v>
      </x:c>
      <x:c r="C164" s="12" t="str">
        <x:v>SRC-0004</x:v>
      </x:c>
      <x:c r="D164" s="12" t="str">
        <x:v>NASA HQ should address broader trends in privatization to ensure appropriate resource allocation.</x:v>
      </x:c>
      <x:c r="E164" s="12" t="str">
        <x:v>NASA HQ should address broader trends in privatization to ensure appropriate resource allocation.</x:v>
      </x:c>
      <x:c r="F164" s="12" t="str">
        <x:v>Action</x:v>
      </x:c>
      <x:c r="G164" s="12" t="str">
        <x:v>Ocean Biology DAAC User Working Group</x:v>
      </x:c>
      <x:c r="H164" s="12" t="n">
        <x:v>2024</x:v>
      </x:c>
      <x:c r="I164" s="12" t="str">
        <x:v>Earthdata users</x:v>
      </x:c>
      <x:c r="J164" s="12" t="str">
        <x:v>High</x:v>
      </x:c>
      <x:c r="K164" s="16" t="n">
        <x:v>0.75</x:v>
      </x:c>
      <x:c r="L164" s="12" t="str">
        <x:v>LSA similarity cluster; human review pending</x:v>
      </x:c>
      <x:c r="M164" s="12" t="str">
        <x:v>Section: New Actions and Recommendations</x:v>
      </x:c>
      <x:c r="N164" s="12" t="str"/>
      <x:c r="O164" s="12" t="str">
        <x:v>No</x:v>
      </x:c>
      <x:c r="P164" s="12" t="str">
        <x:v>No</x:v>
      </x:c>
      <x:c r="Q164" s="12"/>
      <x:c r="R164" s="12"/>
    </x:row>
    <x:row r="165">
      <x:c r="A165" s="12" t="str">
        <x:v>EVD-00164</x:v>
      </x:c>
      <x:c r="B165" s="12" t="str">
        <x:v>NEED-0150</x:v>
      </x:c>
      <x:c r="C165" s="12" t="str">
        <x:v>SRC-0004</x:v>
      </x:c>
      <x:c r="D165" s="12" t="str">
        <x:v>Concern: Better communication and understanding of other DAACs’ activities.</x:v>
      </x:c>
      <x:c r="E165" s="12" t="str">
        <x:v>Better communication and understanding of other DAACs’ activities.</x:v>
      </x:c>
      <x:c r="F165" s="12" t="str">
        <x:v>Action</x:v>
      </x:c>
      <x:c r="G165" s="12" t="str">
        <x:v>Ocean Biology DAAC User Working Group</x:v>
      </x:c>
      <x:c r="H165" s="12" t="n">
        <x:v>2024</x:v>
      </x:c>
      <x:c r="I165" s="12" t="str">
        <x:v>Earthdata users</x:v>
      </x:c>
      <x:c r="J165" s="12" t="str">
        <x:v>Medium</x:v>
      </x:c>
      <x:c r="K165" s="16" t="n">
        <x:v>0.75</x:v>
      </x:c>
      <x:c r="L165" s="12" t="str">
        <x:v>LSA similarity cluster; human review pending</x:v>
      </x:c>
      <x:c r="M165" s="12" t="str">
        <x:v>Section: New Actions and Recommendations</x:v>
      </x:c>
      <x:c r="N165" s="12" t="str"/>
      <x:c r="O165" s="12" t="str">
        <x:v>No</x:v>
      </x:c>
      <x:c r="P165" s="12" t="str">
        <x:v>No</x:v>
      </x:c>
      <x:c r="Q165" s="12"/>
      <x:c r="R165" s="12"/>
    </x:row>
    <x:row r="166">
      <x:c r="A166" s="12" t="str">
        <x:v>EVD-00165</x:v>
      </x:c>
      <x:c r="B166" s="12" t="str">
        <x:v>NEED-0129</x:v>
      </x:c>
      <x:c r="C166" s="12" t="str">
        <x:v>SRC-0004</x:v>
      </x:c>
      <x:c r="D166" s="12" t="str">
        <x:v>Lack of interaction across DAACs' UWGs.</x:v>
      </x:c>
      <x:c r="E166" s="12" t="str">
        <x:v>Lack of interaction across DAACs' UWGs.</x:v>
      </x:c>
      <x:c r="F166" s="12" t="str">
        <x:v>Action</x:v>
      </x:c>
      <x:c r="G166" s="12" t="str">
        <x:v>Ocean Biology DAAC User Working Group</x:v>
      </x:c>
      <x:c r="H166" s="12" t="n">
        <x:v>2024</x:v>
      </x:c>
      <x:c r="I166" s="12" t="str">
        <x:v>Earthdata users</x:v>
      </x:c>
      <x:c r="J166" s="12" t="str">
        <x:v>Medium</x:v>
      </x:c>
      <x:c r="K166" s="16" t="n">
        <x:v>0.75</x:v>
      </x:c>
      <x:c r="L166" s="12" t="str">
        <x:v>LSA similarity cluster; human review pending</x:v>
      </x:c>
      <x:c r="M166" s="12" t="str">
        <x:v>Section: New Actions and Recommendations</x:v>
      </x:c>
      <x:c r="N166" s="12" t="str"/>
      <x:c r="O166" s="12" t="str">
        <x:v>No</x:v>
      </x:c>
      <x:c r="P166" s="12" t="str">
        <x:v>No</x:v>
      </x:c>
      <x:c r="Q166" s="12"/>
      <x:c r="R166" s="12"/>
    </x:row>
    <x:row r="167">
      <x:c r="A167" s="12" t="str">
        <x:v>EVD-00166</x:v>
      </x:c>
      <x:c r="B167" s="12" t="str">
        <x:v>NEED-0133</x:v>
      </x:c>
      <x:c r="C167" s="12" t="str">
        <x:v>SRC-0004</x:v>
      </x:c>
      <x:c r="D167" s="12" t="str">
        <x:v>ESDIS is developing a combined working group (ESWG) to discuss common needs, issues, and solutions.</x:v>
      </x:c>
      <x:c r="E167" s="12" t="str">
        <x:v>ESDIS is developing a combined working group (ESWG) to discuss common needs, issues, and solutions.</x:v>
      </x:c>
      <x:c r="F167" s="12" t="str">
        <x:v>Action</x:v>
      </x:c>
      <x:c r="G167" s="12" t="str">
        <x:v>Ocean Biology DAAC User Working Group</x:v>
      </x:c>
      <x:c r="H167" s="12" t="n">
        <x:v>2024</x:v>
      </x:c>
      <x:c r="I167" s="12" t="str">
        <x:v>Earthdata users</x:v>
      </x:c>
      <x:c r="J167" s="12" t="str">
        <x:v>Medium</x:v>
      </x:c>
      <x:c r="K167" s="16" t="n">
        <x:v>0.75</x:v>
      </x:c>
      <x:c r="L167" s="12" t="str">
        <x:v>LSA similarity cluster; human review pending</x:v>
      </x:c>
      <x:c r="M167" s="12" t="str">
        <x:v>Section: New Actions and Recommendations</x:v>
      </x:c>
      <x:c r="N167" s="12" t="str"/>
      <x:c r="O167" s="12" t="str">
        <x:v>No</x:v>
      </x:c>
      <x:c r="P167" s="12" t="str">
        <x:v>No</x:v>
      </x:c>
      <x:c r="Q167" s="12"/>
      <x:c r="R167" s="12"/>
    </x:row>
    <x:row r="168">
      <x:c r="A168" s="12" t="str">
        <x:v>EVD-00167</x:v>
      </x:c>
      <x:c r="B168" s="12" t="str">
        <x:v>NEED-0140</x:v>
      </x:c>
      <x:c r="C168" s="12" t="str">
        <x:v>SRC-0004</x:v>
      </x:c>
      <x:c r="D168" s="12" t="str">
        <x:v>New Action Items</x:v>
      </x:c>
      <x:c r="E168" s="12" t="str">
        <x:v>New Action Items</x:v>
      </x:c>
      <x:c r="F168" s="12" t="str">
        <x:v>Action</x:v>
      </x:c>
      <x:c r="G168" s="12" t="str">
        <x:v>Ocean Biology DAAC User Working Group</x:v>
      </x:c>
      <x:c r="H168" s="12" t="n">
        <x:v>2024</x:v>
      </x:c>
      <x:c r="I168" s="12" t="str">
        <x:v>Earthdata users</x:v>
      </x:c>
      <x:c r="J168" s="12" t="str">
        <x:v>Medium</x:v>
      </x:c>
      <x:c r="K168" s="16" t="n">
        <x:v>0.75</x:v>
      </x:c>
      <x:c r="L168" s="12" t="str">
        <x:v>LSA similarity cluster; human review pending</x:v>
      </x:c>
      <x:c r="M168" s="12" t="str">
        <x:v>Section: New Actions and Recommendations</x:v>
      </x:c>
      <x:c r="N168" s="12" t="str"/>
      <x:c r="O168" s="12" t="str">
        <x:v>No</x:v>
      </x:c>
      <x:c r="P168" s="12" t="str">
        <x:v>No</x:v>
      </x:c>
      <x:c r="Q168" s="12"/>
      <x:c r="R168" s="12"/>
    </x:row>
    <x:row r="169">
      <x:c r="A169" s="12" t="str">
        <x:v>EVD-00168</x:v>
      </x:c>
      <x:c r="B169" s="12" t="str">
        <x:v>NEED-0081</x:v>
      </x:c>
      <x:c r="C169" s="12" t="str">
        <x:v>SRC-0004</x:v>
      </x:c>
      <x:c r="D169" s="12" t="str">
        <x:v>Explore creating merged products composed of complementary datasets (for PACE to start).</x:v>
      </x:c>
      <x:c r="E169" s="12" t="str">
        <x:v>Explore creating merged products composed of complementary datasets (for PACE to start).</x:v>
      </x:c>
      <x:c r="F169" s="12" t="str">
        <x:v>Action</x:v>
      </x:c>
      <x:c r="G169" s="12" t="str">
        <x:v>Ocean Biology DAAC User Working Group</x:v>
      </x:c>
      <x:c r="H169" s="12" t="n">
        <x:v>2024</x:v>
      </x:c>
      <x:c r="I169" s="12" t="str">
        <x:v>Earthdata users</x:v>
      </x:c>
      <x:c r="J169" s="12" t="str">
        <x:v>Medium</x:v>
      </x:c>
      <x:c r="K169" s="16" t="n">
        <x:v>0.75</x:v>
      </x:c>
      <x:c r="L169" s="12" t="str">
        <x:v>LSA similarity cluster; human review pending</x:v>
      </x:c>
      <x:c r="M169" s="12" t="str">
        <x:v>Section: New Actions and Recommendations</x:v>
      </x:c>
      <x:c r="N169" s="12" t="str"/>
      <x:c r="O169" s="12" t="str">
        <x:v>No</x:v>
      </x:c>
      <x:c r="P169" s="12" t="str">
        <x:v>No</x:v>
      </x:c>
      <x:c r="Q169" s="12"/>
      <x:c r="R169" s="12"/>
    </x:row>
    <x:row r="170">
      <x:c r="A170" s="12" t="str">
        <x:v>EVD-00169</x:v>
      </x:c>
      <x:c r="B170" s="12" t="str">
        <x:v>NEED-0083</x:v>
      </x:c>
      <x:c r="C170" s="12" t="str">
        <x:v>SRC-0004</x:v>
      </x:c>
      <x:c r="D170" s="12" t="str">
        <x:v>Contact NSIDC to learn about their notification mechanism used to report changes in datasets to user community.</x:v>
      </x:c>
      <x:c r="E170" s="12" t="str">
        <x:v>Contact NSIDC to learn about their notification mechanism used to report changes in datasets to user community.</x:v>
      </x:c>
      <x:c r="F170" s="12" t="str">
        <x:v>Action</x:v>
      </x:c>
      <x:c r="G170" s="12" t="str">
        <x:v>Ocean Biology DAAC User Working Group</x:v>
      </x:c>
      <x:c r="H170" s="12" t="n">
        <x:v>2024</x:v>
      </x:c>
      <x:c r="I170" s="12" t="str">
        <x:v>Earthdata users</x:v>
      </x:c>
      <x:c r="J170" s="12" t="str">
        <x:v>Medium</x:v>
      </x:c>
      <x:c r="K170" s="16" t="n">
        <x:v>0.75</x:v>
      </x:c>
      <x:c r="L170" s="12" t="str">
        <x:v>LSA similarity cluster; human review pending</x:v>
      </x:c>
      <x:c r="M170" s="12" t="str">
        <x:v>Section: New Actions and Recommendations</x:v>
      </x:c>
      <x:c r="N170" s="12" t="str"/>
      <x:c r="O170" s="12" t="str">
        <x:v>No</x:v>
      </x:c>
      <x:c r="P170" s="12" t="str">
        <x:v>No</x:v>
      </x:c>
      <x:c r="Q170" s="12"/>
      <x:c r="R170" s="12"/>
    </x:row>
    <x:row r="171">
      <x:c r="A171" s="12" t="str">
        <x:v>EVD-00170</x:v>
      </x:c>
      <x:c r="B171" s="12" t="str">
        <x:v>NEED-0125</x:v>
      </x:c>
      <x:c r="C171" s="12" t="str">
        <x:v>SRC-0004</x:v>
      </x:c>
      <x:c r="D171" s="12" t="str">
        <x:v>Look into feasibility of using EULA mechanism in EDL to force users to acknowledge data version.</x:v>
      </x:c>
      <x:c r="E171" s="12" t="str">
        <x:v>Look into feasibility of using EULA mechanism in EDL to force users to acknowledge data version.</x:v>
      </x:c>
      <x:c r="F171" s="12" t="str">
        <x:v>Action</x:v>
      </x:c>
      <x:c r="G171" s="12" t="str">
        <x:v>Ocean Biology DAAC User Working Group</x:v>
      </x:c>
      <x:c r="H171" s="12" t="n">
        <x:v>2024</x:v>
      </x:c>
      <x:c r="I171" s="12" t="str">
        <x:v>Earthdata users</x:v>
      </x:c>
      <x:c r="J171" s="12" t="str">
        <x:v>Medium</x:v>
      </x:c>
      <x:c r="K171" s="16" t="n">
        <x:v>0.75</x:v>
      </x:c>
      <x:c r="L171" s="12" t="str">
        <x:v>LSA similarity cluster; human review pending</x:v>
      </x:c>
      <x:c r="M171" s="12" t="str">
        <x:v>Section: New Actions and Recommendations</x:v>
      </x:c>
      <x:c r="N171" s="12" t="str"/>
      <x:c r="O171" s="12" t="str">
        <x:v>No</x:v>
      </x:c>
      <x:c r="P171" s="12" t="str">
        <x:v>No</x:v>
      </x:c>
      <x:c r="Q171" s="12"/>
      <x:c r="R171" s="12"/>
    </x:row>
    <x:row r="172">
      <x:c r="A172" s="12" t="str">
        <x:v>EVD-00171</x:v>
      </x:c>
      <x:c r="B172" s="12" t="str">
        <x:v>NEED-0068</x:v>
      </x:c>
      <x:c r="C172" s="12" t="str">
        <x:v>SRC-0004</x:v>
      </x:c>
      <x:c r="D172" s="12" t="str">
        <x:v>Look into adding metadata to collections to include release notes link.</x:v>
      </x:c>
      <x:c r="E172" s="12" t="str">
        <x:v>Look into adding metadata to collections to include release notes link.</x:v>
      </x:c>
      <x:c r="F172" s="12" t="str">
        <x:v>Action</x:v>
      </x:c>
      <x:c r="G172" s="12" t="str">
        <x:v>Ocean Biology DAAC User Working Group</x:v>
      </x:c>
      <x:c r="H172" s="12" t="n">
        <x:v>2024</x:v>
      </x:c>
      <x:c r="I172" s="12" t="str">
        <x:v>Earthdata users</x:v>
      </x:c>
      <x:c r="J172" s="12" t="str">
        <x:v>Medium</x:v>
      </x:c>
      <x:c r="K172" s="16" t="n">
        <x:v>0.75</x:v>
      </x:c>
      <x:c r="L172" s="12" t="str">
        <x:v>LSA similarity cluster; human review pending</x:v>
      </x:c>
      <x:c r="M172" s="12" t="str">
        <x:v>Section: New Actions and Recommendations</x:v>
      </x:c>
      <x:c r="N172" s="12" t="str"/>
      <x:c r="O172" s="12" t="str">
        <x:v>No</x:v>
      </x:c>
      <x:c r="P172" s="12" t="str">
        <x:v>No</x:v>
      </x:c>
      <x:c r="Q172" s="12"/>
      <x:c r="R172" s="12"/>
    </x:row>
    <x:row r="173">
      <x:c r="A173" s="12" t="str">
        <x:v>EVD-00172</x:v>
      </x:c>
      <x:c r="B173" s="12" t="str">
        <x:v>NEED-0052</x:v>
      </x:c>
      <x:c r="C173" s="12" t="str">
        <x:v>SRC-0004</x:v>
      </x:c>
      <x:c r="D173" s="12" t="str">
        <x:v>Look into requesting new metadata field for science data product stage (Std, provisional, test, special) -AND-</x:v>
      </x:c>
      <x:c r="E173" s="12" t="str">
        <x:v>Look into requesting new metadata field for science data product stage (Std, provisional, test, special) -AND-</x:v>
      </x:c>
      <x:c r="F173" s="12" t="str">
        <x:v>Action</x:v>
      </x:c>
      <x:c r="G173" s="12" t="str">
        <x:v>Ocean Biology DAAC User Working Group</x:v>
      </x:c>
      <x:c r="H173" s="12" t="n">
        <x:v>2024</x:v>
      </x:c>
      <x:c r="I173" s="12" t="str">
        <x:v>Earthdata users</x:v>
      </x:c>
      <x:c r="J173" s="12" t="str">
        <x:v>Medium</x:v>
      </x:c>
      <x:c r="K173" s="16" t="n">
        <x:v>0.75</x:v>
      </x:c>
      <x:c r="L173" s="12" t="str">
        <x:v>LSA similarity cluster; human review pending</x:v>
      </x:c>
      <x:c r="M173" s="12" t="str">
        <x:v>Section: New Actions and Recommendations</x:v>
      </x:c>
      <x:c r="N173" s="12" t="str"/>
      <x:c r="O173" s="12" t="str">
        <x:v>No</x:v>
      </x:c>
      <x:c r="P173" s="12" t="str">
        <x:v>No</x:v>
      </x:c>
      <x:c r="Q173" s="12"/>
      <x:c r="R173" s="12"/>
    </x:row>
    <x:row r="174">
      <x:c r="A174" s="12" t="str">
        <x:v>EVD-00173</x:v>
      </x:c>
      <x:c r="B174" s="12" t="str">
        <x:v>NEED-0052</x:v>
      </x:c>
      <x:c r="C174" s="12" t="str">
        <x:v>SRC-0004</x:v>
      </x:c>
      <x:c r="D174" s="12" t="str">
        <x:v>will also consider adding Science Data Product Implementation Plan as related URL to collection metadata so information about data product stage procedure is accessible from product.</x:v>
      </x:c>
      <x:c r="E174" s="12" t="str">
        <x:v>will also consider adding Science Data Product Implementation Plan as related URL to collection metadata so information about data product stage procedure is accessible from product.</x:v>
      </x:c>
      <x:c r="F174" s="12" t="str">
        <x:v>Action</x:v>
      </x:c>
      <x:c r="G174" s="12" t="str">
        <x:v>Ocean Biology DAAC User Working Group</x:v>
      </x:c>
      <x:c r="H174" s="12" t="n">
        <x:v>2024</x:v>
      </x:c>
      <x:c r="I174" s="12" t="str">
        <x:v>Earthdata users</x:v>
      </x:c>
      <x:c r="J174" s="12" t="str">
        <x:v>High</x:v>
      </x:c>
      <x:c r="K174" s="16" t="n">
        <x:v>0.75</x:v>
      </x:c>
      <x:c r="L174" s="12" t="str">
        <x:v>LSA similarity cluster; human review pending</x:v>
      </x:c>
      <x:c r="M174" s="12" t="str">
        <x:v>Section: New Actions and Recommendations</x:v>
      </x:c>
      <x:c r="N174" s="12" t="str"/>
      <x:c r="O174" s="12" t="str">
        <x:v>No</x:v>
      </x:c>
      <x:c r="P174" s="12" t="str">
        <x:v>No</x:v>
      </x:c>
      <x:c r="Q174" s="12"/>
      <x:c r="R174" s="12"/>
    </x:row>
    <x:row r="175">
      <x:c r="A175" s="12" t="str">
        <x:v>EVD-00174</x:v>
      </x:c>
      <x:c r="B175" s="12" t="str">
        <x:v>NEED-0131</x:v>
      </x:c>
      <x:c r="C175" s="12" t="str">
        <x:v>SRC-0004</x:v>
      </x:c>
      <x:c r="D175" s="12" t="str">
        <x:v>Contact EMS for user breakdown in the past year for OB.DAAC.</x:v>
      </x:c>
      <x:c r="E175" s="12" t="str">
        <x:v>Contact EMS for user breakdown in the past year for OB.DAAC.</x:v>
      </x:c>
      <x:c r="F175" s="12" t="str">
        <x:v>Action</x:v>
      </x:c>
      <x:c r="G175" s="12" t="str">
        <x:v>Ocean Biology DAAC User Working Group</x:v>
      </x:c>
      <x:c r="H175" s="12" t="n">
        <x:v>2024</x:v>
      </x:c>
      <x:c r="I175" s="12" t="str">
        <x:v>Earthdata users</x:v>
      </x:c>
      <x:c r="J175" s="12" t="str">
        <x:v>Medium</x:v>
      </x:c>
      <x:c r="K175" s="16" t="n">
        <x:v>0.75</x:v>
      </x:c>
      <x:c r="L175" s="12" t="str">
        <x:v>LSA similarity cluster; human review pending</x:v>
      </x:c>
      <x:c r="M175" s="12" t="str">
        <x:v>Section: New Actions and Recommendations</x:v>
      </x:c>
      <x:c r="N175" s="12" t="str"/>
      <x:c r="O175" s="12" t="str">
        <x:v>No</x:v>
      </x:c>
      <x:c r="P175" s="12" t="str">
        <x:v>No</x:v>
      </x:c>
      <x:c r="Q175" s="12"/>
      <x:c r="R175" s="12"/>
    </x:row>
    <x:row r="176">
      <x:c r="A176" s="12" t="str">
        <x:v>EVD-00175</x:v>
      </x:c>
      <x:c r="B176" s="12" t="str">
        <x:v>NEED-0080</x:v>
      </x:c>
      <x:c r="C176" s="12" t="str">
        <x:v>SRC-0004</x:v>
      </x:c>
      <x:c r="D176" s="12" t="str">
        <x:v>OB.DAAC will investigate adding keywords for sub-products into OC and IOP collections.</x:v>
      </x:c>
      <x:c r="E176" s="12" t="str">
        <x:v>OB.DAAC will investigate adding keywords for sub-products into OC and IOP collections.</x:v>
      </x:c>
      <x:c r="F176" s="12" t="str">
        <x:v>Action</x:v>
      </x:c>
      <x:c r="G176" s="12" t="str">
        <x:v>Ocean Biology DAAC User Working Group</x:v>
      </x:c>
      <x:c r="H176" s="12" t="n">
        <x:v>2024</x:v>
      </x:c>
      <x:c r="I176" s="12" t="str">
        <x:v>Earthdata users</x:v>
      </x:c>
      <x:c r="J176" s="12" t="str">
        <x:v>Medium</x:v>
      </x:c>
      <x:c r="K176" s="16" t="n">
        <x:v>0.75</x:v>
      </x:c>
      <x:c r="L176" s="12" t="str">
        <x:v>LSA similarity cluster; human review pending</x:v>
      </x:c>
      <x:c r="M176" s="12" t="str">
        <x:v>Section: New Actions and Recommendations</x:v>
      </x:c>
      <x:c r="N176" s="12" t="str"/>
      <x:c r="O176" s="12" t="str">
        <x:v>No</x:v>
      </x:c>
      <x:c r="P176" s="12" t="str">
        <x:v>No</x:v>
      </x:c>
      <x:c r="Q176" s="12"/>
      <x:c r="R176" s="12"/>
    </x:row>
    <x:row r="177">
      <x:c r="A177" s="12" t="str">
        <x:v>EVD-00176</x:v>
      </x:c>
      <x:c r="B177" s="12" t="str">
        <x:v>NEED-0013</x:v>
      </x:c>
      <x:c r="C177" s="12" t="str">
        <x:v>SRC-0004</x:v>
      </x:c>
      <x:c r="D177" s="12" t="str">
        <x:v>Enable SeaBASS download reporting in EMS/the Cloud.</x:v>
      </x:c>
      <x:c r="E177" s="12" t="str">
        <x:v>Enable SeaBASS download reporting in EMS/the Cloud.</x:v>
      </x:c>
      <x:c r="F177" s="12" t="str">
        <x:v>Action</x:v>
      </x:c>
      <x:c r="G177" s="12" t="str">
        <x:v>Ocean Biology DAAC User Working Group</x:v>
      </x:c>
      <x:c r="H177" s="12" t="n">
        <x:v>2024</x:v>
      </x:c>
      <x:c r="I177" s="12" t="str">
        <x:v>Cloud-native researchers</x:v>
      </x:c>
      <x:c r="J177" s="12" t="str">
        <x:v>Medium</x:v>
      </x:c>
      <x:c r="K177" s="16" t="n">
        <x:v>0.75</x:v>
      </x:c>
      <x:c r="L177" s="12" t="str">
        <x:v>LSA similarity cluster; human review pending</x:v>
      </x:c>
      <x:c r="M177" s="12" t="str">
        <x:v>Section: New Actions and Recommendations</x:v>
      </x:c>
      <x:c r="N177" s="12" t="str"/>
      <x:c r="O177" s="12" t="str">
        <x:v>No</x:v>
      </x:c>
      <x:c r="P177" s="12" t="str">
        <x:v>No</x:v>
      </x:c>
      <x:c r="Q177" s="12"/>
      <x:c r="R177" s="12"/>
    </x:row>
    <x:row r="178">
      <x:c r="A178" s="12" t="str">
        <x:v>EVD-00177</x:v>
      </x:c>
      <x:c r="B178" s="12" t="str">
        <x:v>NEED-0121</x:v>
      </x:c>
      <x:c r="C178" s="12" t="str">
        <x:v>SRC-0004</x:v>
      </x:c>
      <x:c r="D178" s="12" t="str">
        <x:v>An update on the final decision about CALIOP will be provided to the UWG in October.</x:v>
      </x:c>
      <x:c r="E178" s="12" t="str">
        <x:v>An update on the final decision about CALIOP will be provided to the UWG in October.</x:v>
      </x:c>
      <x:c r="F178" s="12" t="str">
        <x:v>Action</x:v>
      </x:c>
      <x:c r="G178" s="12" t="str">
        <x:v>Ocean Biology DAAC User Working Group</x:v>
      </x:c>
      <x:c r="H178" s="12" t="n">
        <x:v>2024</x:v>
      </x:c>
      <x:c r="I178" s="12" t="str">
        <x:v>Earthdata users</x:v>
      </x:c>
      <x:c r="J178" s="12" t="str">
        <x:v>Medium</x:v>
      </x:c>
      <x:c r="K178" s="16" t="n">
        <x:v>0.75</x:v>
      </x:c>
      <x:c r="L178" s="12" t="str">
        <x:v>LSA similarity cluster; human review pending</x:v>
      </x:c>
      <x:c r="M178" s="12" t="str">
        <x:v>Section: New Actions and Recommendations</x:v>
      </x:c>
      <x:c r="N178" s="12" t="str"/>
      <x:c r="O178" s="12" t="str">
        <x:v>No</x:v>
      </x:c>
      <x:c r="P178" s="12" t="str">
        <x:v>No</x:v>
      </x:c>
      <x:c r="Q178" s="12"/>
      <x:c r="R178" s="12"/>
    </x:row>
    <x:row r="179">
      <x:c r="A179" s="12" t="str">
        <x:v>EVD-00178</x:v>
      </x:c>
      <x:c r="B179" s="12" t="str">
        <x:v>NEED-0203</x:v>
      </x:c>
      <x:c r="C179" s="12" t="str">
        <x:v>SRC-0004</x:v>
      </x:c>
      <x:c r="D179" s="12" t="str">
        <x:v>SeaDAS will develop a tutorial that lets users know Windows requires subsystem for Linux (WSL 2) to run Docker (https://docs.docker.com/desktop/wsl/).</x:v>
      </x:c>
      <x:c r="E179" s="12" t="str">
        <x:v>SeaDAS will develop a tutorial that lets users know Windows requires subsystem for Linux (WSL 2) to run Docker (https://docs.docker.com/desktop/wsl/).</x:v>
      </x:c>
      <x:c r="F179" s="12" t="str">
        <x:v>Action</x:v>
      </x:c>
      <x:c r="G179" s="12" t="str">
        <x:v>Ocean Biology DAAC User Working Group</x:v>
      </x:c>
      <x:c r="H179" s="12" t="n">
        <x:v>2024</x:v>
      </x:c>
      <x:c r="I179" s="12" t="str">
        <x:v>Educators and trainers</x:v>
      </x:c>
      <x:c r="J179" s="12" t="str">
        <x:v>High</x:v>
      </x:c>
      <x:c r="K179" s="16" t="n">
        <x:v>0.55</x:v>
      </x:c>
      <x:c r="L179" s="12" t="str">
        <x:v>LSA similarity cluster; human review pending</x:v>
      </x:c>
      <x:c r="M179" s="12" t="str">
        <x:v>Section: New Actions and Recommendations</x:v>
      </x:c>
      <x:c r="N179" s="12" t="str"/>
      <x:c r="O179" s="12" t="str">
        <x:v>No</x:v>
      </x:c>
      <x:c r="P179" s="12" t="str">
        <x:v>No</x:v>
      </x:c>
      <x:c r="Q179" s="12"/>
      <x:c r="R179" s="12"/>
    </x:row>
    <x:row r="180">
      <x:c r="A180" s="12" t="str">
        <x:v>EVD-00179</x:v>
      </x:c>
      <x:c r="B180" s="12" t="str">
        <x:v>NEED-0042</x:v>
      </x:c>
      <x:c r="C180" s="12" t="str">
        <x:v>SRC-0004</x:v>
      </x:c>
      <x:c r="D180" s="12" t="str">
        <x:v>SeaDAS is considering ways to return just the subset of data users want vs giving them all the data.</x:v>
      </x:c>
      <x:c r="E180" s="12" t="str">
        <x:v>SeaDAS is considering ways to return just the subset of data users want vs giving them all the data.</x:v>
      </x:c>
      <x:c r="F180" s="12" t="str">
        <x:v>Action</x:v>
      </x:c>
      <x:c r="G180" s="12" t="str">
        <x:v>Ocean Biology DAAC User Working Group</x:v>
      </x:c>
      <x:c r="H180" s="12" t="n">
        <x:v>2024</x:v>
      </x:c>
      <x:c r="I180" s="12" t="str">
        <x:v>Earthdata users</x:v>
      </x:c>
      <x:c r="J180" s="12" t="str">
        <x:v>Medium</x:v>
      </x:c>
      <x:c r="K180" s="16" t="n">
        <x:v>0.75</x:v>
      </x:c>
      <x:c r="L180" s="12" t="str">
        <x:v>LSA similarity cluster; human review pending</x:v>
      </x:c>
      <x:c r="M180" s="12" t="str">
        <x:v>Section: New Actions and Recommendations</x:v>
      </x:c>
      <x:c r="N180" s="12" t="str"/>
      <x:c r="O180" s="12" t="str">
        <x:v>No</x:v>
      </x:c>
      <x:c r="P180" s="12" t="str">
        <x:v>No</x:v>
      </x:c>
      <x:c r="Q180" s="12"/>
      <x:c r="R180" s="12"/>
    </x:row>
    <x:row r="181">
      <x:c r="A181" s="12" t="str">
        <x:v>EVD-00180</x:v>
      </x:c>
      <x:c r="B181" s="12" t="str">
        <x:v>NEED-0049</x:v>
      </x:c>
      <x:c r="C181" s="12" t="str">
        <x:v>SRC-0004</x:v>
      </x:c>
      <x:c r="D181" s="12" t="str">
        <x:v>OB.DAAC will coordinate with ARSET if scheduling a training for pulling data from Earthdata Search rather than the Level 1 and 2 Browser seems like a viable training to request.</x:v>
      </x:c>
      <x:c r="E181" s="12" t="str">
        <x:v>OB.DAAC will coordinate with ARSET if scheduling a training for pulling data from Earthdata Search rather than the Level 1 and 2 Browser seems like a viable training to request.</x:v>
      </x:c>
      <x:c r="F181" s="12" t="str">
        <x:v>Action</x:v>
      </x:c>
      <x:c r="G181" s="12" t="str">
        <x:v>Ocean Biology DAAC User Working Group</x:v>
      </x:c>
      <x:c r="H181" s="12" t="n">
        <x:v>2024</x:v>
      </x:c>
      <x:c r="I181" s="12" t="str">
        <x:v>Educators and trainers</x:v>
      </x:c>
      <x:c r="J181" s="12" t="str">
        <x:v>High</x:v>
      </x:c>
      <x:c r="K181" s="16" t="n">
        <x:v>0.75</x:v>
      </x:c>
      <x:c r="L181" s="12" t="str">
        <x:v>LSA similarity cluster; human review pending</x:v>
      </x:c>
      <x:c r="M181" s="12" t="str">
        <x:v>Section: New Actions and Recommendations</x:v>
      </x:c>
      <x:c r="N181" s="12" t="str"/>
      <x:c r="O181" s="12" t="str">
        <x:v>No</x:v>
      </x:c>
      <x:c r="P181" s="12" t="str">
        <x:v>No</x:v>
      </x:c>
      <x:c r="Q181" s="12"/>
      <x:c r="R181" s="12"/>
    </x:row>
    <x:row r="182">
      <x:c r="A182" s="12" t="str">
        <x:v>EVD-00181</x:v>
      </x:c>
      <x:c r="B182" s="12" t="str">
        <x:v>NEED-0119</x:v>
      </x:c>
      <x:c r="C182" s="12" t="str">
        <x:v>SRC-0004</x:v>
      </x:c>
      <x:c r="D182" s="12" t="str">
        <x:v>OB.DAAC will obtain user statistics and share with UWG.</x:v>
      </x:c>
      <x:c r="E182" s="12" t="str">
        <x:v>OB.DAAC will obtain user statistics and share with UWG.</x:v>
      </x:c>
      <x:c r="F182" s="12" t="str">
        <x:v>Action</x:v>
      </x:c>
      <x:c r="G182" s="12" t="str">
        <x:v>Ocean Biology DAAC User Working Group</x:v>
      </x:c>
      <x:c r="H182" s="12" t="n">
        <x:v>2024</x:v>
      </x:c>
      <x:c r="I182" s="12" t="str">
        <x:v>Earthdata users</x:v>
      </x:c>
      <x:c r="J182" s="12" t="str">
        <x:v>Medium</x:v>
      </x:c>
      <x:c r="K182" s="16" t="n">
        <x:v>0.75</x:v>
      </x:c>
      <x:c r="L182" s="12" t="str">
        <x:v>LSA similarity cluster; human review pending</x:v>
      </x:c>
      <x:c r="M182" s="12" t="str">
        <x:v>Section: New Actions and Recommendations</x:v>
      </x:c>
      <x:c r="N182" s="12" t="str"/>
      <x:c r="O182" s="12" t="str">
        <x:v>No</x:v>
      </x:c>
      <x:c r="P182" s="12" t="str">
        <x:v>No</x:v>
      </x:c>
      <x:c r="Q182" s="12"/>
      <x:c r="R182" s="12"/>
    </x:row>
    <x:row r="183">
      <x:c r="A183" s="12" t="str">
        <x:v>EVD-00182</x:v>
      </x:c>
      <x:c r="B183" s="12" t="str">
        <x:v>NEED-0133</x:v>
      </x:c>
      <x:c r="C183" s="12" t="str">
        <x:v>SRC-0004</x:v>
      </x:c>
      <x:c r="D183" s="12" t="str">
        <x:v>The 2023 UWG report will be emailed to the group.</x:v>
      </x:c>
      <x:c r="E183" s="12" t="str">
        <x:v>The 2023 UWG report will be emailed to the group.</x:v>
      </x:c>
      <x:c r="F183" s="12" t="str">
        <x:v>Action</x:v>
      </x:c>
      <x:c r="G183" s="12" t="str">
        <x:v>Ocean Biology DAAC User Working Group</x:v>
      </x:c>
      <x:c r="H183" s="12" t="n">
        <x:v>2024</x:v>
      </x:c>
      <x:c r="I183" s="12" t="str">
        <x:v>Earthdata users</x:v>
      </x:c>
      <x:c r="J183" s="12" t="str">
        <x:v>Medium</x:v>
      </x:c>
      <x:c r="K183" s="16" t="n">
        <x:v>0.75</x:v>
      </x:c>
      <x:c r="L183" s="12" t="str">
        <x:v>LSA similarity cluster; human review pending</x:v>
      </x:c>
      <x:c r="M183" s="12" t="str">
        <x:v>Section: New Actions and Recommendations</x:v>
      </x:c>
      <x:c r="N183" s="12" t="str"/>
      <x:c r="O183" s="12" t="str">
        <x:v>No</x:v>
      </x:c>
      <x:c r="P183" s="12" t="str">
        <x:v>No</x:v>
      </x:c>
      <x:c r="Q183" s="12"/>
      <x:c r="R183" s="12"/>
    </x:row>
    <x:row r="184">
      <x:c r="A184" s="12" t="str">
        <x:v>EVD-00183</x:v>
      </x:c>
      <x:c r="B184" s="12" t="str">
        <x:v>NEED-0146</x:v>
      </x:c>
      <x:c r="C184" s="12" t="str">
        <x:v>SRC-0004</x:v>
      </x:c>
      <x:c r="D184" s="12" t="str">
        <x:v>Mailing list is not working well. OB.DAAC will look for alternate means of communicating with UWG.</x:v>
      </x:c>
      <x:c r="E184" s="12" t="str">
        <x:v>Mailing list is not working well. OB.DAAC will look for alternate means of communicating with UWG.</x:v>
      </x:c>
      <x:c r="F184" s="12" t="str">
        <x:v>Action</x:v>
      </x:c>
      <x:c r="G184" s="12" t="str">
        <x:v>Ocean Biology DAAC User Working Group</x:v>
      </x:c>
      <x:c r="H184" s="12" t="n">
        <x:v>2024</x:v>
      </x:c>
      <x:c r="I184" s="12" t="str">
        <x:v>Earthdata users</x:v>
      </x:c>
      <x:c r="J184" s="12" t="str">
        <x:v>Medium</x:v>
      </x:c>
      <x:c r="K184" s="16" t="n">
        <x:v>0.75</x:v>
      </x:c>
      <x:c r="L184" s="12" t="str">
        <x:v>LSA similarity cluster; human review pending</x:v>
      </x:c>
      <x:c r="M184" s="12" t="str">
        <x:v>Section: New Actions and Recommendations</x:v>
      </x:c>
      <x:c r="N184" s="12" t="str"/>
      <x:c r="O184" s="12" t="str">
        <x:v>No</x:v>
      </x:c>
      <x:c r="P184" s="12" t="str">
        <x:v>No</x:v>
      </x:c>
      <x:c r="Q184" s="12"/>
      <x:c r="R184" s="12"/>
    </x:row>
    <x:row r="185">
      <x:c r="A185" s="12" t="str">
        <x:v>EVD-00184</x:v>
      </x:c>
      <x:c r="B185" s="12" t="str">
        <x:v>NEED-0028</x:v>
      </x:c>
      <x:c r="C185" s="12" t="str">
        <x:v>SRC-0004</x:v>
      </x:c>
      <x:c r="D185" s="12" t="str">
        <x:v>The action items and recommendations reflect the UWG's commitment to enhancing the usability, accessibility, and overall quality of ocean color data provided by OB.DAAC, ensuring it meets the evolving needs of the scientific community and other stakeholders. For detailed information, you can refer to the meeting notes for Day 1 and Day 2, as well as the Action Items.</x:v>
      </x:c>
      <x:c r="E185" s="12" t="str">
        <x:v>The action items and recommendations reflect the UWG's commitment to enhancing the usability, accessibility, and overall quality of ocean color data provided by OB.DAAC, ensuring it meets the evolving needs of the scientific community and other stakeholders. For detailed information, you can refer to the meeting notes for Day 1 and Day 2, as well as the Action Items.</x:v>
      </x:c>
      <x:c r="F185" s="12" t="str">
        <x:v>Action</x:v>
      </x:c>
      <x:c r="G185" s="12" t="str">
        <x:v>Ocean Biology DAAC User Working Group</x:v>
      </x:c>
      <x:c r="H185" s="12" t="n">
        <x:v>2024</x:v>
      </x:c>
      <x:c r="I185" s="12" t="str">
        <x:v>New and occasional users</x:v>
      </x:c>
      <x:c r="J185" s="12" t="str">
        <x:v>Low</x:v>
      </x:c>
      <x:c r="K185" s="16" t="n">
        <x:v>0.75</x:v>
      </x:c>
      <x:c r="L185" s="12" t="str">
        <x:v>LSA similarity cluster; human review pending</x:v>
      </x:c>
      <x:c r="M185" s="12" t="str">
        <x:v>Section: New Actions and Recommendations</x:v>
      </x:c>
      <x:c r="N185" s="12" t="str"/>
      <x:c r="O185" s="12" t="str">
        <x:v>No</x:v>
      </x:c>
      <x:c r="P185" s="12" t="str">
        <x:v>No</x:v>
      </x:c>
      <x:c r="Q185" s="12"/>
      <x:c r="R185" s="12"/>
    </x:row>
    <x:row r="186">
      <x:c r="A186" s="12" t="str">
        <x:v>EVD-00185</x:v>
      </x:c>
      <x:c r="B186" s="12" t="str">
        <x:v>NEED-0128</x:v>
      </x:c>
      <x:c r="C186" s="12" t="str">
        <x:v>SRC-0004</x:v>
      </x:c>
      <x:c r="D186" s="12" t="str">
        <x:v>Hold in-person UWG meetings.</x:v>
      </x:c>
      <x:c r="E186" s="12" t="str">
        <x:v>Hold in-person UWG meetings.</x:v>
      </x:c>
      <x:c r="F186" s="12" t="str">
        <x:v>Action</x:v>
      </x:c>
      <x:c r="G186" s="12" t="str">
        <x:v>PO.DAAC User Working Group</x:v>
      </x:c>
      <x:c r="H186" s="12" t="n">
        <x:v>2024</x:v>
      </x:c>
      <x:c r="I186" s="12" t="str">
        <x:v>Earthdata users</x:v>
      </x:c>
      <x:c r="J186" s="12" t="str">
        <x:v>Medium</x:v>
      </x:c>
      <x:c r="K186" s="16" t="n">
        <x:v>0.75</x:v>
      </x:c>
      <x:c r="L186" s="12" t="str">
        <x:v>LSA similarity cluster; human review pending</x:v>
      </x:c>
      <x:c r="M186" s="12" t="str">
        <x:v>Section: New Actions and Recommendations; table row 2</x:v>
      </x:c>
      <x:c r="N186" s="12" t="str"/>
      <x:c r="O186" s="12" t="str">
        <x:v>No</x:v>
      </x:c>
      <x:c r="P186" s="12" t="str">
        <x:v>No</x:v>
      </x:c>
      <x:c r="Q186" s="12"/>
      <x:c r="R186" s="12"/>
    </x:row>
    <x:row r="187">
      <x:c r="A187" s="12" t="str">
        <x:v>EVD-00186</x:v>
      </x:c>
      <x:c r="B187" s="12" t="str">
        <x:v>NEED-0128</x:v>
      </x:c>
      <x:c r="C187" s="12" t="str">
        <x:v>SRC-0004</x:v>
      </x:c>
      <x:c r="D187" s="12" t="str">
        <x:v>Revisit high-priority topics at follow-on UWG meetings.</x:v>
      </x:c>
      <x:c r="E187" s="12" t="str">
        <x:v>Revisit high-priority topics at follow-on UWG meetings.</x:v>
      </x:c>
      <x:c r="F187" s="12" t="str">
        <x:v>Action</x:v>
      </x:c>
      <x:c r="G187" s="12" t="str">
        <x:v>PO.DAAC User Working Group</x:v>
      </x:c>
      <x:c r="H187" s="12" t="n">
        <x:v>2024</x:v>
      </x:c>
      <x:c r="I187" s="12" t="str">
        <x:v>Earthdata users</x:v>
      </x:c>
      <x:c r="J187" s="12" t="str">
        <x:v>Medium</x:v>
      </x:c>
      <x:c r="K187" s="16" t="n">
        <x:v>0.75</x:v>
      </x:c>
      <x:c r="L187" s="12" t="str">
        <x:v>LSA similarity cluster; human review pending</x:v>
      </x:c>
      <x:c r="M187" s="12" t="str">
        <x:v>Section: New Actions and Recommendations; table row 3</x:v>
      </x:c>
      <x:c r="N187" s="12" t="str"/>
      <x:c r="O187" s="12" t="str">
        <x:v>No</x:v>
      </x:c>
      <x:c r="P187" s="12" t="str">
        <x:v>No</x:v>
      </x:c>
      <x:c r="Q187" s="12"/>
      <x:c r="R187" s="12"/>
    </x:row>
    <x:row r="188">
      <x:c r="A188" s="12" t="str">
        <x:v>EVD-00187</x:v>
      </x:c>
      <x:c r="B188" s="12" t="str">
        <x:v>NEED-0120</x:v>
      </x:c>
      <x:c r="C188" s="12" t="str">
        <x:v>SRC-0004</x:v>
      </x:c>
      <x:c r="D188" s="12" t="str">
        <x:v>We recommend that ESDIS develops a short white paper defining and describing the vision for a “Science Enabling Center”. At present, the boundaries between “IT and Archive” (i.e., the traditional DAAC role), “Science Enabling”, and “Science” are unclear.</x:v>
      </x:c>
      <x:c r="E188" s="12" t="str">
        <x:v>We recommend that ESDIS develops a short white paper defining and describing the vision for a “Science Enabling Center”. At present, the boundaries between “IT and Archive” (i.e., the traditional DAAC role), “Science Enabling”, and “Science” are unclear.</x:v>
      </x:c>
      <x:c r="F188" s="12" t="str">
        <x:v>Action</x:v>
      </x:c>
      <x:c r="G188" s="12" t="str">
        <x:v>PO.DAAC User Working Group</x:v>
      </x:c>
      <x:c r="H188" s="12" t="n">
        <x:v>2024</x:v>
      </x:c>
      <x:c r="I188" s="12" t="str">
        <x:v>Data producers and mission teams</x:v>
      </x:c>
      <x:c r="J188" s="12" t="str">
        <x:v>High</x:v>
      </x:c>
      <x:c r="K188" s="16" t="n">
        <x:v>0.75</x:v>
      </x:c>
      <x:c r="L188" s="12" t="str">
        <x:v>LSA similarity cluster; human review pending</x:v>
      </x:c>
      <x:c r="M188" s="12" t="str">
        <x:v>Section: New Actions and Recommendations; table row 5</x:v>
      </x:c>
      <x:c r="N188" s="12" t="str"/>
      <x:c r="O188" s="12" t="str">
        <x:v>No</x:v>
      </x:c>
      <x:c r="P188" s="12" t="str">
        <x:v>No</x:v>
      </x:c>
      <x:c r="Q188" s="12"/>
      <x:c r="R188" s="12"/>
    </x:row>
    <x:row r="189">
      <x:c r="A189" s="12" t="str">
        <x:v>EVD-00188</x:v>
      </x:c>
      <x:c r="B189" s="12" t="str">
        <x:v>NEED-0120</x:v>
      </x:c>
      <x:c r="C189" s="12" t="str">
        <x:v>SRC-0004</x:v>
      </x:c>
      <x:c r="D189" s="12" t="str">
        <x:v>We recommend adding PO.DAAC’s initial vision for becoming a “Science Enabling Center” to the overarching PO.DAAC strategic plan.</x:v>
      </x:c>
      <x:c r="E189" s="12" t="str">
        <x:v>We recommend adding PO.DAAC’s initial vision for becoming a “Science Enabling Center” to the overarching PO.DAAC strategic plan.</x:v>
      </x:c>
      <x:c r="F189" s="12" t="str">
        <x:v>Action</x:v>
      </x:c>
      <x:c r="G189" s="12" t="str">
        <x:v>PO.DAAC User Working Group</x:v>
      </x:c>
      <x:c r="H189" s="12" t="n">
        <x:v>2024</x:v>
      </x:c>
      <x:c r="I189" s="12" t="str">
        <x:v>Earthdata users</x:v>
      </x:c>
      <x:c r="J189" s="12" t="str">
        <x:v>High</x:v>
      </x:c>
      <x:c r="K189" s="16" t="n">
        <x:v>0.75</x:v>
      </x:c>
      <x:c r="L189" s="12" t="str">
        <x:v>LSA similarity cluster; human review pending</x:v>
      </x:c>
      <x:c r="M189" s="12" t="str">
        <x:v>Section: New Actions and Recommendations; table row 6</x:v>
      </x:c>
      <x:c r="N189" s="12" t="str"/>
      <x:c r="O189" s="12" t="str">
        <x:v>No</x:v>
      </x:c>
      <x:c r="P189" s="12" t="str">
        <x:v>No</x:v>
      </x:c>
      <x:c r="Q189" s="12"/>
      <x:c r="R189" s="12"/>
    </x:row>
    <x:row r="190">
      <x:c r="A190" s="12" t="str">
        <x:v>EVD-00189</x:v>
      </x:c>
      <x:c r="B190" s="12" t="str">
        <x:v>NEED-0120</x:v>
      </x:c>
      <x:c r="C190" s="12" t="str">
        <x:v>SRC-0004</x:v>
      </x:c>
      <x:c r="D190" s="12" t="str">
        <x:v>We recommend utilizing an upcoming UWG quarterly call to focus on discussions of PO.DAAC’s transition to a Science Enabling Center.</x:v>
      </x:c>
      <x:c r="E190" s="12" t="str">
        <x:v>We recommend utilizing an upcoming UWG quarterly call to focus on discussions of PO.DAAC’s transition to a Science Enabling Center.</x:v>
      </x:c>
      <x:c r="F190" s="12" t="str">
        <x:v>Action</x:v>
      </x:c>
      <x:c r="G190" s="12" t="str">
        <x:v>PO.DAAC User Working Group</x:v>
      </x:c>
      <x:c r="H190" s="12" t="n">
        <x:v>2024</x:v>
      </x:c>
      <x:c r="I190" s="12" t="str">
        <x:v>Earthdata users</x:v>
      </x:c>
      <x:c r="J190" s="12" t="str">
        <x:v>High</x:v>
      </x:c>
      <x:c r="K190" s="16" t="n">
        <x:v>0.75</x:v>
      </x:c>
      <x:c r="L190" s="12" t="str">
        <x:v>LSA similarity cluster; human review pending</x:v>
      </x:c>
      <x:c r="M190" s="12" t="str">
        <x:v>Section: New Actions and Recommendations; table row 7</x:v>
      </x:c>
      <x:c r="N190" s="12" t="str"/>
      <x:c r="O190" s="12" t="str">
        <x:v>No</x:v>
      </x:c>
      <x:c r="P190" s="12" t="str">
        <x:v>No</x:v>
      </x:c>
      <x:c r="Q190" s="12"/>
      <x:c r="R190" s="12"/>
    </x:row>
    <x:row r="191">
      <x:c r="A191" s="12" t="str">
        <x:v>EVD-00190</x:v>
      </x:c>
      <x:c r="B191" s="12" t="str">
        <x:v>NEED-0151</x:v>
      </x:c>
      <x:c r="C191" s="12" t="str">
        <x:v>SRC-0004</x:v>
      </x:c>
      <x:c r="D191" s="12" t="str">
        <x:v>We recommend utilizing an upcoming UWG quarterly call to focus on discussions of PO.DAAC’s website and dataset landing pages.</x:v>
      </x:c>
      <x:c r="E191" s="12" t="str">
        <x:v>We recommend utilizing an upcoming UWG quarterly call to focus on discussions of PO.DAAC’s website and dataset landing pages.</x:v>
      </x:c>
      <x:c r="F191" s="12" t="str">
        <x:v>Action</x:v>
      </x:c>
      <x:c r="G191" s="12" t="str">
        <x:v>PO.DAAC User Working Group</x:v>
      </x:c>
      <x:c r="H191" s="12" t="n">
        <x:v>2024</x:v>
      </x:c>
      <x:c r="I191" s="12" t="str">
        <x:v>Earthdata users</x:v>
      </x:c>
      <x:c r="J191" s="12" t="str">
        <x:v>High</x:v>
      </x:c>
      <x:c r="K191" s="16" t="n">
        <x:v>0.75</x:v>
      </x:c>
      <x:c r="L191" s="12" t="str">
        <x:v>LSA similarity cluster; human review pending</x:v>
      </x:c>
      <x:c r="M191" s="12" t="str">
        <x:v>Section: New Actions and Recommendations; table row 9</x:v>
      </x:c>
      <x:c r="N191" s="12" t="str"/>
      <x:c r="O191" s="12" t="str">
        <x:v>No</x:v>
      </x:c>
      <x:c r="P191" s="12" t="str">
        <x:v>No</x:v>
      </x:c>
      <x:c r="Q191" s="12"/>
      <x:c r="R191" s="12"/>
    </x:row>
    <x:row r="192">
      <x:c r="A192" s="12" t="str">
        <x:v>EVD-00191</x:v>
      </x:c>
      <x:c r="B192" s="12" t="str">
        <x:v>NEED-0151</x:v>
      </x:c>
      <x:c r="C192" s="12" t="str">
        <x:v>SRC-0004</x:v>
      </x:c>
      <x:c r="D192" s="12" t="str">
        <x:v>We recommend that PO.DAAC communicate to ESDIS the need for DAACs to be able to deploy DAAC-specific features and capabilities when needed on the unified site.</x:v>
      </x:c>
      <x:c r="E192" s="12" t="str">
        <x:v>We recommend that PO.DAAC communicate to ESDIS the need for DAACs to be able to deploy DAAC-specific features and capabilities when needed on the unified site.</x:v>
      </x:c>
      <x:c r="F192" s="12" t="str">
        <x:v>Action</x:v>
      </x:c>
      <x:c r="G192" s="12" t="str">
        <x:v>PO.DAAC User Working Group</x:v>
      </x:c>
      <x:c r="H192" s="12" t="n">
        <x:v>2024</x:v>
      </x:c>
      <x:c r="I192" s="12" t="str">
        <x:v>Earthdata users</x:v>
      </x:c>
      <x:c r="J192" s="12" t="str">
        <x:v>High</x:v>
      </x:c>
      <x:c r="K192" s="16" t="n">
        <x:v>0.75</x:v>
      </x:c>
      <x:c r="L192" s="12" t="str">
        <x:v>LSA similarity cluster; human review pending</x:v>
      </x:c>
      <x:c r="M192" s="12" t="str">
        <x:v>Section: New Actions and Recommendations; table row 10</x:v>
      </x:c>
      <x:c r="N192" s="12" t="str"/>
      <x:c r="O192" s="12" t="str">
        <x:v>No</x:v>
      </x:c>
      <x:c r="P192" s="12" t="str">
        <x:v>No</x:v>
      </x:c>
      <x:c r="Q192" s="12"/>
      <x:c r="R192" s="12"/>
    </x:row>
    <x:row r="193">
      <x:c r="A193" s="12" t="str">
        <x:v>EVD-00192</x:v>
      </x:c>
      <x:c r="B193" s="12" t="str">
        <x:v>NEED-0164</x:v>
      </x:c>
      <x:c r="C193" s="12" t="str">
        <x:v>SRC-0004</x:v>
      </x:c>
      <x:c r="D193" s="12" t="str">
        <x:v>Assure continuity of PO.DAAC specific expertise to support ongoing PO.DAAC and cross-DAAC needs.</x:v>
      </x:c>
      <x:c r="E193" s="12" t="str">
        <x:v>Assure continuity of PO.DAAC specific expertise to support ongoing PO.DAAC and cross-DAAC needs.</x:v>
      </x:c>
      <x:c r="F193" s="12" t="str">
        <x:v>Action</x:v>
      </x:c>
      <x:c r="G193" s="12" t="str">
        <x:v>PO.DAAC User Working Group</x:v>
      </x:c>
      <x:c r="H193" s="12" t="n">
        <x:v>2024</x:v>
      </x:c>
      <x:c r="I193" s="12" t="str">
        <x:v>Earthdata users</x:v>
      </x:c>
      <x:c r="J193" s="12" t="str">
        <x:v>High</x:v>
      </x:c>
      <x:c r="K193" s="16" t="n">
        <x:v>0.55</x:v>
      </x:c>
      <x:c r="L193" s="12" t="str">
        <x:v>LSA similarity cluster; human review pending</x:v>
      </x:c>
      <x:c r="M193" s="12" t="str">
        <x:v>Section: New Actions and Recommendations; table row 11</x:v>
      </x:c>
      <x:c r="N193" s="12" t="str"/>
      <x:c r="O193" s="12" t="str">
        <x:v>No</x:v>
      </x:c>
      <x:c r="P193" s="12" t="str">
        <x:v>No</x:v>
      </x:c>
      <x:c r="Q193" s="12"/>
      <x:c r="R193" s="12"/>
    </x:row>
    <x:row r="194">
      <x:c r="A194" s="12" t="str">
        <x:v>EVD-00193</x:v>
      </x:c>
      <x:c r="B194" s="12" t="str">
        <x:v>NEED-0029</x:v>
      </x:c>
      <x:c r="C194" s="12" t="str">
        <x:v>SRC-0004</x:v>
      </x:c>
      <x:c r="D194" s="12" t="str">
        <x:v>We recommend that PO.DAAC engineers consider options for caching and subsetting virtual aggregations or virtual datacubes on the server side to increase ease of access to PO.DAAC datasets.</x:v>
      </x:c>
      <x:c r="E194" s="12" t="str">
        <x:v>We recommend that PO.DAAC engineers consider options for caching and subsetting virtual aggregations or virtual datacubes on the server side to increase ease of access to PO.DAAC datasets.</x:v>
      </x:c>
      <x:c r="F194" s="12" t="str">
        <x:v>Action</x:v>
      </x:c>
      <x:c r="G194" s="12" t="str">
        <x:v>PO.DAAC User Working Group</x:v>
      </x:c>
      <x:c r="H194" s="12" t="n">
        <x:v>2024</x:v>
      </x:c>
      <x:c r="I194" s="12" t="str">
        <x:v>Earthdata users</x:v>
      </x:c>
      <x:c r="J194" s="12" t="str">
        <x:v>High</x:v>
      </x:c>
      <x:c r="K194" s="16" t="n">
        <x:v>0.75</x:v>
      </x:c>
      <x:c r="L194" s="12" t="str">
        <x:v>LSA similarity cluster; human review pending</x:v>
      </x:c>
      <x:c r="M194" s="12" t="str">
        <x:v>Section: New Actions and Recommendations; table row 13</x:v>
      </x:c>
      <x:c r="N194" s="12" t="str"/>
      <x:c r="O194" s="12" t="str">
        <x:v>No</x:v>
      </x:c>
      <x:c r="P194" s="12" t="str">
        <x:v>No</x:v>
      </x:c>
      <x:c r="Q194" s="12"/>
      <x:c r="R194" s="12"/>
    </x:row>
    <x:row r="195">
      <x:c r="A195" s="12" t="str">
        <x:v>EVD-00194</x:v>
      </x:c>
      <x:c r="B195" s="12" t="str">
        <x:v>NEED-0032</x:v>
      </x:c>
      <x:c r="C195" s="12" t="str">
        <x:v>SRC-0004</x:v>
      </x:c>
      <x:c r="D195" s="12" t="str">
        <x:v>We recommend working across DAACs to incorporate technologies in the earthaccess Python library, particularly ideas around virtual aggregation, into the appropriate API (e.g. Harmony) to facilitate efficient and convenient data access from other programming languages.</x:v>
      </x:c>
      <x:c r="E195" s="12" t="str">
        <x:v>We recommend working across DAACs to incorporate technologies in the earthaccess Python library, particularly ideas around virtual aggregation, into the appropriate API (e.g. Harmony) to facilitate efficient and convenient data access from other programming languages.</x:v>
      </x:c>
      <x:c r="F195" s="12" t="str">
        <x:v>Action</x:v>
      </x:c>
      <x:c r="G195" s="12" t="str">
        <x:v>PO.DAAC User Working Group</x:v>
      </x:c>
      <x:c r="H195" s="12" t="n">
        <x:v>2024</x:v>
      </x:c>
      <x:c r="I195" s="12" t="str">
        <x:v>Application developers</x:v>
      </x:c>
      <x:c r="J195" s="12" t="str">
        <x:v>High</x:v>
      </x:c>
      <x:c r="K195" s="16" t="n">
        <x:v>0.75</x:v>
      </x:c>
      <x:c r="L195" s="12" t="str">
        <x:v>LSA similarity cluster; human review pending</x:v>
      </x:c>
      <x:c r="M195" s="12" t="str">
        <x:v>Section: New Actions and Recommendations; table row 14</x:v>
      </x:c>
      <x:c r="N195" s="12" t="str"/>
      <x:c r="O195" s="12" t="str">
        <x:v>No</x:v>
      </x:c>
      <x:c r="P195" s="12" t="str">
        <x:v>No</x:v>
      </x:c>
      <x:c r="Q195" s="12"/>
      <x:c r="R195" s="12"/>
    </x:row>
    <x:row r="196">
      <x:c r="A196" s="12" t="str">
        <x:v>EVD-00195</x:v>
      </x:c>
      <x:c r="B196" s="12" t="str">
        <x:v>NEED-0029</x:v>
      </x:c>
      <x:c r="C196" s="12" t="str">
        <x:v>SRC-0004</x:v>
      </x:c>
      <x:c r="D196" s="12" t="str">
        <x:v>We recommend that PO.DAAC continue to intentionally innovate and develop new ideas on how to perform analysis at scale, and approach future data access and analytics challenges through its coding club initiative. This activity is well aligned with PO.DAACs future mission of Science Enabling Center.</x:v>
      </x:c>
      <x:c r="E196" s="12" t="str">
        <x:v>We recommend that PO.DAAC continue to intentionally innovate and develop new ideas on how to perform analysis at scale, and approach future data access and analytics challenges through its coding club initiative. This activity is well aligned with PO.DAACs future mission of Science Enabling Center.</x:v>
      </x:c>
      <x:c r="F196" s="12" t="str">
        <x:v>Action</x:v>
      </x:c>
      <x:c r="G196" s="12" t="str">
        <x:v>PO.DAAC User Working Group</x:v>
      </x:c>
      <x:c r="H196" s="12" t="n">
        <x:v>2024</x:v>
      </x:c>
      <x:c r="I196" s="12" t="str">
        <x:v>Data producers and mission teams; Earth science researchers</x:v>
      </x:c>
      <x:c r="J196" s="12" t="str">
        <x:v>High</x:v>
      </x:c>
      <x:c r="K196" s="16" t="n">
        <x:v>0.75</x:v>
      </x:c>
      <x:c r="L196" s="12" t="str">
        <x:v>LSA similarity cluster; human review pending</x:v>
      </x:c>
      <x:c r="M196" s="12" t="str">
        <x:v>Section: New Actions and Recommendations; table row 15</x:v>
      </x:c>
      <x:c r="N196" s="12" t="str"/>
      <x:c r="O196" s="12" t="str">
        <x:v>No</x:v>
      </x:c>
      <x:c r="P196" s="12" t="str">
        <x:v>No</x:v>
      </x:c>
      <x:c r="Q196" s="12"/>
      <x:c r="R196" s="12"/>
    </x:row>
    <x:row r="197">
      <x:c r="A197" s="12" t="str">
        <x:v>EVD-00196</x:v>
      </x:c>
      <x:c r="B197" s="12" t="str">
        <x:v>NEED-0010</x:v>
      </x:c>
      <x:c r="C197" s="12" t="str">
        <x:v>SRC-0004</x:v>
      </x:c>
      <x:c r="D197" s="12" t="str">
        <x:v>We recommend providing cookbook recipes (either on Earthdata or PO.DAAC) focused on budgeting for cloud computing costs in proposals.</x:v>
      </x:c>
      <x:c r="E197" s="12" t="str">
        <x:v>We recommend providing cookbook recipes (either on Earthdata or PO.DAAC) focused on budgeting for cloud computing costs in proposals.</x:v>
      </x:c>
      <x:c r="F197" s="12" t="str">
        <x:v>Action</x:v>
      </x:c>
      <x:c r="G197" s="12" t="str">
        <x:v>PO.DAAC User Working Group</x:v>
      </x:c>
      <x:c r="H197" s="12" t="n">
        <x:v>2024</x:v>
      </x:c>
      <x:c r="I197" s="12" t="str">
        <x:v>Cloud-native researchers</x:v>
      </x:c>
      <x:c r="J197" s="12" t="str">
        <x:v>High</x:v>
      </x:c>
      <x:c r="K197" s="16" t="n">
        <x:v>0.75</x:v>
      </x:c>
      <x:c r="L197" s="12" t="str">
        <x:v>LSA similarity cluster; human review pending</x:v>
      </x:c>
      <x:c r="M197" s="12" t="str">
        <x:v>Section: New Actions and Recommendations; table row 16</x:v>
      </x:c>
      <x:c r="N197" s="12" t="str"/>
      <x:c r="O197" s="12" t="str">
        <x:v>No</x:v>
      </x:c>
      <x:c r="P197" s="12" t="str">
        <x:v>No</x:v>
      </x:c>
      <x:c r="Q197" s="12"/>
      <x:c r="R197" s="12"/>
    </x:row>
    <x:row r="198">
      <x:c r="A198" s="12" t="str">
        <x:v>EVD-00197</x:v>
      </x:c>
      <x:c r="B198" s="12" t="str">
        <x:v>NEED-0190</x:v>
      </x:c>
      <x:c r="C198" s="12" t="str">
        <x:v>SRC-0004</x:v>
      </x:c>
      <x:c r="D198" s="12" t="str">
        <x:v>We recommend utilizing an upcoming UWG quarterly call to focus on discussions of PO.DAAC’s tools and services in the context of DAAC/web unification.</x:v>
      </x:c>
      <x:c r="E198" s="12" t="str">
        <x:v>We recommend utilizing an upcoming UWG quarterly call to focus on discussions of PO.DAAC’s tools and services in the context of DAAC/web unification.</x:v>
      </x:c>
      <x:c r="F198" s="12" t="str">
        <x:v>Action</x:v>
      </x:c>
      <x:c r="G198" s="12" t="str">
        <x:v>PO.DAAC User Working Group</x:v>
      </x:c>
      <x:c r="H198" s="12" t="n">
        <x:v>2024</x:v>
      </x:c>
      <x:c r="I198" s="12" t="str">
        <x:v>Earthdata users</x:v>
      </x:c>
      <x:c r="J198" s="12" t="str">
        <x:v>High</x:v>
      </x:c>
      <x:c r="K198" s="16" t="n">
        <x:v>0.75</x:v>
      </x:c>
      <x:c r="L198" s="12" t="str">
        <x:v>LSA similarity cluster; human review pending</x:v>
      </x:c>
      <x:c r="M198" s="12" t="str">
        <x:v>Section: New Actions and Recommendations; table row 18</x:v>
      </x:c>
      <x:c r="N198" s="12" t="str"/>
      <x:c r="O198" s="12" t="str">
        <x:v>No</x:v>
      </x:c>
      <x:c r="P198" s="12" t="str">
        <x:v>No</x:v>
      </x:c>
      <x:c r="Q198" s="12"/>
      <x:c r="R198" s="12"/>
    </x:row>
    <x:row r="199">
      <x:c r="A199" s="12" t="str">
        <x:v>EVD-00198</x:v>
      </x:c>
      <x:c r="B199" s="12" t="str">
        <x:v>NEED-0074</x:v>
      </x:c>
      <x:c r="C199" s="12" t="str">
        <x:v>SRC-0004</x:v>
      </x:c>
      <x:c r="D199" s="12" t="str">
        <x:v>We recommend taking the following basic steps to ensure that new data providers are aware of the resources and information needed for efficient data publication.</x:v>
      </x:c>
      <x:c r="E199" s="12" t="str">
        <x:v>We recommend taking the following basic steps to ensure that new data providers are aware of the resources and information needed for efficient data publication.</x:v>
      </x:c>
      <x:c r="F199" s="12" t="str">
        <x:v>Action</x:v>
      </x:c>
      <x:c r="G199" s="12" t="str">
        <x:v>PO.DAAC User Working Group</x:v>
      </x:c>
      <x:c r="H199" s="12" t="n">
        <x:v>2024</x:v>
      </x:c>
      <x:c r="I199" s="12" t="str">
        <x:v>Data producers and mission teams</x:v>
      </x:c>
      <x:c r="J199" s="12" t="str">
        <x:v>High</x:v>
      </x:c>
      <x:c r="K199" s="16" t="n">
        <x:v>0.75</x:v>
      </x:c>
      <x:c r="L199" s="12" t="str">
        <x:v>LSA similarity cluster; human review pending</x:v>
      </x:c>
      <x:c r="M199" s="12" t="str">
        <x:v>Section: New Actions and Recommendations; table row 19</x:v>
      </x:c>
      <x:c r="N199" s="12" t="str"/>
      <x:c r="O199" s="12" t="str">
        <x:v>No</x:v>
      </x:c>
      <x:c r="P199" s="12" t="str">
        <x:v>No</x:v>
      </x:c>
      <x:c r="Q199" s="12"/>
      <x:c r="R199" s="12"/>
    </x:row>
    <x:row r="200">
      <x:c r="A200" s="12" t="str">
        <x:v>EVD-00199</x:v>
      </x:c>
      <x:c r="B200" s="12" t="str">
        <x:v>NEED-0034</x:v>
      </x:c>
      <x:c r="C200" s="12" t="str">
        <x:v>SRC-0004</x:v>
      </x:c>
      <x:c r="D200" s="12" t="str">
        <x:v>Planned for delivery in FY2025.</x:v>
      </x:c>
      <x:c r="E200" s="12" t="str">
        <x:v>Planned for delivery in FY2025.</x:v>
      </x:c>
      <x:c r="F200" s="12" t="str">
        <x:v>Action</x:v>
      </x:c>
      <x:c r="G200" s="12" t="str">
        <x:v>PO.DAAC User Working Group</x:v>
      </x:c>
      <x:c r="H200" s="12" t="n">
        <x:v>2024</x:v>
      </x:c>
      <x:c r="I200" s="12" t="str">
        <x:v>Earthdata users</x:v>
      </x:c>
      <x:c r="J200" s="12" t="str">
        <x:v>Medium</x:v>
      </x:c>
      <x:c r="K200" s="16" t="n">
        <x:v>0.75</x:v>
      </x:c>
      <x:c r="L200" s="12" t="str">
        <x:v>LSA similarity cluster; human review pending</x:v>
      </x:c>
      <x:c r="M200" s="12" t="str">
        <x:v>Section: New Actions and Recommendations; table row 20</x:v>
      </x:c>
      <x:c r="N200" s="12" t="str"/>
      <x:c r="O200" s="12" t="str">
        <x:v>No</x:v>
      </x:c>
      <x:c r="P200" s="12" t="str">
        <x:v>No</x:v>
      </x:c>
      <x:c r="Q200" s="12"/>
      <x:c r="R200" s="12"/>
    </x:row>
    <x:row r="201">
      <x:c r="A201" s="12" t="str">
        <x:v>EVD-00200</x:v>
      </x:c>
      <x:c r="B201" s="12" t="str">
        <x:v>NEED-0083</x:v>
      </x:c>
      <x:c r="C201" s="12" t="str">
        <x:v>SRC-0004</x:v>
      </x:c>
      <x:c r="D201" s="12" t="str">
        <x:v>Perhaps require the MCC report be included with dataset submission to verify use.</x:v>
      </x:c>
      <x:c r="E201" s="12" t="str">
        <x:v>Perhaps require the MCC report be included with dataset submission to verify use.</x:v>
      </x:c>
      <x:c r="F201" s="12" t="str">
        <x:v>Action</x:v>
      </x:c>
      <x:c r="G201" s="12" t="str">
        <x:v>PO.DAAC User Working Group</x:v>
      </x:c>
      <x:c r="H201" s="12" t="n">
        <x:v>2024</x:v>
      </x:c>
      <x:c r="I201" s="12" t="str">
        <x:v>Data producers and mission teams</x:v>
      </x:c>
      <x:c r="J201" s="12" t="str">
        <x:v>Medium</x:v>
      </x:c>
      <x:c r="K201" s="16" t="n">
        <x:v>0.75</x:v>
      </x:c>
      <x:c r="L201" s="12" t="str">
        <x:v>LSA similarity cluster; human review pending</x:v>
      </x:c>
      <x:c r="M201" s="12" t="str">
        <x:v>Section: New Actions and Recommendations; table row 21</x:v>
      </x:c>
      <x:c r="N201" s="12" t="str"/>
      <x:c r="O201" s="12" t="str">
        <x:v>No</x:v>
      </x:c>
      <x:c r="P201" s="12" t="str">
        <x:v>No</x:v>
      </x:c>
      <x:c r="Q201" s="12"/>
      <x:c r="R201" s="12"/>
    </x:row>
    <x:row r="202">
      <x:c r="A202" s="12" t="str">
        <x:v>EVD-00201</x:v>
      </x:c>
      <x:c r="B202" s="12" t="str">
        <x:v>NEED-0131</x:v>
      </x:c>
      <x:c r="C202" s="12" t="str">
        <x:v>SRC-0004</x:v>
      </x:c>
      <x:c r="D202" s="12" t="str">
        <x:v>Will publicize upon completion.</x:v>
      </x:c>
      <x:c r="E202" s="12" t="str">
        <x:v>Will publicize upon completion.</x:v>
      </x:c>
      <x:c r="F202" s="12" t="str">
        <x:v>Action</x:v>
      </x:c>
      <x:c r="G202" s="12" t="str">
        <x:v>PO.DAAC User Working Group</x:v>
      </x:c>
      <x:c r="H202" s="12" t="n">
        <x:v>2024</x:v>
      </x:c>
      <x:c r="I202" s="12" t="str">
        <x:v>Earthdata users</x:v>
      </x:c>
      <x:c r="J202" s="12" t="str">
        <x:v>Medium</x:v>
      </x:c>
      <x:c r="K202" s="16" t="n">
        <x:v>0.75</x:v>
      </x:c>
      <x:c r="L202" s="12" t="str">
        <x:v>LSA similarity cluster; human review pending</x:v>
      </x:c>
      <x:c r="M202" s="12" t="str">
        <x:v>Section: New Actions and Recommendations; table row 22</x:v>
      </x:c>
      <x:c r="N202" s="12" t="str"/>
      <x:c r="O202" s="12" t="str">
        <x:v>No</x:v>
      </x:c>
      <x:c r="P202" s="12" t="str">
        <x:v>No</x:v>
      </x:c>
      <x:c r="Q202" s="12"/>
      <x:c r="R202" s="12"/>
    </x:row>
    <x:row r="203">
      <x:c r="A203" s="12" t="str">
        <x:v>EVD-00202</x:v>
      </x:c>
      <x:c r="B203" s="12" t="str">
        <x:v>NEED-0082</x:v>
      </x:c>
      <x:c r="C203" s="12" t="str">
        <x:v>SRC-0004</x:v>
      </x:c>
      <x:c r="D203" s="12" t="str">
        <x:v>Will work with Web Unification team to identify if/how to incorporate this into dataset landing pages.</x:v>
      </x:c>
      <x:c r="E203" s="12" t="str">
        <x:v>Will work with Web Unification team to identify if/how to incorporate this into dataset landing pages.</x:v>
      </x:c>
      <x:c r="F203" s="12" t="str">
        <x:v>Action</x:v>
      </x:c>
      <x:c r="G203" s="12" t="str">
        <x:v>PO.DAAC User Working Group</x:v>
      </x:c>
      <x:c r="H203" s="12" t="n">
        <x:v>2024</x:v>
      </x:c>
      <x:c r="I203" s="12" t="str">
        <x:v>Earthdata users</x:v>
      </x:c>
      <x:c r="J203" s="12" t="str">
        <x:v>Medium</x:v>
      </x:c>
      <x:c r="K203" s="16" t="n">
        <x:v>0.75</x:v>
      </x:c>
      <x:c r="L203" s="12" t="str">
        <x:v>LSA similarity cluster; human review pending</x:v>
      </x:c>
      <x:c r="M203" s="12" t="str">
        <x:v>Section: New Actions and Recommendations; table row 23</x:v>
      </x:c>
      <x:c r="N203" s="12" t="str"/>
      <x:c r="O203" s="12" t="str">
        <x:v>No</x:v>
      </x:c>
      <x:c r="P203" s="12" t="str">
        <x:v>No</x:v>
      </x:c>
      <x:c r="Q203" s="12"/>
      <x:c r="R203" s="12"/>
    </x:row>
    <x:row r="204">
      <x:c r="A204" s="12" t="str">
        <x:v>EVD-00203</x:v>
      </x:c>
      <x:c r="B204" s="12" t="str">
        <x:v>NEED-0141</x:v>
      </x:c>
      <x:c r="C204" s="12" t="str">
        <x:v>SRC-0004</x:v>
      </x:c>
      <x:c r="D204" s="12" t="str">
        <x:v>Discuss alignment with enterprise efforts (e.g. SIA) and related processes.</x:v>
      </x:c>
      <x:c r="E204" s="12" t="str">
        <x:v>Discuss alignment with enterprise efforts (e.g. SIA) and related processes.</x:v>
      </x:c>
      <x:c r="F204" s="12" t="str">
        <x:v>Action</x:v>
      </x:c>
      <x:c r="G204" s="12" t="str">
        <x:v>PO.DAAC User Working Group</x:v>
      </x:c>
      <x:c r="H204" s="12" t="n">
        <x:v>2024</x:v>
      </x:c>
      <x:c r="I204" s="12" t="str">
        <x:v>Earthdata users</x:v>
      </x:c>
      <x:c r="J204" s="12" t="str">
        <x:v>Medium</x:v>
      </x:c>
      <x:c r="K204" s="16" t="n">
        <x:v>0.75</x:v>
      </x:c>
      <x:c r="L204" s="12" t="str">
        <x:v>LSA similarity cluster; human review pending</x:v>
      </x:c>
      <x:c r="M204" s="12" t="str">
        <x:v>Section: New Actions and Recommendations; table row 24</x:v>
      </x:c>
      <x:c r="N204" s="12" t="str"/>
      <x:c r="O204" s="12" t="str">
        <x:v>No</x:v>
      </x:c>
      <x:c r="P204" s="12" t="str">
        <x:v>No</x:v>
      </x:c>
      <x:c r="Q204" s="12"/>
      <x:c r="R204" s="12"/>
    </x:row>
    <x:row r="205">
      <x:c r="A205" s="12" t="str">
        <x:v>EVD-00204</x:v>
      </x:c>
      <x:c r="B205" s="12" t="str">
        <x:v>NEED-0125</x:v>
      </x:c>
      <x:c r="C205" s="12" t="str">
        <x:v>SRC-0004</x:v>
      </x:c>
      <x:c r="D205" s="12" t="str">
        <x:v>We recommend creating a one-page data submission guide that includes the procedure and task list for first-time data providers. This will help these new users quickly understand the process, find the necessary resources, and know when and who to ask for help.</x:v>
      </x:c>
      <x:c r="E205" s="12" t="str">
        <x:v>We recommend creating a one-page data submission guide that includes the procedure and task list for first-time data providers. This will help these new users quickly understand the process, find the necessary resources, and know when and who to ask for help.</x:v>
      </x:c>
      <x:c r="F205" s="12" t="str">
        <x:v>Action</x:v>
      </x:c>
      <x:c r="G205" s="12" t="str">
        <x:v>PO.DAAC User Working Group</x:v>
      </x:c>
      <x:c r="H205" s="12" t="n">
        <x:v>2024</x:v>
      </x:c>
      <x:c r="I205" s="12" t="str">
        <x:v>Data producers and mission teams; New and occasional users</x:v>
      </x:c>
      <x:c r="J205" s="12" t="str">
        <x:v>High</x:v>
      </x:c>
      <x:c r="K205" s="16" t="n">
        <x:v>0.75</x:v>
      </x:c>
      <x:c r="L205" s="12" t="str">
        <x:v>LSA similarity cluster; human review pending</x:v>
      </x:c>
      <x:c r="M205" s="12" t="str">
        <x:v>Section: New Actions and Recommendations; table row 25</x:v>
      </x:c>
      <x:c r="N205" s="12" t="str"/>
      <x:c r="O205" s="12" t="str">
        <x:v>No</x:v>
      </x:c>
      <x:c r="P205" s="12" t="str">
        <x:v>No</x:v>
      </x:c>
      <x:c r="Q205" s="12"/>
      <x:c r="R205" s="12"/>
    </x:row>
    <x:row r="206">
      <x:c r="A206" s="12" t="str">
        <x:v>EVD-00205</x:v>
      </x:c>
      <x:c r="B206" s="12" t="str">
        <x:v>NEED-0145</x:v>
      </x:c>
      <x:c r="C206" s="12" t="str">
        <x:v>SRC-0004</x:v>
      </x:c>
      <x:c r="D206" s="12" t="str">
        <x:v>SEDAC should increase its visibility to current and new users by refreshing its branding and outreach strategy in a way that leverages its name recognition and the trust that has established within the social and Earth science communities (for example, work with NASA’s Earth Information Center to include SEDAC data as part of their data visualizations). Differentiation of SEDAC could become increasingly important as the DAACs migrate to the unified web platform.</x:v>
      </x:c>
      <x:c r="E206" s="12" t="str">
        <x:v>SEDAC should increase its visibility to current and new users by refreshing its branding and outreach strategy in a way that leverages its name recognition and the trust that has established within the social and Earth science communities (for example, work with NASA’s Earth Information Center to include SEDAC data as part of their data visualizations). Differentiation of SEDAC could become increasingly important as the DAACs migrate to the unified web platform.</x:v>
      </x:c>
      <x:c r="F206" s="12" t="str">
        <x:v>Action</x:v>
      </x:c>
      <x:c r="G206" s="12" t="str">
        <x:v>SEDAC User Working Group</x:v>
      </x:c>
      <x:c r="H206" s="12" t="n">
        <x:v>2024</x:v>
      </x:c>
      <x:c r="I206" s="12" t="str">
        <x:v>New and occasional users</x:v>
      </x:c>
      <x:c r="J206" s="12" t="str">
        <x:v>High</x:v>
      </x:c>
      <x:c r="K206" s="16" t="n">
        <x:v>0.75</x:v>
      </x:c>
      <x:c r="L206" s="12" t="str">
        <x:v>LSA similarity cluster; human review pending</x:v>
      </x:c>
      <x:c r="M206" s="12" t="str">
        <x:v>Section: New Actions and Recommendations; table row 2</x:v>
      </x:c>
      <x:c r="N206" s="12" t="str"/>
      <x:c r="O206" s="12" t="str">
        <x:v>No</x:v>
      </x:c>
      <x:c r="P206" s="12" t="str">
        <x:v>No</x:v>
      </x:c>
      <x:c r="Q206" s="12"/>
      <x:c r="R206" s="12"/>
    </x:row>
    <x:row r="207">
      <x:c r="A207" s="12" t="str">
        <x:v>EVD-00206</x:v>
      </x:c>
      <x:c r="B207" s="12" t="str">
        <x:v>NEED-0209</x:v>
      </x:c>
      <x:c r="C207" s="12" t="str">
        <x:v>SRC-0004</x:v>
      </x:c>
      <x:c r="D207" s="12" t="str">
        <x:v>SEDAC should consider formalizing partnerships and developing trusted relationships with commercial and non-profit organizations that re-distribute SEDAC data to obtain ongoing feedback about the use of its data offerings, the users, and their data needs.</x:v>
      </x:c>
      <x:c r="E207" s="12" t="str">
        <x:v>SEDAC should consider formalizing partnerships and developing trusted relationships with commercial and non-profit organizations that re-distribute SEDAC data to obtain ongoing feedback about the use of its data offerings, the users, and their data needs.</x:v>
      </x:c>
      <x:c r="F207" s="12" t="str">
        <x:v>Action</x:v>
      </x:c>
      <x:c r="G207" s="12" t="str">
        <x:v>SEDAC User Working Group</x:v>
      </x:c>
      <x:c r="H207" s="12" t="n">
        <x:v>2024</x:v>
      </x:c>
      <x:c r="I207" s="12" t="str">
        <x:v>Earthdata users</x:v>
      </x:c>
      <x:c r="J207" s="12" t="str">
        <x:v>High</x:v>
      </x:c>
      <x:c r="K207" s="16" t="n">
        <x:v>0.75</x:v>
      </x:c>
      <x:c r="L207" s="12" t="str">
        <x:v>LSA similarity cluster; human review pending</x:v>
      </x:c>
      <x:c r="M207" s="12" t="str">
        <x:v>Section: New Actions and Recommendations; table row 3</x:v>
      </x:c>
      <x:c r="N207" s="12" t="str"/>
      <x:c r="O207" s="12" t="str">
        <x:v>No</x:v>
      </x:c>
      <x:c r="P207" s="12" t="str">
        <x:v>No</x:v>
      </x:c>
      <x:c r="Q207" s="12"/>
      <x:c r="R207" s="12"/>
    </x:row>
    <x:row r="208">
      <x:c r="A208" s="12" t="str">
        <x:v>EVD-00207</x:v>
      </x:c>
      <x:c r="B208" s="12" t="str">
        <x:v>NEED-0022</x:v>
      </x:c>
      <x:c r="C208" s="12" t="str">
        <x:v>SRC-0004</x:v>
      </x:c>
      <x:c r="D208" s="12" t="str">
        <x:v>Identify and describe impactful uses of SEDAC data by end users or intermediaries (e.g., international organizations or government agencies), and report on those uses in a future meeting. Insofar as it is possible, attempt to go beyond download or citation metrics to understand the actual impact of the data use.</x:v>
      </x:c>
      <x:c r="E208" s="12" t="str">
        <x:v>Identify and describe impactful uses of SEDAC data by end users or intermediaries (e.g., international organizations or government agencies), and report on those uses in a future meeting. Insofar as it is possible, attempt to go beyond download or citation metrics to understand the actual impact of the data use.</x:v>
      </x:c>
      <x:c r="F208" s="12" t="str">
        <x:v>Action</x:v>
      </x:c>
      <x:c r="G208" s="12" t="str">
        <x:v>SEDAC User Working Group</x:v>
      </x:c>
      <x:c r="H208" s="12" t="n">
        <x:v>2024</x:v>
      </x:c>
      <x:c r="I208" s="12" t="str">
        <x:v>International users</x:v>
      </x:c>
      <x:c r="J208" s="12" t="str">
        <x:v>Medium</x:v>
      </x:c>
      <x:c r="K208" s="16" t="n">
        <x:v>0.75</x:v>
      </x:c>
      <x:c r="L208" s="12" t="str">
        <x:v>LSA similarity cluster; human review pending</x:v>
      </x:c>
      <x:c r="M208" s="12" t="str">
        <x:v>Section: New Actions and Recommendations; table row 5</x:v>
      </x:c>
      <x:c r="N208" s="12" t="str"/>
      <x:c r="O208" s="12" t="str">
        <x:v>No</x:v>
      </x:c>
      <x:c r="P208" s="12" t="str">
        <x:v>No</x:v>
      </x:c>
      <x:c r="Q208" s="12"/>
      <x:c r="R208" s="12"/>
    </x:row>
    <x:row r="209">
      <x:c r="A209" s="12" t="str">
        <x:v>EVD-00208</x:v>
      </x:c>
      <x:c r="B209" s="12" t="str">
        <x:v>NEED-0087</x:v>
      </x:c>
      <x:c r="C209" s="12" t="str">
        <x:v>SRC-0004</x:v>
      </x:c>
      <x:c r="D209" s="12" t="str">
        <x:v>Connect with Earth Action’s Collaborative Network for Valuing Earth Information (CONVEI) to develop better metrics to evaluate impact.</x:v>
      </x:c>
      <x:c r="E209" s="12" t="str">
        <x:v>Connect with Earth Action’s Collaborative Network for Valuing Earth Information (CONVEI) to develop better metrics to evaluate impact.</x:v>
      </x:c>
      <x:c r="F209" s="12" t="str">
        <x:v>Action</x:v>
      </x:c>
      <x:c r="G209" s="12" t="str">
        <x:v>SEDAC User Working Group</x:v>
      </x:c>
      <x:c r="H209" s="12" t="n">
        <x:v>2024</x:v>
      </x:c>
      <x:c r="I209" s="12" t="str">
        <x:v>Earthdata users</x:v>
      </x:c>
      <x:c r="J209" s="12" t="str">
        <x:v>High</x:v>
      </x:c>
      <x:c r="K209" s="16" t="n">
        <x:v>0.75</x:v>
      </x:c>
      <x:c r="L209" s="12" t="str">
        <x:v>LSA similarity cluster; human review pending</x:v>
      </x:c>
      <x:c r="M209" s="12" t="str">
        <x:v>Section: New Actions and Recommendations; table row 6</x:v>
      </x:c>
      <x:c r="N209" s="12" t="str"/>
      <x:c r="O209" s="12" t="str">
        <x:v>No</x:v>
      </x:c>
      <x:c r="P209" s="12" t="str">
        <x:v>No</x:v>
      </x:c>
      <x:c r="Q209" s="12"/>
      <x:c r="R209" s="12"/>
    </x:row>
    <x:row r="210">
      <x:c r="A210" s="12" t="str">
        <x:v>EVD-00209</x:v>
      </x:c>
      <x:c r="B210" s="12" t="str">
        <x:v>NEED-0150</x:v>
      </x:c>
      <x:c r="C210" s="12" t="str">
        <x:v>SRC-0004</x:v>
      </x:c>
      <x:c r="D210" s="12" t="str">
        <x:v>To achieve a better balance of intermediate (e.g., academic) and end users, and diversity among UWG members, SEDAC should consider establishing open mechanisms to solicit nominations for new UWG members, e.g., by circulating an open expression of interest among networks and announcing it on its website. Additionally, as has sometimes been done in the past, retired UWG members from other DAACs might be considered for membership on the SEDAC UWG, and vice versa.</x:v>
      </x:c>
      <x:c r="E210" s="12" t="str">
        <x:v>To achieve a better balance of intermediate (e.g., academic) and end users, and diversity among UWG members, SEDAC should consider establishing open mechanisms to solicit nominations for new UWG members, e.g., by circulating an open expression of interest among networks and announcing it on its website. Additionally, as has sometimes been done in the past, retired UWG members from other DAACs might be considered for membership on the SEDAC UWG, and vice versa.</x:v>
      </x:c>
      <x:c r="F210" s="12" t="str">
        <x:v>Action</x:v>
      </x:c>
      <x:c r="G210" s="12" t="str">
        <x:v>SEDAC User Working Group</x:v>
      </x:c>
      <x:c r="H210" s="12" t="n">
        <x:v>2024</x:v>
      </x:c>
      <x:c r="I210" s="12" t="str">
        <x:v>Operational and near-real-time users</x:v>
      </x:c>
      <x:c r="J210" s="12" t="str">
        <x:v>High</x:v>
      </x:c>
      <x:c r="K210" s="16" t="n">
        <x:v>0.75</x:v>
      </x:c>
      <x:c r="L210" s="12" t="str">
        <x:v>LSA similarity cluster; human review pending</x:v>
      </x:c>
      <x:c r="M210" s="12" t="str">
        <x:v>Section: New Actions and Recommendations; table row 7</x:v>
      </x:c>
      <x:c r="N210" s="12" t="str"/>
      <x:c r="O210" s="12" t="str">
        <x:v>No</x:v>
      </x:c>
      <x:c r="P210" s="12" t="str">
        <x:v>No</x:v>
      </x:c>
      <x:c r="Q210" s="12"/>
      <x:c r="R210" s="12"/>
    </x:row>
    <x:row r="211">
      <x:c r="A211" s="12" t="str">
        <x:v>EVD-00210</x:v>
      </x:c>
      <x:c r="B211" s="12" t="str">
        <x:v>NEED-0084</x:v>
      </x:c>
      <x:c r="C211" s="12" t="str">
        <x:v>SRC-0004</x:v>
      </x:c>
      <x:c r="D211" s="12" t="str">
        <x:v>For select SEDAC datasets, assess what it would look like to perform data co-production and/or validation with interim users (e.g. academia, industry, NGO) and end users (e.g., community-based organizations, local government), and identify the funding requirements needed to do so.</x:v>
      </x:c>
      <x:c r="E211" s="12" t="str">
        <x:v>For select SEDAC datasets, assess what it would look like to perform data co-production and/or validation with interim users (e.g. academia, industry, NGO) and end users (e.g., community-based organizations, local government), and identify the funding requirements needed to do so.</x:v>
      </x:c>
      <x:c r="F211" s="12" t="str">
        <x:v>Action</x:v>
      </x:c>
      <x:c r="G211" s="12" t="str">
        <x:v>SEDAC User Working Group</x:v>
      </x:c>
      <x:c r="H211" s="12" t="n">
        <x:v>2024</x:v>
      </x:c>
      <x:c r="I211" s="12" t="str">
        <x:v>Earthdata users</x:v>
      </x:c>
      <x:c r="J211" s="12" t="str">
        <x:v>Medium</x:v>
      </x:c>
      <x:c r="K211" s="16" t="n">
        <x:v>0.75</x:v>
      </x:c>
      <x:c r="L211" s="12" t="str">
        <x:v>LSA similarity cluster; human review pending</x:v>
      </x:c>
      <x:c r="M211" s="12" t="str">
        <x:v>Section: New Actions and Recommendations; table row 9</x:v>
      </x:c>
      <x:c r="N211" s="12" t="str"/>
      <x:c r="O211" s="12" t="str">
        <x:v>No</x:v>
      </x:c>
      <x:c r="P211" s="12" t="str">
        <x:v>No</x:v>
      </x:c>
      <x:c r="Q211" s="12"/>
      <x:c r="R211" s="12"/>
    </x:row>
    <x:row r="212">
      <x:c r="A212" s="12" t="str">
        <x:v>EVD-00211</x:v>
      </x:c>
      <x:c r="B212" s="12" t="str">
        <x:v>NEED-0071</x:v>
      </x:c>
      <x:c r="C212" s="12" t="str">
        <x:v>SRC-0004</x:v>
      </x:c>
      <x:c r="D212" s="12" t="str">
        <x:v>Work with applied user communities to co-develop a priority list of data products of needed data products, such as NISAR-derived infrastructure data, global data on the location of health facilities or schools from OpenStreetMap, a livelihood zone data set based on the Anthropogenic Biomes, or possible gridding of IPUMS variables. Out of these interactions, develop a priority list of such data for review at a forthcoming telecon or meeting.</x:v>
      </x:c>
      <x:c r="E212" s="12" t="str">
        <x:v>Work with applied user communities to co-develop a priority list of data products of needed data products, such as NISAR-derived infrastructure data, global data on the location of health facilities or schools from OpenStreetMap, a livelihood zone data set based on the Anthropogenic Biomes, or possible gridding of IPUMS variables. Out of these interactions, develop a priority list of such data for review at a forthcoming telecon or meeting.</x:v>
      </x:c>
      <x:c r="F212" s="12" t="str">
        <x:v>Action</x:v>
      </x:c>
      <x:c r="G212" s="12" t="str">
        <x:v>SEDAC User Working Group</x:v>
      </x:c>
      <x:c r="H212" s="12" t="n">
        <x:v>2024</x:v>
      </x:c>
      <x:c r="I212" s="12" t="str">
        <x:v>Earthdata users</x:v>
      </x:c>
      <x:c r="J212" s="12" t="str">
        <x:v>High</x:v>
      </x:c>
      <x:c r="K212" s="16" t="n">
        <x:v>0.75</x:v>
      </x:c>
      <x:c r="L212" s="12" t="str">
        <x:v>LSA similarity cluster; human review pending</x:v>
      </x:c>
      <x:c r="M212" s="12" t="str">
        <x:v>Section: New Actions and Recommendations; table row 10</x:v>
      </x:c>
      <x:c r="N212" s="12" t="str"/>
      <x:c r="O212" s="12" t="str">
        <x:v>No</x:v>
      </x:c>
      <x:c r="P212" s="12" t="str">
        <x:v>No</x:v>
      </x:c>
      <x:c r="Q212" s="12"/>
      <x:c r="R212" s="12"/>
    </x:row>
    <x:row r="213">
      <x:c r="A213" s="12" t="str">
        <x:v>EVD-00212</x:v>
      </x:c>
      <x:c r="B213" s="12" t="str">
        <x:v>NEED-0145</x:v>
      </x:c>
      <x:c r="C213" s="12" t="str">
        <x:v>SRC-0004</x:v>
      </x:c>
      <x:c r="D213" s="12" t="str">
        <x:v>SEDAC is encouraged to assess the complementary and intersecting contributions of open science and participatory science principles, and to develop a strategy statement around: (1) creating awareness and evaluating usability/validity of current data, and (2) identifying and co-producing data that are needed and non-existent. The strategy could also clarify distinctions between roles/missions/strategies of CIESIN versus SEDAC. SEDAC could also increase contact with current and new users by employing open and participatory processes for communication that complement an open and participatory science strategy.</x:v>
      </x:c>
      <x:c r="E213" s="12" t="str">
        <x:v>SEDAC is encouraged to assess the complementary and intersecting contributions of open science and participatory science principles, and to develop a strategy statement around: (1) creating awareness and evaluating usability/validity of current data, and (2) identifying and co-producing data that are needed and non-existent. The strategy could also clarify distinctions between roles/missions/strategies of CIESIN versus SEDAC. SEDAC could also increase contact with current and new users by employing open and participatory processes for communication that complement an open and participatory science strategy.</x:v>
      </x:c>
      <x:c r="F213" s="12" t="str">
        <x:v>Action</x:v>
      </x:c>
      <x:c r="G213" s="12" t="str">
        <x:v>SEDAC User Working Group</x:v>
      </x:c>
      <x:c r="H213" s="12" t="n">
        <x:v>2024</x:v>
      </x:c>
      <x:c r="I213" s="12" t="str">
        <x:v>Data producers and mission teams; New and occasional users</x:v>
      </x:c>
      <x:c r="J213" s="12" t="str">
        <x:v>High</x:v>
      </x:c>
      <x:c r="K213" s="16" t="n">
        <x:v>0.75</x:v>
      </x:c>
      <x:c r="L213" s="12" t="str">
        <x:v>LSA similarity cluster; human review pending</x:v>
      </x:c>
      <x:c r="M213" s="12" t="str">
        <x:v>Section: New Actions and Recommendations; table row 12</x:v>
      </x:c>
      <x:c r="N213" s="12" t="str"/>
      <x:c r="O213" s="12" t="str">
        <x:v>No</x:v>
      </x:c>
      <x:c r="P213" s="12" t="str">
        <x:v>No</x:v>
      </x:c>
      <x:c r="Q213" s="12"/>
      <x:c r="R213" s="12"/>
    </x:row>
    <x:row r="214">
      <x:c r="A214" s="12" t="str">
        <x:v>EVD-00213</x:v>
      </x:c>
      <x:c r="B214" s="12" t="str">
        <x:v>NEED-0198</x:v>
      </x:c>
      <x:c r="C214" s="12" t="str">
        <x:v>SRC-0004</x:v>
      </x:c>
      <x:c r="D214" s="12" t="str">
        <x:v>SEDAC should move forward with development of an Open Science Workshop for Applied Users, possibly starting with organizations in the NY metropolitan area, or with boundary organizations who work with end users. Key questions to be addressed include how OS leads to better decision making, appropriateness of available data and data gaps, and possible barriers to use.</x:v>
      </x:c>
      <x:c r="E214" s="12" t="str">
        <x:v>SEDAC should move forward with development of an Open Science Workshop for Applied Users, possibly starting with organizations in the NY metropolitan area, or with boundary organizations who work with end users. Key questions to be addressed include how OS leads to better decision making, appropriateness of available data and data gaps, and possible barriers to use.</x:v>
      </x:c>
      <x:c r="F214" s="12" t="str">
        <x:v>Action</x:v>
      </x:c>
      <x:c r="G214" s="12" t="str">
        <x:v>SEDAC User Working Group</x:v>
      </x:c>
      <x:c r="H214" s="12" t="n">
        <x:v>2024</x:v>
      </x:c>
      <x:c r="I214" s="12" t="str">
        <x:v>Educators and trainers</x:v>
      </x:c>
      <x:c r="J214" s="12" t="str">
        <x:v>High</x:v>
      </x:c>
      <x:c r="K214" s="16" t="n">
        <x:v>0.75</x:v>
      </x:c>
      <x:c r="L214" s="12" t="str">
        <x:v>LSA similarity cluster; human review pending</x:v>
      </x:c>
      <x:c r="M214" s="12" t="str">
        <x:v>Section: New Actions and Recommendations; table row 13</x:v>
      </x:c>
      <x:c r="N214" s="12" t="str"/>
      <x:c r="O214" s="12" t="str">
        <x:v>No</x:v>
      </x:c>
      <x:c r="P214" s="12" t="str">
        <x:v>No</x:v>
      </x:c>
      <x:c r="Q214" s="12"/>
      <x:c r="R214" s="12"/>
    </x:row>
    <x:row r="215">
      <x:c r="A215" s="12" t="str">
        <x:v>EVD-00214</x:v>
      </x:c>
      <x:c r="B215" s="12" t="str">
        <x:v>NEED-0209</x:v>
      </x:c>
      <x:c r="C215" s="12" t="str">
        <x:v>SRC-0004</x:v>
      </x:c>
      <x:c r="D215" s="12" t="str">
        <x:v>The ES2A strategy offers opportunities for SEDAC to contribute to more applied data uses, by co-producing open data about systems that sustain human wellbeing. The areas identified in the presentation by Sid Boukabara represent many of the areas where SEDAC already has data and could continue to contribute: (1) Agriculture, (2) Air Quality &amp; Stratospheric Ozone, (3) Biodiversity, (4) Greenhouse gasses, (5) Sea Level Rise and Coastal, (6) Urbanization, (7) Disasters, (8) Wildfires, (9) Carbon Accounting, (10) Water &amp; Food Resources, (11) Environmental health &amp; Water Quality, (12) Human-Ocean Interactions, (13) Policy/Decision Support, (14) Energy &amp; Infrastructure, (15) Socio-Economic Sectors (transport, real estate, etc.), and (16) National Security.</x:v>
      </x:c>
      <x:c r="E215" s="12" t="str">
        <x:v>The ES2A strategy offers opportunities for SEDAC to contribute to more applied data uses, by co-producing open data about systems that sustain human wellbeing. The areas identified in the presentation by Sid Boukabara represent many of the areas where SEDAC already has data and could continue to contribute: (1) Agriculture, (2) Air Quality &amp; Stratospheric Ozone, (3) Biodiversity, (4) Greenhouse gasses, (5) Sea Level Rise and Coastal, (6) Urbanization, (7) Disasters, (8) Wildfires, (9) Carbon Accounting, (10) Water &amp; Food Resources, (11) Environmental health &amp; Water Quality, (12) Human-Ocean Interactions, (13) Policy/Decision Support, (14) Energy &amp; Infrastructure, (15) Socio-Economic Sectors (transport, real estate, etc.), and (16) National Security.</x:v>
      </x:c>
      <x:c r="F215" s="12" t="str">
        <x:v>Action</x:v>
      </x:c>
      <x:c r="G215" s="12" t="str">
        <x:v>SEDAC User Working Group</x:v>
      </x:c>
      <x:c r="H215" s="12" t="n">
        <x:v>2024</x:v>
      </x:c>
      <x:c r="I215" s="12" t="str">
        <x:v>Operational and near-real-time users</x:v>
      </x:c>
      <x:c r="J215" s="12" t="str">
        <x:v>High</x:v>
      </x:c>
      <x:c r="K215" s="16" t="n">
        <x:v>0.75</x:v>
      </x:c>
      <x:c r="L215" s="12" t="str">
        <x:v>LSA similarity cluster; human review pending</x:v>
      </x:c>
      <x:c r="M215" s="12" t="str">
        <x:v>Section: New Actions and Recommendations; table row 14</x:v>
      </x:c>
      <x:c r="N215" s="12" t="str"/>
      <x:c r="O215" s="12" t="str">
        <x:v>No</x:v>
      </x:c>
      <x:c r="P215" s="12" t="str">
        <x:v>No</x:v>
      </x:c>
      <x:c r="Q215" s="12"/>
      <x:c r="R215" s="12"/>
    </x:row>
    <x:row r="216">
      <x:c r="A216" s="12" t="str">
        <x:v>EVD-00215</x:v>
      </x:c>
      <x:c r="B216" s="12" t="str">
        <x:v>NEED-0198</x:v>
      </x:c>
      <x:c r="C216" s="12" t="str">
        <x:v>SRC-0004</x:v>
      </x:c>
      <x:c r="D216" s="12" t="str">
        <x:v>UWG24-11: Organize the Open Science Workshop for Applied Users in the Winter/Springtime period of 2025, with engagement of UWG members, and report back to the UWG.</x:v>
      </x:c>
      <x:c r="E216" s="12" t="str">
        <x:v>UWG24-11: Organize the Open Science Workshop for Applied Users in the Winter/Springtime period of 2025, with engagement of UWG members, and report back to the UWG.</x:v>
      </x:c>
      <x:c r="F216" s="12" t="str">
        <x:v>Action</x:v>
      </x:c>
      <x:c r="G216" s="12" t="str">
        <x:v>SEDAC User Working Group</x:v>
      </x:c>
      <x:c r="H216" s="12" t="n">
        <x:v>2024</x:v>
      </x:c>
      <x:c r="I216" s="12" t="str">
        <x:v>Educators and trainers</x:v>
      </x:c>
      <x:c r="J216" s="12" t="str">
        <x:v>Medium</x:v>
      </x:c>
      <x:c r="K216" s="16" t="n">
        <x:v>0.75</x:v>
      </x:c>
      <x:c r="L216" s="12" t="str">
        <x:v>LSA similarity cluster; human review pending</x:v>
      </x:c>
      <x:c r="M216" s="12" t="str">
        <x:v>Section: New Actions and Recommendations; table row 15</x:v>
      </x:c>
      <x:c r="N216" s="12" t="str"/>
      <x:c r="O216" s="12" t="str">
        <x:v>No</x:v>
      </x:c>
      <x:c r="P216" s="12" t="str">
        <x:v>No</x:v>
      </x:c>
      <x:c r="Q216" s="12"/>
      <x:c r="R216" s="12"/>
    </x:row>
    <x:row r="217">
      <x:c r="A217" s="12" t="str">
        <x:v>EVD-00216</x:v>
      </x:c>
      <x:c r="B217" s="12" t="str">
        <x:v>NEED-0131</x:v>
      </x:c>
      <x:c r="C217" s="12" t="str">
        <x:v>SRC-0004</x:v>
      </x:c>
      <x:c r="D217" s="12" t="str">
        <x:v>Revise the SEDAC Data Nomination Forms to include a category for summarizing the description of the methodology employed to create the data set being nominated, and create a field for summarizing the limitations of applicable uses in addition to the existing field that summarizes the limitations relating to licensing, intellectual property rights or ethical restrictions.</x:v>
      </x:c>
      <x:c r="E217" s="12" t="str">
        <x:v>Revise the SEDAC Data Nomination Forms to include a category for summarizing the description of the methodology employed to create the data set being nominated, and create a field for summarizing the limitations of applicable uses in addition to the existing field that summarizes the limitations relating to licensing, intellectual property rights or ethical restrictions.</x:v>
      </x:c>
      <x:c r="F217" s="12" t="str">
        <x:v>Action</x:v>
      </x:c>
      <x:c r="G217" s="12" t="str">
        <x:v>SEDAC User Working Group</x:v>
      </x:c>
      <x:c r="H217" s="12" t="n">
        <x:v>2024</x:v>
      </x:c>
      <x:c r="I217" s="12" t="str">
        <x:v>Earthdata users</x:v>
      </x:c>
      <x:c r="J217" s="12" t="str">
        <x:v>High</x:v>
      </x:c>
      <x:c r="K217" s="16" t="n">
        <x:v>0.75</x:v>
      </x:c>
      <x:c r="L217" s="12" t="str">
        <x:v>LSA similarity cluster; human review pending</x:v>
      </x:c>
      <x:c r="M217" s="12" t="str">
        <x:v>Section: New Actions and Recommendations; table row 17</x:v>
      </x:c>
      <x:c r="N217" s="12" t="str"/>
      <x:c r="O217" s="12" t="str">
        <x:v>No</x:v>
      </x:c>
      <x:c r="P217" s="12" t="str">
        <x:v>No</x:v>
      </x:c>
      <x:c r="Q217" s="12"/>
      <x:c r="R217" s="12"/>
    </x:row>
    <x:row r="218">
      <x:c r="A218" s="12" t="str">
        <x:v>EVD-00217</x:v>
      </x:c>
      <x:c r="B218" s="12" t="str">
        <x:v>NEED-0124</x:v>
      </x:c>
      <x:c r="C218" s="12" t="str">
        <x:v>SRC-0004</x:v>
      </x:c>
      <x:c r="D218" s="12" t="str">
        <x:v>UWG24-13: Work with the UWG Chair, members, and NASA staff to identify a date and agenda for a telecon in the January-March 2025 time frame.</x:v>
      </x:c>
      <x:c r="E218" s="12" t="str">
        <x:v>UWG24-13: Work with the UWG Chair, members, and NASA staff to identify a date and agenda for a telecon in the January-March 2025 time frame.</x:v>
      </x:c>
      <x:c r="F218" s="12" t="str">
        <x:v>Action</x:v>
      </x:c>
      <x:c r="G218" s="12" t="str">
        <x:v>SEDAC User Working Group</x:v>
      </x:c>
      <x:c r="H218" s="12" t="n">
        <x:v>2024</x:v>
      </x:c>
      <x:c r="I218" s="12" t="str">
        <x:v>Earthdata users</x:v>
      </x:c>
      <x:c r="J218" s="12" t="str">
        <x:v>Medium</x:v>
      </x:c>
      <x:c r="K218" s="16" t="n">
        <x:v>0.75</x:v>
      </x:c>
      <x:c r="L218" s="12" t="str">
        <x:v>LSA similarity cluster; human review pending</x:v>
      </x:c>
      <x:c r="M218" s="12" t="str">
        <x:v>Section: New Actions and Recommendations; table row 18</x:v>
      </x:c>
      <x:c r="N218" s="12" t="str"/>
      <x:c r="O218" s="12" t="str">
        <x:v>No</x:v>
      </x:c>
      <x:c r="P218" s="12" t="str">
        <x:v>No</x:v>
      </x:c>
      <x:c r="Q218" s="12"/>
      <x:c r="R218" s="12"/>
    </x:row>
    <x:row r="219">
      <x:c r="A219" s="12" t="str">
        <x:v>EVD-00218</x:v>
      </x:c>
      <x:c r="B219" s="12" t="str">
        <x:v>NEED-0124</x:v>
      </x:c>
      <x:c r="C219" s="12" t="str">
        <x:v>SRC-0004</x:v>
      </x:c>
      <x:c r="D219" s="12" t="str">
        <x:v>UWG24-14: Work with the UWG Chair, members, and NASA staff to identify a date and agenda for an in-person meeting in the May-June 2025 time frame.</x:v>
      </x:c>
      <x:c r="E219" s="12" t="str">
        <x:v>UWG24-14: Work with the UWG Chair, members, and NASA staff to identify a date and agenda for an in-person meeting in the May-June 2025 time frame.</x:v>
      </x:c>
      <x:c r="F219" s="12" t="str">
        <x:v>Action</x:v>
      </x:c>
      <x:c r="G219" s="12" t="str">
        <x:v>SEDAC User Working Group</x:v>
      </x:c>
      <x:c r="H219" s="12" t="n">
        <x:v>2024</x:v>
      </x:c>
      <x:c r="I219" s="12" t="str">
        <x:v>Earthdata users</x:v>
      </x:c>
      <x:c r="J219" s="12" t="str">
        <x:v>Medium</x:v>
      </x:c>
      <x:c r="K219" s="16" t="n">
        <x:v>0.75</x:v>
      </x:c>
      <x:c r="L219" s="12" t="str">
        <x:v>LSA similarity cluster; human review pending</x:v>
      </x:c>
      <x:c r="M219" s="12" t="str">
        <x:v>Section: New Actions and Recommendations; table row 19</x:v>
      </x:c>
      <x:c r="N219" s="12" t="str"/>
      <x:c r="O219" s="12" t="str">
        <x:v>No</x:v>
      </x:c>
      <x:c r="P219" s="12" t="str">
        <x:v>No</x:v>
      </x:c>
      <x:c r="Q219" s="12"/>
      <x:c r="R219" s="12"/>
    </x:row>
    <x:row r="220">
      <x:c r="A220" s="12" t="str">
        <x:v>EVD-00219</x:v>
      </x:c>
      <x:c r="B220" s="12" t="str">
        <x:v>NEED-0124</x:v>
      </x:c>
      <x:c r="C220" s="12" t="str">
        <x:v>SRC-0004</x:v>
      </x:c>
      <x:c r="D220" s="12" t="str">
        <x:v>UWG24-15: Work with the UWG Chair and SEDAC’s program scientist to finalize the list of new candidates for the UWG to replace those whose terms are ending in December 2024.</x:v>
      </x:c>
      <x:c r="E220" s="12" t="str">
        <x:v>UWG24-15: Work with the UWG Chair and SEDAC’s program scientist to finalize the list of new candidates for the UWG to replace those whose terms are ending in December 2024.</x:v>
      </x:c>
      <x:c r="F220" s="12" t="str">
        <x:v>Action</x:v>
      </x:c>
      <x:c r="G220" s="12" t="str">
        <x:v>SEDAC User Working Group</x:v>
      </x:c>
      <x:c r="H220" s="12" t="n">
        <x:v>2024</x:v>
      </x:c>
      <x:c r="I220" s="12" t="str">
        <x:v>Earth science researchers</x:v>
      </x:c>
      <x:c r="J220" s="12" t="str">
        <x:v>Medium</x:v>
      </x:c>
      <x:c r="K220" s="16" t="n">
        <x:v>0.75</x:v>
      </x:c>
      <x:c r="L220" s="12" t="str">
        <x:v>LSA similarity cluster; human review pending</x:v>
      </x:c>
      <x:c r="M220" s="12" t="str">
        <x:v>Section: New Actions and Recommendations; table row 20</x:v>
      </x:c>
      <x:c r="N220" s="12" t="str"/>
      <x:c r="O220" s="12" t="str">
        <x:v>No</x:v>
      </x:c>
      <x:c r="P220" s="12" t="str">
        <x:v>No</x:v>
      </x:c>
      <x:c r="Q220" s="12"/>
      <x:c r="R220" s="12"/>
    </x:row>
    <x:row r="221">
      <x:c r="A221" s="12" t="str">
        <x:v>EVD-00220</x:v>
      </x:c>
      <x:c r="B221" s="12" t="str">
        <x:v>NEED-0210</x:v>
      </x:c>
      <x:c r="C221" s="12" t="str">
        <x:v>SRC-0003</x:v>
      </x:c>
      <x:c r="D221" s="12" t="str">
        <x:v>The UWG unanimously commends ASF for the outstanding work and significant progress achieved over the past year. They noted that ASF is an exceptionally responsive and innovative DAAC. The UWG is confident that ASF is prioritizing activities in preparation for the NISAR launch.</x:v>
      </x:c>
      <x:c r="E221" s="12" t="str">
        <x:v>The UWG unanimously commends ASF for the outstanding work and significant progress achieved over the past year. They noted that ASF is an exceptionally responsive and innovative DAAC. The UWG is confident that ASF is prioritizing activities in preparation for the NISAR launch.</x:v>
      </x:c>
      <x:c r="F221" s="12" t="str">
        <x:v>Suggestion</x:v>
      </x:c>
      <x:c r="G221" s="12" t="str">
        <x:v>ASF DAAC User Working Group</x:v>
      </x:c>
      <x:c r="H221" s="12" t="n">
        <x:v>2023</x:v>
      </x:c>
      <x:c r="I221" s="12" t="str">
        <x:v>Earthdata users</x:v>
      </x:c>
      <x:c r="J221" s="12" t="str">
        <x:v>Low</x:v>
      </x:c>
      <x:c r="K221" s="16" t="n">
        <x:v>0.75</x:v>
      </x:c>
      <x:c r="L221" s="12" t="str">
        <x:v>LSA similarity cluster; human review pending</x:v>
      </x:c>
      <x:c r="M221" s="12" t="str">
        <x:v>Section: 2.4 Key UWG Suggestions</x:v>
      </x:c>
      <x:c r="N221" s="12" t="str"/>
      <x:c r="O221" s="12" t="str">
        <x:v>No</x:v>
      </x:c>
      <x:c r="P221" s="12" t="str">
        <x:v>No</x:v>
      </x:c>
      <x:c r="Q221" s="12"/>
      <x:c r="R221" s="12"/>
    </x:row>
    <x:row r="222">
      <x:c r="A222" s="12" t="str">
        <x:v>EVD-00221</x:v>
      </x:c>
      <x:c r="B222" s="12" t="str">
        <x:v>NEED-0014</x:v>
      </x:c>
      <x:c r="C222" s="12" t="str">
        <x:v>SRC-0003</x:v>
      </x:c>
      <x:c r="D222" s="12" t="str">
        <x:v>The UWG particularly compliments ASF management on their hard work and dedication in making ASF a world-class center for SAR data archiving, processing, and discovery. Throughout the year, ASF has provided excellent tools for SAR data analysis, cloud processing, and data discovery recipes. ASF shows a forward-thinking mindset, is eager for UWG input for improvement, and takes UWG inputs seriously.</x:v>
      </x:c>
      <x:c r="E222" s="12" t="str">
        <x:v>The UWG particularly compliments ASF management on their hard work and dedication in making ASF a world-class center for SAR data archiving, processing, and discovery. Throughout the year, ASF has provided excellent tools for SAR data analysis, cloud processing, and data discovery recipes. ASF shows a forward-thinking mindset, is eager for UWG input for improvement, and takes UWG inputs seriously.</x:v>
      </x:c>
      <x:c r="F222" s="12" t="str">
        <x:v>Suggestion</x:v>
      </x:c>
      <x:c r="G222" s="12" t="str">
        <x:v>ASF DAAC User Working Group</x:v>
      </x:c>
      <x:c r="H222" s="12" t="n">
        <x:v>2023</x:v>
      </x:c>
      <x:c r="I222" s="12" t="str">
        <x:v>Cloud-native researchers; Earth science researchers</x:v>
      </x:c>
      <x:c r="J222" s="12" t="str">
        <x:v>Low</x:v>
      </x:c>
      <x:c r="K222" s="16" t="n">
        <x:v>0.75</x:v>
      </x:c>
      <x:c r="L222" s="12" t="str">
        <x:v>LSA similarity cluster; human review pending</x:v>
      </x:c>
      <x:c r="M222" s="12" t="str">
        <x:v>Section: 2.4 Key UWG Suggestions</x:v>
      </x:c>
      <x:c r="N222" s="12" t="str"/>
      <x:c r="O222" s="12" t="str">
        <x:v>No</x:v>
      </x:c>
      <x:c r="P222" s="12" t="str">
        <x:v>No</x:v>
      </x:c>
      <x:c r="Q222" s="12"/>
      <x:c r="R222" s="12"/>
    </x:row>
    <x:row r="223">
      <x:c r="A223" s="12" t="str">
        <x:v>EVD-00222</x:v>
      </x:c>
      <x:c r="B223" s="12" t="str">
        <x:v>NEED-0173</x:v>
      </x:c>
      <x:c r="C223" s="12" t="str">
        <x:v>SRC-0003</x:v>
      </x:c>
      <x:c r="D223" s="12" t="str">
        <x:v>The UWG suggests that ASF further enhances communication with user communities on new tools and functionalities of ASF DAAC and leverages tools and exploration capabilities developed by other DAACs.</x:v>
      </x:c>
      <x:c r="E223" s="12" t="str">
        <x:v>The UWG suggests that ASF further enhances communication with user communities on new tools and functionalities of ASF DAAC and leverages tools and exploration capabilities developed by other DAACs.</x:v>
      </x:c>
      <x:c r="F223" s="12" t="str">
        <x:v>Suggestion</x:v>
      </x:c>
      <x:c r="G223" s="12" t="str">
        <x:v>ASF DAAC User Working Group</x:v>
      </x:c>
      <x:c r="H223" s="12" t="n">
        <x:v>2023</x:v>
      </x:c>
      <x:c r="I223" s="12" t="str">
        <x:v>Earthdata users</x:v>
      </x:c>
      <x:c r="J223" s="12" t="str">
        <x:v>Medium</x:v>
      </x:c>
      <x:c r="K223" s="16" t="n">
        <x:v>0.75</x:v>
      </x:c>
      <x:c r="L223" s="12" t="str">
        <x:v>LSA similarity cluster; human review pending</x:v>
      </x:c>
      <x:c r="M223" s="12" t="str">
        <x:v>Section: 2.4 Key UWG Suggestions</x:v>
      </x:c>
      <x:c r="N223" s="12" t="str"/>
      <x:c r="O223" s="12" t="str">
        <x:v>No</x:v>
      </x:c>
      <x:c r="P223" s="12" t="str">
        <x:v>No</x:v>
      </x:c>
      <x:c r="Q223" s="12"/>
      <x:c r="R223" s="12"/>
    </x:row>
    <x:row r="224">
      <x:c r="A224" s="12" t="str">
        <x:v>EVD-00223</x:v>
      </x:c>
      <x:c r="B224" s="12" t="str">
        <x:v>NEED-0149</x:v>
      </x:c>
      <x:c r="C224" s="12" t="str">
        <x:v>SRC-0003</x:v>
      </x:c>
      <x:c r="D224" s="12" t="str">
        <x:v>The UWG compliments the enhanced collaboration between ASF and JPL in past years. UWG suggests that ASF and JPL continue to work on addressing the potential for duplication of efforts. ASF should be mindful and coordinate the communication and press releases with JPL (particularly on the NISAR launch and related activities) due to the overlap of efforts and responsibilities.</x:v>
      </x:c>
      <x:c r="E224" s="12" t="str">
        <x:v>The UWG compliments the enhanced collaboration between ASF and JPL in past years. UWG suggests that ASF and JPL continue to work on addressing the potential for duplication of efforts. ASF should be mindful and coordinate the communication and press releases with JPL (particularly on the NISAR launch and related activities) due to the overlap of efforts and responsibilities.</x:v>
      </x:c>
      <x:c r="F224" s="12" t="str">
        <x:v>Suggestion</x:v>
      </x:c>
      <x:c r="G224" s="12" t="str">
        <x:v>ASF DAAC User Working Group</x:v>
      </x:c>
      <x:c r="H224" s="12" t="n">
        <x:v>2023</x:v>
      </x:c>
      <x:c r="I224" s="12" t="str">
        <x:v>Earthdata users</x:v>
      </x:c>
      <x:c r="J224" s="12" t="str">
        <x:v>High</x:v>
      </x:c>
      <x:c r="K224" s="16" t="n">
        <x:v>0.75</x:v>
      </x:c>
      <x:c r="L224" s="12" t="str">
        <x:v>LSA similarity cluster; human review pending</x:v>
      </x:c>
      <x:c r="M224" s="12" t="str">
        <x:v>Section: 2.4 Key UWG Suggestions</x:v>
      </x:c>
      <x:c r="N224" s="12" t="str"/>
      <x:c r="O224" s="12" t="str">
        <x:v>No</x:v>
      </x:c>
      <x:c r="P224" s="12" t="str">
        <x:v>No</x:v>
      </x:c>
      <x:c r="Q224" s="12"/>
      <x:c r="R224" s="12"/>
    </x:row>
    <x:row r="225">
      <x:c r="A225" s="12" t="str">
        <x:v>EVD-00224</x:v>
      </x:c>
      <x:c r="B225" s="12" t="str">
        <x:v>NEED-0173</x:v>
      </x:c>
      <x:c r="C225" s="12" t="str">
        <x:v>SRC-0003</x:v>
      </x:c>
      <x:c r="D225" s="12" t="str">
        <x:v>The UWG commends the excellent work on training and outreach already done at ASF. ASF has paid particular attention to and invested in getting students involved in various activities including training and tools development. The UWG suggests that ASF can also leverage support from UWG members to expand the training and outreach efforts.</x:v>
      </x:c>
      <x:c r="E225" s="12" t="str">
        <x:v>The UWG commends the excellent work on training and outreach already done at ASF. ASF has paid particular attention to and invested in getting students involved in various activities including training and tools development. The UWG suggests that ASF can also leverage support from UWG members to expand the training and outreach efforts.</x:v>
      </x:c>
      <x:c r="F225" s="12" t="str">
        <x:v>Suggestion</x:v>
      </x:c>
      <x:c r="G225" s="12" t="str">
        <x:v>ASF DAAC User Working Group</x:v>
      </x:c>
      <x:c r="H225" s="12" t="n">
        <x:v>2023</x:v>
      </x:c>
      <x:c r="I225" s="12" t="str">
        <x:v>Educators and trainers</x:v>
      </x:c>
      <x:c r="J225" s="12" t="str">
        <x:v>High</x:v>
      </x:c>
      <x:c r="K225" s="16" t="n">
        <x:v>0.75</x:v>
      </x:c>
      <x:c r="L225" s="12" t="str">
        <x:v>LSA similarity cluster; human review pending</x:v>
      </x:c>
      <x:c r="M225" s="12" t="str">
        <x:v>Section: 2.4 Key UWG Suggestions</x:v>
      </x:c>
      <x:c r="N225" s="12" t="str"/>
      <x:c r="O225" s="12" t="str">
        <x:v>No</x:v>
      </x:c>
      <x:c r="P225" s="12" t="str">
        <x:v>No</x:v>
      </x:c>
      <x:c r="Q225" s="12"/>
      <x:c r="R225" s="12"/>
    </x:row>
    <x:row r="226">
      <x:c r="A226" s="12" t="str">
        <x:v>EVD-00225</x:v>
      </x:c>
      <x:c r="B226" s="12" t="str">
        <x:v>NEED-0079</x:v>
      </x:c>
      <x:c r="C226" s="12" t="str">
        <x:v>SRC-0003</x:v>
      </x:c>
      <x:c r="D226" s="12" t="str">
        <x:v>The UWG suggests that ASF should gradually transition away from Gamma on non-demand processing capabilities, particularly for the NISAR products, to support NASA’s Open Science initiative.</x:v>
      </x:c>
      <x:c r="E226" s="12" t="str">
        <x:v>The UWG suggests that ASF should gradually transition away from Gamma on non-demand processing capabilities, particularly for the NISAR products, to support NASA’s Open Science initiative.</x:v>
      </x:c>
      <x:c r="F226" s="12" t="str">
        <x:v>Suggestion</x:v>
      </x:c>
      <x:c r="G226" s="12" t="str">
        <x:v>ASF DAAC User Working Group</x:v>
      </x:c>
      <x:c r="H226" s="12" t="n">
        <x:v>2023</x:v>
      </x:c>
      <x:c r="I226" s="12" t="str">
        <x:v>Earthdata users</x:v>
      </x:c>
      <x:c r="J226" s="12" t="str">
        <x:v>High</x:v>
      </x:c>
      <x:c r="K226" s="16" t="n">
        <x:v>0.75</x:v>
      </x:c>
      <x:c r="L226" s="12" t="str">
        <x:v>LSA similarity cluster; human review pending</x:v>
      </x:c>
      <x:c r="M226" s="12" t="str">
        <x:v>Section: 2.4 Key UWG Suggestions</x:v>
      </x:c>
      <x:c r="N226" s="12" t="str"/>
      <x:c r="O226" s="12" t="str">
        <x:v>No</x:v>
      </x:c>
      <x:c r="P226" s="12" t="str">
        <x:v>No</x:v>
      </x:c>
      <x:c r="Q226" s="12"/>
      <x:c r="R226" s="12"/>
    </x:row>
    <x:row r="227">
      <x:c r="A227" s="12" t="str">
        <x:v>EVD-00226</x:v>
      </x:c>
      <x:c r="B227" s="12" t="str">
        <x:v>NEED-0122</x:v>
      </x:c>
      <x:c r="C227" s="12" t="str">
        <x:v>SRC-0003</x:v>
      </x:c>
      <x:c r="D227" s="12" t="str">
        <x:v>Ask Stinger (Gerald) Guala to do a virtual presentation about MAAP, potentially at Nov. UWG.</x:v>
      </x:c>
      <x:c r="E227" s="12" t="str">
        <x:v>Ask Stinger (Gerald) Guala to do a virtual presentation about MAAP, potentially at Nov. UWG.</x:v>
      </x:c>
      <x:c r="F227" s="12" t="str">
        <x:v>Action</x:v>
      </x:c>
      <x:c r="G227" s="12" t="str">
        <x:v>ASF DAAC User Working Group</x:v>
      </x:c>
      <x:c r="H227" s="12" t="n">
        <x:v>2023</x:v>
      </x:c>
      <x:c r="I227" s="12" t="str">
        <x:v>Earthdata users</x:v>
      </x:c>
      <x:c r="J227" s="12" t="str">
        <x:v>Medium</x:v>
      </x:c>
      <x:c r="K227" s="16" t="n">
        <x:v>0.75</x:v>
      </x:c>
      <x:c r="L227" s="12" t="str">
        <x:v>LSA similarity cluster; human review pending</x:v>
      </x:c>
      <x:c r="M227" s="12" t="str">
        <x:v>Section: 2.7 Action Items; table row 2</x:v>
      </x:c>
      <x:c r="N227" s="12" t="str"/>
      <x:c r="O227" s="12" t="str">
        <x:v>No</x:v>
      </x:c>
      <x:c r="P227" s="12" t="str">
        <x:v>No</x:v>
      </x:c>
      <x:c r="Q227" s="12"/>
      <x:c r="R227" s="12"/>
    </x:row>
    <x:row r="228">
      <x:c r="A228" s="12" t="str">
        <x:v>EVD-00227</x:v>
      </x:c>
      <x:c r="B228" s="12" t="str">
        <x:v>NEED-0121</x:v>
      </x:c>
      <x:c r="C228" s="12" t="str">
        <x:v>SRC-0003</x:v>
      </x:c>
      <x:c r="D228" s="12" t="str">
        <x:v>Create a consolidated list of educational resources for NISAR and SAR in general.</x:v>
      </x:c>
      <x:c r="E228" s="12" t="str">
        <x:v>Create a consolidated list of educational resources for NISAR and SAR in general.</x:v>
      </x:c>
      <x:c r="F228" s="12" t="str">
        <x:v>Action</x:v>
      </x:c>
      <x:c r="G228" s="12" t="str">
        <x:v>ASF DAAC User Working Group</x:v>
      </x:c>
      <x:c r="H228" s="12" t="n">
        <x:v>2023</x:v>
      </x:c>
      <x:c r="I228" s="12" t="str">
        <x:v>Educators and trainers</x:v>
      </x:c>
      <x:c r="J228" s="12" t="str">
        <x:v>High</x:v>
      </x:c>
      <x:c r="K228" s="16" t="n">
        <x:v>0.75</x:v>
      </x:c>
      <x:c r="L228" s="12" t="str">
        <x:v>LSA similarity cluster; human review pending</x:v>
      </x:c>
      <x:c r="M228" s="12" t="str">
        <x:v>Section: 2.7 Action Items; table row 3</x:v>
      </x:c>
      <x:c r="N228" s="12" t="str"/>
      <x:c r="O228" s="12" t="str">
        <x:v>No</x:v>
      </x:c>
      <x:c r="P228" s="12" t="str">
        <x:v>No</x:v>
      </x:c>
      <x:c r="Q228" s="12"/>
      <x:c r="R228" s="12"/>
    </x:row>
    <x:row r="229">
      <x:c r="A229" s="12" t="str">
        <x:v>EVD-00228</x:v>
      </x:c>
      <x:c r="B229" s="12" t="str">
        <x:v>NEED-0082</x:v>
      </x:c>
      <x:c r="C229" s="12" t="str">
        <x:v>SRC-0003</x:v>
      </x:c>
      <x:c r="D229" s="12" t="str">
        <x:v>Identify visualizations for OPERA and NISAR L2+ products.</x:v>
      </x:c>
      <x:c r="E229" s="12" t="str">
        <x:v>Identify visualizations for OPERA and NISAR L2+ products.</x:v>
      </x:c>
      <x:c r="F229" s="12" t="str">
        <x:v>Action</x:v>
      </x:c>
      <x:c r="G229" s="12" t="str">
        <x:v>ASF DAAC User Working Group</x:v>
      </x:c>
      <x:c r="H229" s="12" t="n">
        <x:v>2023</x:v>
      </x:c>
      <x:c r="I229" s="12" t="str">
        <x:v>Earthdata users</x:v>
      </x:c>
      <x:c r="J229" s="12" t="str">
        <x:v>Medium</x:v>
      </x:c>
      <x:c r="K229" s="16" t="n">
        <x:v>0.75</x:v>
      </x:c>
      <x:c r="L229" s="12" t="str">
        <x:v>LSA similarity cluster; human review pending</x:v>
      </x:c>
      <x:c r="M229" s="12" t="str">
        <x:v>Section: 2.7 Action Items; table row 4</x:v>
      </x:c>
      <x:c r="N229" s="12" t="str"/>
      <x:c r="O229" s="12" t="str">
        <x:v>No</x:v>
      </x:c>
      <x:c r="P229" s="12" t="str">
        <x:v>No</x:v>
      </x:c>
      <x:c r="Q229" s="12"/>
      <x:c r="R229" s="12"/>
    </x:row>
    <x:row r="230">
      <x:c r="A230" s="12" t="str">
        <x:v>EVD-00229</x:v>
      </x:c>
      <x:c r="B230" s="12" t="str">
        <x:v>NEED-0098</x:v>
      </x:c>
      <x:c r="C230" s="12" t="str">
        <x:v>SRC-0003</x:v>
      </x:c>
      <x:c r="D230" s="12" t="str">
        <x:v>SEDAC and HazPop: identify collaboration opportunities.</x:v>
      </x:c>
      <x:c r="E230" s="12" t="str">
        <x:v>SEDAC and HazPop: identify collaboration opportunities.</x:v>
      </x:c>
      <x:c r="F230" s="12" t="str">
        <x:v>Action</x:v>
      </x:c>
      <x:c r="G230" s="12" t="str">
        <x:v>ASF DAAC User Working Group</x:v>
      </x:c>
      <x:c r="H230" s="12" t="n">
        <x:v>2023</x:v>
      </x:c>
      <x:c r="I230" s="12" t="str">
        <x:v>Earthdata users</x:v>
      </x:c>
      <x:c r="J230" s="12" t="str">
        <x:v>Medium</x:v>
      </x:c>
      <x:c r="K230" s="16" t="n">
        <x:v>0.75</x:v>
      </x:c>
      <x:c r="L230" s="12" t="str">
        <x:v>LSA similarity cluster; human review pending</x:v>
      </x:c>
      <x:c r="M230" s="12" t="str">
        <x:v>Section: 2.7 Action Items; table row 5</x:v>
      </x:c>
      <x:c r="N230" s="12" t="str"/>
      <x:c r="O230" s="12" t="str">
        <x:v>No</x:v>
      </x:c>
      <x:c r="P230" s="12" t="str">
        <x:v>No</x:v>
      </x:c>
      <x:c r="Q230" s="12"/>
      <x:c r="R230" s="12"/>
    </x:row>
    <x:row r="231">
      <x:c r="A231" s="12" t="str">
        <x:v>EVD-00230</x:v>
      </x:c>
      <x:c r="B231" s="12" t="str">
        <x:v>NEED-0141</x:v>
      </x:c>
      <x:c r="C231" s="12" t="str">
        <x:v>SRC-0003</x:v>
      </x:c>
      <x:c r="D231" s="12" t="str">
        <x:v>Transparent browse in Vertex.</x:v>
      </x:c>
      <x:c r="E231" s="12" t="str">
        <x:v>Transparent browse in Vertex.</x:v>
      </x:c>
      <x:c r="F231" s="12" t="str">
        <x:v>Action</x:v>
      </x:c>
      <x:c r="G231" s="12" t="str">
        <x:v>ASF DAAC User Working Group</x:v>
      </x:c>
      <x:c r="H231" s="12" t="n">
        <x:v>2023</x:v>
      </x:c>
      <x:c r="I231" s="12" t="str">
        <x:v>Earthdata users</x:v>
      </x:c>
      <x:c r="J231" s="12" t="str">
        <x:v>Medium</x:v>
      </x:c>
      <x:c r="K231" s="16" t="n">
        <x:v>0.75</x:v>
      </x:c>
      <x:c r="L231" s="12" t="str">
        <x:v>LSA similarity cluster; human review pending</x:v>
      </x:c>
      <x:c r="M231" s="12" t="str">
        <x:v>Section: 2.7 Action Items; table row 6</x:v>
      </x:c>
      <x:c r="N231" s="12" t="str"/>
      <x:c r="O231" s="12" t="str">
        <x:v>No</x:v>
      </x:c>
      <x:c r="P231" s="12" t="str">
        <x:v>No</x:v>
      </x:c>
      <x:c r="Q231" s="12"/>
      <x:c r="R231" s="12"/>
    </x:row>
    <x:row r="232">
      <x:c r="A232" s="12" t="str">
        <x:v>EVD-00231</x:v>
      </x:c>
      <x:c r="B232" s="12" t="str">
        <x:v>NEED-0152</x:v>
      </x:c>
      <x:c r="C232" s="12" t="str">
        <x:v>SRC-0003</x:v>
      </x:c>
      <x:c r="D232" s="12" t="str">
        <x:v>Expand outreach: newsletter, additional languages…updates (email? – one paragraph); sprint reviews?...keep it quick</x:v>
      </x:c>
      <x:c r="E232" s="12" t="str">
        <x:v>Expand outreach: newsletter, additional languages…updates (email? – one paragraph); sprint reviews?...keep it quick</x:v>
      </x:c>
      <x:c r="F232" s="12" t="str">
        <x:v>Action</x:v>
      </x:c>
      <x:c r="G232" s="12" t="str">
        <x:v>ASF DAAC User Working Group</x:v>
      </x:c>
      <x:c r="H232" s="12" t="n">
        <x:v>2023</x:v>
      </x:c>
      <x:c r="I232" s="12" t="str">
        <x:v>Earthdata users</x:v>
      </x:c>
      <x:c r="J232" s="12" t="str">
        <x:v>High</x:v>
      </x:c>
      <x:c r="K232" s="16" t="n">
        <x:v>0.75</x:v>
      </x:c>
      <x:c r="L232" s="12" t="str">
        <x:v>LSA similarity cluster; human review pending</x:v>
      </x:c>
      <x:c r="M232" s="12" t="str">
        <x:v>Section: 2.7 Action Items; table row 7</x:v>
      </x:c>
      <x:c r="N232" s="12" t="str"/>
      <x:c r="O232" s="12" t="str">
        <x:v>No</x:v>
      </x:c>
      <x:c r="P232" s="12" t="str">
        <x:v>No</x:v>
      </x:c>
      <x:c r="Q232" s="12"/>
      <x:c r="R232" s="12"/>
    </x:row>
    <x:row r="233">
      <x:c r="A233" s="12" t="str">
        <x:v>EVD-00232</x:v>
      </x:c>
      <x:c r="B233" s="12" t="str">
        <x:v>NEED-0058</x:v>
      </x:c>
      <x:c r="C233" s="12" t="str">
        <x:v>SRC-0003</x:v>
      </x:c>
      <x:c r="D233" s="12" t="str">
        <x:v>Wave mode / ocean searches / wind speed? Do not display the browse images in color in Vertex. Reach out to Ralph to get a better understanding of how ASF can improve our services for that community.</x:v>
      </x:c>
      <x:c r="E233" s="12" t="str">
        <x:v>Wave mode / ocean searches / wind speed? Do not display the browse images in color in Vertex. Reach out to Ralph to get a better understanding of how ASF can improve our services for that community.</x:v>
      </x:c>
      <x:c r="F233" s="12" t="str">
        <x:v>Action</x:v>
      </x:c>
      <x:c r="G233" s="12" t="str">
        <x:v>ASF DAAC User Working Group</x:v>
      </x:c>
      <x:c r="H233" s="12" t="n">
        <x:v>2023</x:v>
      </x:c>
      <x:c r="I233" s="12" t="str">
        <x:v>Earthdata users</x:v>
      </x:c>
      <x:c r="J233" s="12" t="str">
        <x:v>High</x:v>
      </x:c>
      <x:c r="K233" s="16" t="n">
        <x:v>0.75</x:v>
      </x:c>
      <x:c r="L233" s="12" t="str">
        <x:v>LSA similarity cluster; human review pending</x:v>
      </x:c>
      <x:c r="M233" s="12" t="str">
        <x:v>Section: 2.7 Action Items; table row 8</x:v>
      </x:c>
      <x:c r="N233" s="12" t="str"/>
      <x:c r="O233" s="12" t="str">
        <x:v>No</x:v>
      </x:c>
      <x:c r="P233" s="12" t="str">
        <x:v>No</x:v>
      </x:c>
      <x:c r="Q233" s="12"/>
      <x:c r="R233" s="12"/>
    </x:row>
    <x:row r="234">
      <x:c r="A234" s="12" t="str">
        <x:v>EVD-00233</x:v>
      </x:c>
      <x:c r="B234" s="12" t="str">
        <x:v>NEED-0141</x:v>
      </x:c>
      <x:c r="C234" s="12" t="str">
        <x:v>SRC-0003</x:v>
      </x:c>
      <x:c r="D234" s="12" t="str">
        <x:v>Consider change color browse for S1 to use B &amp; W over the ocean, color over land.</x:v>
      </x:c>
      <x:c r="E234" s="12" t="str">
        <x:v>Consider change color browse for S1 to use B &amp; W over the ocean, color over land.</x:v>
      </x:c>
      <x:c r="F234" s="12" t="str">
        <x:v>Action</x:v>
      </x:c>
      <x:c r="G234" s="12" t="str">
        <x:v>ASF DAAC User Working Group</x:v>
      </x:c>
      <x:c r="H234" s="12" t="n">
        <x:v>2023</x:v>
      </x:c>
      <x:c r="I234" s="12" t="str">
        <x:v>Earthdata users</x:v>
      </x:c>
      <x:c r="J234" s="12" t="str">
        <x:v>High</x:v>
      </x:c>
      <x:c r="K234" s="16" t="n">
        <x:v>0.75</x:v>
      </x:c>
      <x:c r="L234" s="12" t="str">
        <x:v>LSA similarity cluster; human review pending</x:v>
      </x:c>
      <x:c r="M234" s="12" t="str">
        <x:v>Section: 2.7 Action Items; table row 9</x:v>
      </x:c>
      <x:c r="N234" s="12" t="str"/>
      <x:c r="O234" s="12" t="str">
        <x:v>No</x:v>
      </x:c>
      <x:c r="P234" s="12" t="str">
        <x:v>No</x:v>
      </x:c>
      <x:c r="Q234" s="12"/>
      <x:c r="R234" s="12"/>
    </x:row>
    <x:row r="235">
      <x:c r="A235" s="12" t="str">
        <x:v>EVD-00234</x:v>
      </x:c>
      <x:c r="B235" s="12" t="str">
        <x:v>NEED-0035</x:v>
      </x:c>
      <x:c r="C235" s="12" t="str">
        <x:v>SRC-0003</x:v>
      </x:c>
      <x:c r="D235" s="12" t="str">
        <x:v>Reach out to ESA, NSG about decreasing latency with S1.</x:v>
      </x:c>
      <x:c r="E235" s="12" t="str">
        <x:v>Reach out to ESA, NSG about decreasing latency with S1.</x:v>
      </x:c>
      <x:c r="F235" s="12" t="str">
        <x:v>Action</x:v>
      </x:c>
      <x:c r="G235" s="12" t="str">
        <x:v>ASF DAAC User Working Group</x:v>
      </x:c>
      <x:c r="H235" s="12" t="n">
        <x:v>2023</x:v>
      </x:c>
      <x:c r="I235" s="12" t="str">
        <x:v>Earthdata users</x:v>
      </x:c>
      <x:c r="J235" s="12" t="str">
        <x:v>Medium</x:v>
      </x:c>
      <x:c r="K235" s="16" t="n">
        <x:v>0.75</x:v>
      </x:c>
      <x:c r="L235" s="12" t="str">
        <x:v>LSA similarity cluster; human review pending</x:v>
      </x:c>
      <x:c r="M235" s="12" t="str">
        <x:v>Section: 2.7 Action Items; table row 10</x:v>
      </x:c>
      <x:c r="N235" s="12" t="str"/>
      <x:c r="O235" s="12" t="str">
        <x:v>No</x:v>
      </x:c>
      <x:c r="P235" s="12" t="str">
        <x:v>No</x:v>
      </x:c>
      <x:c r="Q235" s="12"/>
      <x:c r="R235" s="12"/>
    </x:row>
    <x:row r="236">
      <x:c r="A236" s="12" t="str">
        <x:v>EVD-00235</x:v>
      </x:c>
      <x:c r="B236" s="12" t="str">
        <x:v>NEED-0048</x:v>
      </x:c>
      <x:c r="C236" s="12" t="str">
        <x:v>SRC-0003</x:v>
      </x:c>
      <x:c r="D236" s="12" t="str">
        <x:v>Identify opportunities to provide SWOT data in Vertex, e.g., land. Explore opportunities to work with PO.DAAC on SWOT search/discover tools.</x:v>
      </x:c>
      <x:c r="E236" s="12" t="str">
        <x:v>Identify opportunities to provide SWOT data in Vertex, e.g., land. Explore opportunities to work with PO.DAAC on SWOT search/discover tools.</x:v>
      </x:c>
      <x:c r="F236" s="12" t="str">
        <x:v>Action</x:v>
      </x:c>
      <x:c r="G236" s="12" t="str">
        <x:v>ASF DAAC User Working Group</x:v>
      </x:c>
      <x:c r="H236" s="12" t="n">
        <x:v>2023</x:v>
      </x:c>
      <x:c r="I236" s="12" t="str">
        <x:v>Earthdata users</x:v>
      </x:c>
      <x:c r="J236" s="12" t="str">
        <x:v>High</x:v>
      </x:c>
      <x:c r="K236" s="16" t="n">
        <x:v>0.75</x:v>
      </x:c>
      <x:c r="L236" s="12" t="str">
        <x:v>LSA similarity cluster; human review pending</x:v>
      </x:c>
      <x:c r="M236" s="12" t="str">
        <x:v>Section: 2.7 Action Items; table row 11</x:v>
      </x:c>
      <x:c r="N236" s="12" t="str"/>
      <x:c r="O236" s="12" t="str">
        <x:v>No</x:v>
      </x:c>
      <x:c r="P236" s="12" t="str">
        <x:v>No</x:v>
      </x:c>
      <x:c r="Q236" s="12"/>
      <x:c r="R236" s="12"/>
    </x:row>
    <x:row r="237">
      <x:c r="A237" s="12" t="str">
        <x:v>EVD-00236</x:v>
      </x:c>
      <x:c r="B237" s="12" t="str">
        <x:v>NEED-0121</x:v>
      </x:c>
      <x:c r="C237" s="12" t="str">
        <x:v>SRC-0003</x:v>
      </x:c>
      <x:c r="D237" s="12" t="str">
        <x:v>Schedule SWOT talk for ASF.</x:v>
      </x:c>
      <x:c r="E237" s="12" t="str">
        <x:v>Schedule SWOT talk for ASF.</x:v>
      </x:c>
      <x:c r="F237" s="12" t="str">
        <x:v>Action</x:v>
      </x:c>
      <x:c r="G237" s="12" t="str">
        <x:v>ASF DAAC User Working Group</x:v>
      </x:c>
      <x:c r="H237" s="12" t="n">
        <x:v>2023</x:v>
      </x:c>
      <x:c r="I237" s="12" t="str">
        <x:v>Earthdata users</x:v>
      </x:c>
      <x:c r="J237" s="12" t="str">
        <x:v>Medium</x:v>
      </x:c>
      <x:c r="K237" s="16" t="n">
        <x:v>0.75</x:v>
      </x:c>
      <x:c r="L237" s="12" t="str">
        <x:v>LSA similarity cluster; human review pending</x:v>
      </x:c>
      <x:c r="M237" s="12" t="str">
        <x:v>Section: 2.7 Action Items; table row 12</x:v>
      </x:c>
      <x:c r="N237" s="12" t="str"/>
      <x:c r="O237" s="12" t="str">
        <x:v>No</x:v>
      </x:c>
      <x:c r="P237" s="12" t="str">
        <x:v>No</x:v>
      </x:c>
      <x:c r="Q237" s="12"/>
      <x:c r="R237" s="12"/>
    </x:row>
    <x:row r="238">
      <x:c r="A238" s="12" t="str">
        <x:v>EVD-00237</x:v>
      </x:c>
      <x:c r="B238" s="12" t="str">
        <x:v>NEED-0138</x:v>
      </x:c>
      <x:c r="C238" s="12" t="str">
        <x:v>SRC-0003</x:v>
      </x:c>
      <x:c r="D238" s="12" t="str">
        <x:v>Action for us to confirm with ESA the RTC resolution and justification. ESA intends 10M RTC. Continue the dialogue to ensure future compatibility.</x:v>
      </x:c>
      <x:c r="E238" s="12" t="str">
        <x:v>Action for us to confirm with ESA the RTC resolution and justification. ESA intends 10M RTC. Continue the dialogue to ensure future compatibility.</x:v>
      </x:c>
      <x:c r="F238" s="12" t="str">
        <x:v>Action</x:v>
      </x:c>
      <x:c r="G238" s="12" t="str">
        <x:v>ASF DAAC User Working Group</x:v>
      </x:c>
      <x:c r="H238" s="12" t="n">
        <x:v>2023</x:v>
      </x:c>
      <x:c r="I238" s="12" t="str">
        <x:v>Earthdata users</x:v>
      </x:c>
      <x:c r="J238" s="12" t="str">
        <x:v>High</x:v>
      </x:c>
      <x:c r="K238" s="16" t="n">
        <x:v>0.75</x:v>
      </x:c>
      <x:c r="L238" s="12" t="str">
        <x:v>LSA similarity cluster; human review pending</x:v>
      </x:c>
      <x:c r="M238" s="12" t="str">
        <x:v>Section: 2.7 Action Items; table row 13</x:v>
      </x:c>
      <x:c r="N238" s="12" t="str"/>
      <x:c r="O238" s="12" t="str">
        <x:v>No</x:v>
      </x:c>
      <x:c r="P238" s="12" t="str">
        <x:v>No</x:v>
      </x:c>
      <x:c r="Q238" s="12"/>
      <x:c r="R238" s="12"/>
    </x:row>
    <x:row r="239">
      <x:c r="A239" s="12" t="str">
        <x:v>EVD-00238</x:v>
      </x:c>
      <x:c r="B239" s="12" t="str">
        <x:v>NEED-0129</x:v>
      </x:c>
      <x:c r="C239" s="12" t="str">
        <x:v>SRC-0003</x:v>
      </x:c>
      <x:c r="D239" s="12" t="str">
        <x:v>OPERA and ASF to engage with community to evaluate different resolutions.</x:v>
      </x:c>
      <x:c r="E239" s="12" t="str">
        <x:v>OPERA and ASF to engage with community to evaluate different resolutions.</x:v>
      </x:c>
      <x:c r="F239" s="12" t="str">
        <x:v>Action</x:v>
      </x:c>
      <x:c r="G239" s="12" t="str">
        <x:v>ASF DAAC User Working Group</x:v>
      </x:c>
      <x:c r="H239" s="12" t="n">
        <x:v>2023</x:v>
      </x:c>
      <x:c r="I239" s="12" t="str">
        <x:v>Earthdata users</x:v>
      </x:c>
      <x:c r="J239" s="12" t="str">
        <x:v>Medium</x:v>
      </x:c>
      <x:c r="K239" s="16" t="n">
        <x:v>0.75</x:v>
      </x:c>
      <x:c r="L239" s="12" t="str">
        <x:v>LSA similarity cluster; human review pending</x:v>
      </x:c>
      <x:c r="M239" s="12" t="str">
        <x:v>Section: 2.7 Action Items; table row 14</x:v>
      </x:c>
      <x:c r="N239" s="12" t="str"/>
      <x:c r="O239" s="12" t="str">
        <x:v>No</x:v>
      </x:c>
      <x:c r="P239" s="12" t="str">
        <x:v>No</x:v>
      </x:c>
      <x:c r="Q239" s="12"/>
      <x:c r="R239" s="12"/>
    </x:row>
    <x:row r="240">
      <x:c r="A240" s="12" t="str">
        <x:v>EVD-00239</x:v>
      </x:c>
      <x:c r="B240" s="12" t="str">
        <x:v>NEED-0142</x:v>
      </x:c>
      <x:c r="C240" s="12" t="str">
        <x:v>SRC-0003</x:v>
      </x:c>
      <x:c r="D240" s="12" t="str">
        <x:v>Attend Association of State Geologists Meeting (next years will be in Park City, UT)</x:v>
      </x:c>
      <x:c r="E240" s="12" t="str">
        <x:v>Attend Association of State Geologists Meeting (next years will be in Park City, UT)</x:v>
      </x:c>
      <x:c r="F240" s="12" t="str">
        <x:v>Action</x:v>
      </x:c>
      <x:c r="G240" s="12" t="str">
        <x:v>ASF DAAC User Working Group</x:v>
      </x:c>
      <x:c r="H240" s="12" t="n">
        <x:v>2023</x:v>
      </x:c>
      <x:c r="I240" s="12" t="str">
        <x:v>GIS users</x:v>
      </x:c>
      <x:c r="J240" s="12" t="str">
        <x:v>Medium</x:v>
      </x:c>
      <x:c r="K240" s="16" t="n">
        <x:v>0.75</x:v>
      </x:c>
      <x:c r="L240" s="12" t="str">
        <x:v>LSA similarity cluster; human review pending</x:v>
      </x:c>
      <x:c r="M240" s="12" t="str">
        <x:v>Section: 2.7 Action Items; table row 15</x:v>
      </x:c>
      <x:c r="N240" s="12" t="str"/>
      <x:c r="O240" s="12" t="str">
        <x:v>No</x:v>
      </x:c>
      <x:c r="P240" s="12" t="str">
        <x:v>No</x:v>
      </x:c>
      <x:c r="Q240" s="12"/>
      <x:c r="R240" s="12"/>
    </x:row>
    <x:row r="241">
      <x:c r="A241" s="12" t="str">
        <x:v>EVD-00240</x:v>
      </x:c>
      <x:c r="B241" s="12" t="str">
        <x:v>NEED-0027</x:v>
      </x:c>
      <x:c r="C241" s="12" t="str">
        <x:v>SRC-0003</x:v>
      </x:c>
      <x:c r="D241" s="12" t="str">
        <x:v>Explore working with WinSAR to gain access to ERS-1 &amp; 2 data products. Talk to them soon before December.</x:v>
      </x:c>
      <x:c r="E241" s="12" t="str">
        <x:v>Explore working with WinSAR to gain access to ERS-1 &amp; 2 data products. Talk to them soon before December.</x:v>
      </x:c>
      <x:c r="F241" s="12" t="str">
        <x:v>Action</x:v>
      </x:c>
      <x:c r="G241" s="12" t="str">
        <x:v>ASF DAAC User Working Group</x:v>
      </x:c>
      <x:c r="H241" s="12" t="n">
        <x:v>2023</x:v>
      </x:c>
      <x:c r="I241" s="12" t="str">
        <x:v>Earthdata users</x:v>
      </x:c>
      <x:c r="J241" s="12" t="str">
        <x:v>Medium</x:v>
      </x:c>
      <x:c r="K241" s="16" t="n">
        <x:v>0.75</x:v>
      </x:c>
      <x:c r="L241" s="12" t="str">
        <x:v>LSA similarity cluster; human review pending</x:v>
      </x:c>
      <x:c r="M241" s="12" t="str">
        <x:v>Section: 2.7 Action Items; table row 16</x:v>
      </x:c>
      <x:c r="N241" s="12" t="str"/>
      <x:c r="O241" s="12" t="str">
        <x:v>No</x:v>
      </x:c>
      <x:c r="P241" s="12" t="str">
        <x:v>No</x:v>
      </x:c>
      <x:c r="Q241" s="12"/>
      <x:c r="R241" s="12"/>
    </x:row>
    <x:row r="242">
      <x:c r="A242" s="12" t="str">
        <x:v>EVD-00241</x:v>
      </x:c>
      <x:c r="B242" s="12" t="str">
        <x:v>NEED-0053</x:v>
      </x:c>
      <x:c r="C242" s="12" t="str">
        <x:v>SRC-0003</x:v>
      </x:c>
      <x:c r="D242" s="12" t="str">
        <x:v>Sharing code in OSL and Hyp3 is hard: continue to work on. Video tutorials &amp; better curation and search for notebooks within OSL.</x:v>
      </x:c>
      <x:c r="E242" s="12" t="str">
        <x:v>Sharing code in OSL and Hyp3 is hard: continue to work on. Video tutorials &amp; better curation and search for notebooks within OSL.</x:v>
      </x:c>
      <x:c r="F242" s="12" t="str">
        <x:v>Action</x:v>
      </x:c>
      <x:c r="G242" s="12" t="str">
        <x:v>ASF DAAC User Working Group</x:v>
      </x:c>
      <x:c r="H242" s="12" t="n">
        <x:v>2023</x:v>
      </x:c>
      <x:c r="I242" s="12" t="str">
        <x:v>Application developers; Educators and trainers</x:v>
      </x:c>
      <x:c r="J242" s="12" t="str">
        <x:v>High</x:v>
      </x:c>
      <x:c r="K242" s="16" t="n">
        <x:v>0.75</x:v>
      </x:c>
      <x:c r="L242" s="12" t="str">
        <x:v>LSA similarity cluster; human review pending</x:v>
      </x:c>
      <x:c r="M242" s="12" t="str">
        <x:v>Section: 2.7 Action Items; table row 18</x:v>
      </x:c>
      <x:c r="N242" s="12" t="str"/>
      <x:c r="O242" s="12" t="str">
        <x:v>No</x:v>
      </x:c>
      <x:c r="P242" s="12" t="str">
        <x:v>No</x:v>
      </x:c>
      <x:c r="Q242" s="12"/>
      <x:c r="R242" s="12"/>
    </x:row>
    <x:row r="243">
      <x:c r="A243" s="12" t="str">
        <x:v>EVD-00242</x:v>
      </x:c>
      <x:c r="B243" s="12" t="str">
        <x:v>NEED-0144</x:v>
      </x:c>
      <x:c r="C243" s="12" t="str">
        <x:v>SRC-0003</x:v>
      </x:c>
      <x:c r="D243" s="12" t="str">
        <x:v>Attach shuttle photographs to SIR-C data products (Steve has them on his website as well).</x:v>
      </x:c>
      <x:c r="E243" s="12" t="str">
        <x:v>Attach shuttle photographs to SIR-C data products (Steve has them on his website as well).</x:v>
      </x:c>
      <x:c r="F243" s="12" t="str">
        <x:v>Action</x:v>
      </x:c>
      <x:c r="G243" s="12" t="str">
        <x:v>ASF DAAC User Working Group</x:v>
      </x:c>
      <x:c r="H243" s="12" t="n">
        <x:v>2023</x:v>
      </x:c>
      <x:c r="I243" s="12" t="str">
        <x:v>Earthdata users</x:v>
      </x:c>
      <x:c r="J243" s="12" t="str">
        <x:v>Medium</x:v>
      </x:c>
      <x:c r="K243" s="16" t="n">
        <x:v>0.75</x:v>
      </x:c>
      <x:c r="L243" s="12" t="str">
        <x:v>LSA similarity cluster; human review pending</x:v>
      </x:c>
      <x:c r="M243" s="12" t="str">
        <x:v>Section: 2.7 Action Items; table row 19</x:v>
      </x:c>
      <x:c r="N243" s="12" t="str"/>
      <x:c r="O243" s="12" t="str">
        <x:v>No</x:v>
      </x:c>
      <x:c r="P243" s="12" t="str">
        <x:v>No</x:v>
      </x:c>
      <x:c r="Q243" s="12"/>
      <x:c r="R243" s="12"/>
    </x:row>
    <x:row r="244">
      <x:c r="A244" s="12" t="str">
        <x:v>EVD-00243</x:v>
      </x:c>
      <x:c r="B244" s="12" t="str">
        <x:v>NEED-0139</x:v>
      </x:c>
      <x:c r="C244" s="12" t="str">
        <x:v>SRC-0003</x:v>
      </x:c>
      <x:c r="D244" s="12" t="str">
        <x:v>Send an email out to the science community asking if scientists have SIR-A/B/C data. Look at ADMG best practices (Deb Smith).</x:v>
      </x:c>
      <x:c r="E244" s="12" t="str">
        <x:v>Send an email out to the science community asking if scientists have SIR-A/B/C data. Look at ADMG best practices (Deb Smith).</x:v>
      </x:c>
      <x:c r="F244" s="12" t="str">
        <x:v>Action</x:v>
      </x:c>
      <x:c r="G244" s="12" t="str">
        <x:v>ASF DAAC User Working Group</x:v>
      </x:c>
      <x:c r="H244" s="12" t="n">
        <x:v>2023</x:v>
      </x:c>
      <x:c r="I244" s="12" t="str">
        <x:v>Earth science researchers</x:v>
      </x:c>
      <x:c r="J244" s="12" t="str">
        <x:v>Medium</x:v>
      </x:c>
      <x:c r="K244" s="16" t="n">
        <x:v>0.75</x:v>
      </x:c>
      <x:c r="L244" s="12" t="str">
        <x:v>LSA similarity cluster; human review pending</x:v>
      </x:c>
      <x:c r="M244" s="12" t="str">
        <x:v>Section: 2.7 Action Items; table row 20</x:v>
      </x:c>
      <x:c r="N244" s="12" t="str"/>
      <x:c r="O244" s="12" t="str">
        <x:v>No</x:v>
      </x:c>
      <x:c r="P244" s="12" t="str">
        <x:v>No</x:v>
      </x:c>
      <x:c r="Q244" s="12"/>
      <x:c r="R244" s="12"/>
    </x:row>
    <x:row r="245">
      <x:c r="A245" s="12" t="str">
        <x:v>EVD-00244</x:v>
      </x:c>
      <x:c r="B245" s="12" t="str">
        <x:v>NEED-0061</x:v>
      </x:c>
      <x:c r="C245" s="12" t="str">
        <x:v>SRC-0003</x:v>
      </x:c>
      <x:c r="D245" s="12" t="str">
        <x:v>Airbus data: help them get it into CMR and make it more accessible.</x:v>
      </x:c>
      <x:c r="E245" s="12" t="str">
        <x:v>Airbus data: help them get it into CMR and make it more accessible.</x:v>
      </x:c>
      <x:c r="F245" s="12" t="str">
        <x:v>Action</x:v>
      </x:c>
      <x:c r="G245" s="12" t="str">
        <x:v>ASF DAAC User Working Group</x:v>
      </x:c>
      <x:c r="H245" s="12" t="n">
        <x:v>2023</x:v>
      </x:c>
      <x:c r="I245" s="12" t="str">
        <x:v>Earthdata users</x:v>
      </x:c>
      <x:c r="J245" s="12" t="str">
        <x:v>Medium</x:v>
      </x:c>
      <x:c r="K245" s="16" t="n">
        <x:v>0.75</x:v>
      </x:c>
      <x:c r="L245" s="12" t="str">
        <x:v>LSA similarity cluster; human review pending</x:v>
      </x:c>
      <x:c r="M245" s="12" t="str">
        <x:v>Section: 2.7 Action Items; table row 21</x:v>
      </x:c>
      <x:c r="N245" s="12" t="str"/>
      <x:c r="O245" s="12" t="str">
        <x:v>No</x:v>
      </x:c>
      <x:c r="P245" s="12" t="str">
        <x:v>No</x:v>
      </x:c>
      <x:c r="Q245" s="12"/>
      <x:c r="R245" s="12"/>
    </x:row>
    <x:row r="246">
      <x:c r="A246" s="12" t="str">
        <x:v>EVD-00245</x:v>
      </x:c>
      <x:c r="B246" s="12" t="str">
        <x:v>NEED-0173</x:v>
      </x:c>
      <x:c r="C246" s="12" t="str">
        <x:v>SRC-0003</x:v>
      </x:c>
      <x:c r="D246" s="12" t="str">
        <x:v>ASF to speak with Tools team about scoping a sensor agnostic tropospheric correction using the European weather model, and a tool to generate a product/service that could be used by others.</x:v>
      </x:c>
      <x:c r="E246" s="12" t="str">
        <x:v>ASF to speak with Tools team about scoping a sensor agnostic tropospheric correction using the European weather model, and a tool to generate a product/service that could be used by others.</x:v>
      </x:c>
      <x:c r="F246" s="12" t="str">
        <x:v>Action</x:v>
      </x:c>
      <x:c r="G246" s="12" t="str">
        <x:v>ASF DAAC User Working Group</x:v>
      </x:c>
      <x:c r="H246" s="12" t="n">
        <x:v>2023</x:v>
      </x:c>
      <x:c r="I246" s="12" t="str">
        <x:v>Earthdata users</x:v>
      </x:c>
      <x:c r="J246" s="12" t="str">
        <x:v>Medium</x:v>
      </x:c>
      <x:c r="K246" s="16" t="n">
        <x:v>0.75</x:v>
      </x:c>
      <x:c r="L246" s="12" t="str">
        <x:v>LSA similarity cluster; human review pending</x:v>
      </x:c>
      <x:c r="M246" s="12" t="str">
        <x:v>Section: 2.7 Action Items; table row 22</x:v>
      </x:c>
      <x:c r="N246" s="12" t="str"/>
      <x:c r="O246" s="12" t="str">
        <x:v>No</x:v>
      </x:c>
      <x:c r="P246" s="12" t="str">
        <x:v>No</x:v>
      </x:c>
      <x:c r="Q246" s="12"/>
      <x:c r="R246" s="12"/>
    </x:row>
    <x:row r="247">
      <x:c r="A247" s="12" t="str">
        <x:v>EVD-00246</x:v>
      </x:c>
      <x:c r="B247" s="12" t="str">
        <x:v>NEED-0108</x:v>
      </x:c>
      <x:c r="C247" s="12" t="str">
        <x:v>SRC-0003</x:v>
      </x:c>
      <x:c r="D247" s="12" t="str">
        <x:v>ASF to work with the NISAR ST on making the ATBDs useful and available to the public. Also, coordinate with other teams at NASA who might be doing similar efforts, MAAP, VEDA.</x:v>
      </x:c>
      <x:c r="E247" s="12" t="str">
        <x:v>ASF to work with the NISAR ST on making the ATBDs useful and available to the public. Also, coordinate with other teams at NASA who might be doing similar efforts, MAAP, VEDA.</x:v>
      </x:c>
      <x:c r="F247" s="12" t="str">
        <x:v>Action</x:v>
      </x:c>
      <x:c r="G247" s="12" t="str">
        <x:v>ASF DAAC User Working Group</x:v>
      </x:c>
      <x:c r="H247" s="12" t="n">
        <x:v>2023</x:v>
      </x:c>
      <x:c r="I247" s="12" t="str">
        <x:v>Earthdata users</x:v>
      </x:c>
      <x:c r="J247" s="12" t="str">
        <x:v>Medium</x:v>
      </x:c>
      <x:c r="K247" s="16" t="n">
        <x:v>0.75</x:v>
      </x:c>
      <x:c r="L247" s="12" t="str">
        <x:v>LSA similarity cluster; human review pending</x:v>
      </x:c>
      <x:c r="M247" s="12" t="str">
        <x:v>Section: 2.7 Action Items; table row 23</x:v>
      </x:c>
      <x:c r="N247" s="12" t="str"/>
      <x:c r="O247" s="12" t="str">
        <x:v>No</x:v>
      </x:c>
      <x:c r="P247" s="12" t="str">
        <x:v>No</x:v>
      </x:c>
      <x:c r="Q247" s="12"/>
      <x:c r="R247" s="12"/>
    </x:row>
    <x:row r="248">
      <x:c r="A248" s="12" t="str">
        <x:v>EVD-00247</x:v>
      </x:c>
      <x:c r="B248" s="12" t="str">
        <x:v>NEED-0096</x:v>
      </x:c>
      <x:c r="C248" s="12" t="str">
        <x:v>SRC-0003</x:v>
      </x:c>
      <x:c r="D248" s="12" t="str">
        <x:v>Develop strategy for NISAR Urgent Response.</x:v>
      </x:c>
      <x:c r="E248" s="12" t="str">
        <x:v>Develop strategy for NISAR Urgent Response.</x:v>
      </x:c>
      <x:c r="F248" s="12" t="str">
        <x:v>Action</x:v>
      </x:c>
      <x:c r="G248" s="12" t="str">
        <x:v>ASF DAAC User Working Group</x:v>
      </x:c>
      <x:c r="H248" s="12" t="n">
        <x:v>2023</x:v>
      </x:c>
      <x:c r="I248" s="12" t="str">
        <x:v>Earthdata users</x:v>
      </x:c>
      <x:c r="J248" s="12" t="str">
        <x:v>High</x:v>
      </x:c>
      <x:c r="K248" s="16" t="n">
        <x:v>0.75</x:v>
      </x:c>
      <x:c r="L248" s="12" t="str">
        <x:v>LSA similarity cluster; human review pending</x:v>
      </x:c>
      <x:c r="M248" s="12" t="str">
        <x:v>Section: 2.7 Action Items; table row 24</x:v>
      </x:c>
      <x:c r="N248" s="12" t="str"/>
      <x:c r="O248" s="12" t="str">
        <x:v>No</x:v>
      </x:c>
      <x:c r="P248" s="12" t="str">
        <x:v>No</x:v>
      </x:c>
      <x:c r="Q248" s="12"/>
      <x:c r="R248" s="12"/>
    </x:row>
    <x:row r="249">
      <x:c r="A249" s="12" t="str">
        <x:v>EVD-00248</x:v>
      </x:c>
      <x:c r="B249" s="12" t="str">
        <x:v>NEED-0107</x:v>
      </x:c>
      <x:c r="C249" s="12" t="str">
        <x:v>SRC-0003</x:v>
      </x:c>
      <x:c r="D249" s="12" t="str">
        <x:v>Implement ability to subscribe to AOIs in Vertex: notify me when new data is available (cf PO.DAAC)</x:v>
      </x:c>
      <x:c r="E249" s="12" t="str">
        <x:v>Implement ability to subscribe to AOIs in Vertex: notify me when new data is available (cf PO.DAAC)</x:v>
      </x:c>
      <x:c r="F249" s="12" t="str">
        <x:v>Action</x:v>
      </x:c>
      <x:c r="G249" s="12" t="str">
        <x:v>ASF DAAC User Working Group</x:v>
      </x:c>
      <x:c r="H249" s="12" t="n">
        <x:v>2023</x:v>
      </x:c>
      <x:c r="I249" s="12" t="str">
        <x:v>Earthdata users</x:v>
      </x:c>
      <x:c r="J249" s="12" t="str">
        <x:v>Medium</x:v>
      </x:c>
      <x:c r="K249" s="16" t="n">
        <x:v>0.75</x:v>
      </x:c>
      <x:c r="L249" s="12" t="str">
        <x:v>LSA similarity cluster; human review pending</x:v>
      </x:c>
      <x:c r="M249" s="12" t="str">
        <x:v>Section: 2.7 Action Items; table row 25</x:v>
      </x:c>
      <x:c r="N249" s="12" t="str"/>
      <x:c r="O249" s="12" t="str">
        <x:v>No</x:v>
      </x:c>
      <x:c r="P249" s="12" t="str">
        <x:v>No</x:v>
      </x:c>
      <x:c r="Q249" s="12"/>
      <x:c r="R249" s="12"/>
    </x:row>
    <x:row r="250">
      <x:c r="A250" s="12" t="str">
        <x:v>EVD-00249</x:v>
      </x:c>
      <x:c r="B250" s="12" t="str">
        <x:v>NEED-0126</x:v>
      </x:c>
      <x:c r="C250" s="12" t="str">
        <x:v>SRC-0003</x:v>
      </x:c>
      <x:c r="D250" s="12" t="str">
        <x:v>Get with the different science communities (seismology, earthquake, sea ice) about their needs for emergency response with NISAR data. Discuss with Karen Michael.</x:v>
      </x:c>
      <x:c r="E250" s="12" t="str">
        <x:v>Get with the different science communities (seismology, earthquake, sea ice) about their needs for emergency response with NISAR data. Discuss with Karen Michael.</x:v>
      </x:c>
      <x:c r="F250" s="12" t="str">
        <x:v>Action</x:v>
      </x:c>
      <x:c r="G250" s="12" t="str">
        <x:v>ASF DAAC User Working Group</x:v>
      </x:c>
      <x:c r="H250" s="12" t="n">
        <x:v>2023</x:v>
      </x:c>
      <x:c r="I250" s="12" t="str">
        <x:v>Earthdata users</x:v>
      </x:c>
      <x:c r="J250" s="12" t="str">
        <x:v>Medium</x:v>
      </x:c>
      <x:c r="K250" s="16" t="n">
        <x:v>0.75</x:v>
      </x:c>
      <x:c r="L250" s="12" t="str">
        <x:v>LSA similarity cluster; human review pending</x:v>
      </x:c>
      <x:c r="M250" s="12" t="str">
        <x:v>Section: 2.7 Action Items; table row 26</x:v>
      </x:c>
      <x:c r="N250" s="12" t="str"/>
      <x:c r="O250" s="12" t="str">
        <x:v>No</x:v>
      </x:c>
      <x:c r="P250" s="12" t="str">
        <x:v>No</x:v>
      </x:c>
      <x:c r="Q250" s="12"/>
      <x:c r="R250" s="12"/>
    </x:row>
    <x:row r="251">
      <x:c r="A251" s="12" t="str">
        <x:v>EVD-00250</x:v>
      </x:c>
      <x:c r="B251" s="12" t="str">
        <x:v>NEED-0210</x:v>
      </x:c>
      <x:c r="C251" s="12" t="str">
        <x:v>SRC-0003</x:v>
      </x:c>
      <x:c r="D251" s="12" t="str">
        <x:v>Start a new UWG working group on Urgent response…feedback on the NISAR interface/notifications.</x:v>
      </x:c>
      <x:c r="E251" s="12" t="str">
        <x:v>Start a new UWG working group on Urgent response…feedback on the NISAR interface/notifications.</x:v>
      </x:c>
      <x:c r="F251" s="12" t="str">
        <x:v>Action</x:v>
      </x:c>
      <x:c r="G251" s="12" t="str">
        <x:v>ASF DAAC User Working Group</x:v>
      </x:c>
      <x:c r="H251" s="12" t="n">
        <x:v>2023</x:v>
      </x:c>
      <x:c r="I251" s="12" t="str">
        <x:v>Earthdata users</x:v>
      </x:c>
      <x:c r="J251" s="12" t="str">
        <x:v>Medium</x:v>
      </x:c>
      <x:c r="K251" s="16" t="n">
        <x:v>0.75</x:v>
      </x:c>
      <x:c r="L251" s="12" t="str">
        <x:v>LSA similarity cluster; human review pending</x:v>
      </x:c>
      <x:c r="M251" s="12" t="str">
        <x:v>Section: 2.7 Action Items; table row 27</x:v>
      </x:c>
      <x:c r="N251" s="12" t="str"/>
      <x:c r="O251" s="12" t="str">
        <x:v>No</x:v>
      </x:c>
      <x:c r="P251" s="12" t="str">
        <x:v>No</x:v>
      </x:c>
      <x:c r="Q251" s="12"/>
      <x:c r="R251" s="12"/>
    </x:row>
    <x:row r="252">
      <x:c r="A252" s="12" t="str">
        <x:v>EVD-00251</x:v>
      </x:c>
      <x:c r="B252" s="12" t="str">
        <x:v>NEED-0210</x:v>
      </x:c>
      <x:c r="C252" s="12" t="str">
        <x:v>SRC-0003</x:v>
      </x:c>
      <x:c r="D252" s="12" t="str">
        <x:v>Suggestion for ASF Vertex engineering team to meet with a group of users and get the users feedback of Vertex pros and cons.</x:v>
      </x:c>
      <x:c r="E252" s="12" t="str">
        <x:v>Suggestion for ASF Vertex engineering team to meet with a group of users and get the users feedback of Vertex pros and cons.</x:v>
      </x:c>
      <x:c r="F252" s="12" t="str">
        <x:v>Action</x:v>
      </x:c>
      <x:c r="G252" s="12" t="str">
        <x:v>ASF DAAC User Working Group</x:v>
      </x:c>
      <x:c r="H252" s="12" t="n">
        <x:v>2023</x:v>
      </x:c>
      <x:c r="I252" s="12" t="str">
        <x:v>Earthdata users</x:v>
      </x:c>
      <x:c r="J252" s="12" t="str">
        <x:v>Medium</x:v>
      </x:c>
      <x:c r="K252" s="16" t="n">
        <x:v>0.75</x:v>
      </x:c>
      <x:c r="L252" s="12" t="str">
        <x:v>LSA similarity cluster; human review pending</x:v>
      </x:c>
      <x:c r="M252" s="12" t="str">
        <x:v>Section: 2.7 Action Items; table row 28</x:v>
      </x:c>
      <x:c r="N252" s="12" t="str"/>
      <x:c r="O252" s="12" t="str">
        <x:v>No</x:v>
      </x:c>
      <x:c r="P252" s="12" t="str">
        <x:v>No</x:v>
      </x:c>
      <x:c r="Q252" s="12"/>
      <x:c r="R252" s="12"/>
    </x:row>
    <x:row r="253">
      <x:c r="A253" s="12" t="str">
        <x:v>EVD-00252</x:v>
      </x:c>
      <x:c r="B253" s="12" t="str">
        <x:v>NEED-0123</x:v>
      </x:c>
      <x:c r="C253" s="12" t="str">
        <x:v>SRC-0003</x:v>
      </x:c>
      <x:c r="D253" s="12" t="str">
        <x:v>Review the TOPS curriculum.</x:v>
      </x:c>
      <x:c r="E253" s="12" t="str">
        <x:v>Review the TOPS curriculum.</x:v>
      </x:c>
      <x:c r="F253" s="12" t="str">
        <x:v>Action</x:v>
      </x:c>
      <x:c r="G253" s="12" t="str">
        <x:v>ASF DAAC User Working Group</x:v>
      </x:c>
      <x:c r="H253" s="12" t="n">
        <x:v>2023</x:v>
      </x:c>
      <x:c r="I253" s="12" t="str">
        <x:v>Earthdata users</x:v>
      </x:c>
      <x:c r="J253" s="12" t="str">
        <x:v>Medium</x:v>
      </x:c>
      <x:c r="K253" s="16" t="n">
        <x:v>0.75</x:v>
      </x:c>
      <x:c r="L253" s="12" t="str">
        <x:v>LSA similarity cluster; human review pending</x:v>
      </x:c>
      <x:c r="M253" s="12" t="str">
        <x:v>Section: 2.7 Action Items; table row 29</x:v>
      </x:c>
      <x:c r="N253" s="12" t="str"/>
      <x:c r="O253" s="12" t="str">
        <x:v>No</x:v>
      </x:c>
      <x:c r="P253" s="12" t="str">
        <x:v>No</x:v>
      </x:c>
      <x:c r="Q253" s="12"/>
      <x:c r="R253" s="12"/>
    </x:row>
    <x:row r="254">
      <x:c r="A254" s="12" t="str">
        <x:v>EVD-00253</x:v>
      </x:c>
      <x:c r="B254" s="12" t="str">
        <x:v>NEED-0120</x:v>
      </x:c>
      <x:c r="C254" s="12" t="str">
        <x:v>SRC-0003</x:v>
      </x:c>
      <x:c r="D254" s="12" t="str">
        <x:v>Set up a virtual session on Open Science, possibly at next quarterly UWG meeting.</x:v>
      </x:c>
      <x:c r="E254" s="12" t="str">
        <x:v>Set up a virtual session on Open Science, possibly at next quarterly UWG meeting.</x:v>
      </x:c>
      <x:c r="F254" s="12" t="str">
        <x:v>Action</x:v>
      </x:c>
      <x:c r="G254" s="12" t="str">
        <x:v>ASF DAAC User Working Group</x:v>
      </x:c>
      <x:c r="H254" s="12" t="n">
        <x:v>2023</x:v>
      </x:c>
      <x:c r="I254" s="12" t="str">
        <x:v>Earthdata users</x:v>
      </x:c>
      <x:c r="J254" s="12" t="str">
        <x:v>Medium</x:v>
      </x:c>
      <x:c r="K254" s="16" t="n">
        <x:v>0.75</x:v>
      </x:c>
      <x:c r="L254" s="12" t="str">
        <x:v>LSA similarity cluster; human review pending</x:v>
      </x:c>
      <x:c r="M254" s="12" t="str">
        <x:v>Section: 2.7 Action Items; table row 30</x:v>
      </x:c>
      <x:c r="N254" s="12" t="str"/>
      <x:c r="O254" s="12" t="str">
        <x:v>No</x:v>
      </x:c>
      <x:c r="P254" s="12" t="str">
        <x:v>No</x:v>
      </x:c>
      <x:c r="Q254" s="12"/>
      <x:c r="R254" s="12"/>
    </x:row>
    <x:row r="255">
      <x:c r="A255" s="12" t="str">
        <x:v>EVD-00254</x:v>
      </x:c>
      <x:c r="B255" s="12" t="str">
        <x:v>NEED-0103</x:v>
      </x:c>
      <x:c r="C255" s="12" t="str">
        <x:v>SRC-0003</x:v>
      </x:c>
      <x:c r="D255" s="12" t="str">
        <x:v>Engage with ESDIS and the group working to improve DOIs.</x:v>
      </x:c>
      <x:c r="E255" s="12" t="str">
        <x:v>Engage with ESDIS and the group working to improve DOIs.</x:v>
      </x:c>
      <x:c r="F255" s="12" t="str">
        <x:v>Action</x:v>
      </x:c>
      <x:c r="G255" s="12" t="str">
        <x:v>ASF DAAC User Working Group</x:v>
      </x:c>
      <x:c r="H255" s="12" t="n">
        <x:v>2023</x:v>
      </x:c>
      <x:c r="I255" s="12" t="str">
        <x:v>Earthdata users</x:v>
      </x:c>
      <x:c r="J255" s="12" t="str">
        <x:v>High</x:v>
      </x:c>
      <x:c r="K255" s="16" t="n">
        <x:v>0.75</x:v>
      </x:c>
      <x:c r="L255" s="12" t="str">
        <x:v>LSA similarity cluster; human review pending</x:v>
      </x:c>
      <x:c r="M255" s="12" t="str">
        <x:v>Section: 2.7 Action Items; table row 31</x:v>
      </x:c>
      <x:c r="N255" s="12" t="str"/>
      <x:c r="O255" s="12" t="str">
        <x:v>No</x:v>
      </x:c>
      <x:c r="P255" s="12" t="str">
        <x:v>No</x:v>
      </x:c>
      <x:c r="Q255" s="12"/>
      <x:c r="R255" s="12"/>
    </x:row>
    <x:row r="256">
      <x:c r="A256" s="12" t="str">
        <x:v>EVD-00255</x:v>
      </x:c>
      <x:c r="B256" s="12" t="str">
        <x:v>NEED-0120</x:v>
      </x:c>
      <x:c r="C256" s="12" t="str">
        <x:v>SRC-0003</x:v>
      </x:c>
      <x:c r="D256" s="12" t="str">
        <x:v>ASF work with UAF to see if our institution is teaching open-source principles.</x:v>
      </x:c>
      <x:c r="E256" s="12" t="str">
        <x:v>ASF work with UAF to see if our institution is teaching open-source principles.</x:v>
      </x:c>
      <x:c r="F256" s="12" t="str">
        <x:v>Action</x:v>
      </x:c>
      <x:c r="G256" s="12" t="str">
        <x:v>ASF DAAC User Working Group</x:v>
      </x:c>
      <x:c r="H256" s="12" t="n">
        <x:v>2023</x:v>
      </x:c>
      <x:c r="I256" s="12" t="str">
        <x:v>Earthdata users</x:v>
      </x:c>
      <x:c r="J256" s="12" t="str">
        <x:v>Medium</x:v>
      </x:c>
      <x:c r="K256" s="16" t="n">
        <x:v>0.75</x:v>
      </x:c>
      <x:c r="L256" s="12" t="str">
        <x:v>LSA similarity cluster; human review pending</x:v>
      </x:c>
      <x:c r="M256" s="12" t="str">
        <x:v>Section: 2.7 Action Items; table row 32</x:v>
      </x:c>
      <x:c r="N256" s="12" t="str"/>
      <x:c r="O256" s="12" t="str">
        <x:v>No</x:v>
      </x:c>
      <x:c r="P256" s="12" t="str">
        <x:v>No</x:v>
      </x:c>
      <x:c r="Q256" s="12"/>
      <x:c r="R256" s="12"/>
    </x:row>
    <x:row r="257">
      <x:c r="A257" s="12" t="str">
        <x:v>EVD-00256</x:v>
      </x:c>
      <x:c r="B257" s="12" t="str">
        <x:v>NEED-0104</x:v>
      </x:c>
      <x:c r="C257" s="12" t="str">
        <x:v>SRC-0003</x:v>
      </x:c>
      <x:c r="D257" s="12" t="str">
        <x:v>Create a heat map for GUNW, of the locations that are covered and where to get the data, regularly updated and needs a DOI.</x:v>
      </x:c>
      <x:c r="E257" s="12" t="str">
        <x:v>Create a heat map for GUNW, of the locations that are covered and where to get the data, regularly updated and needs a DOI.</x:v>
      </x:c>
      <x:c r="F257" s="12" t="str">
        <x:v>Action</x:v>
      </x:c>
      <x:c r="G257" s="12" t="str">
        <x:v>ASF DAAC User Working Group</x:v>
      </x:c>
      <x:c r="H257" s="12" t="n">
        <x:v>2023</x:v>
      </x:c>
      <x:c r="I257" s="12" t="str">
        <x:v>Earthdata users</x:v>
      </x:c>
      <x:c r="J257" s="12" t="str">
        <x:v>High</x:v>
      </x:c>
      <x:c r="K257" s="16" t="n">
        <x:v>0.75</x:v>
      </x:c>
      <x:c r="L257" s="12" t="str">
        <x:v>LSA similarity cluster; human review pending</x:v>
      </x:c>
      <x:c r="M257" s="12" t="str">
        <x:v>Section: 2.7 Action Items; table row 33</x:v>
      </x:c>
      <x:c r="N257" s="12" t="str"/>
      <x:c r="O257" s="12" t="str">
        <x:v>No</x:v>
      </x:c>
      <x:c r="P257" s="12" t="str">
        <x:v>No</x:v>
      </x:c>
      <x:c r="Q257" s="12"/>
      <x:c r="R257" s="12"/>
    </x:row>
    <x:row r="258">
      <x:c r="A258" s="12" t="str">
        <x:v>EVD-00257</x:v>
      </x:c>
      <x:c r="B258" s="12" t="str">
        <x:v>NEED-0048</x:v>
      </x:c>
      <x:c r="C258" s="12" t="str">
        <x:v>SRC-0003</x:v>
      </x:c>
      <x:c r="D258" s="12" t="str">
        <x:v>Simplify and streamline the Vertex search options, make sure process to do e.g. On Demand is clear.</x:v>
      </x:c>
      <x:c r="E258" s="12" t="str">
        <x:v>Simplify and streamline the Vertex search options, make sure process to do e.g. On Demand is clear.</x:v>
      </x:c>
      <x:c r="F258" s="12" t="str">
        <x:v>Action</x:v>
      </x:c>
      <x:c r="G258" s="12" t="str">
        <x:v>ASF DAAC User Working Group</x:v>
      </x:c>
      <x:c r="H258" s="12" t="n">
        <x:v>2023</x:v>
      </x:c>
      <x:c r="I258" s="12" t="str">
        <x:v>Earthdata users</x:v>
      </x:c>
      <x:c r="J258" s="12" t="str">
        <x:v>Medium</x:v>
      </x:c>
      <x:c r="K258" s="16" t="n">
        <x:v>0.75</x:v>
      </x:c>
      <x:c r="L258" s="12" t="str">
        <x:v>LSA similarity cluster; human review pending</x:v>
      </x:c>
      <x:c r="M258" s="12" t="str">
        <x:v>Section: 2.7 Action Items; table row 34</x:v>
      </x:c>
      <x:c r="N258" s="12" t="str"/>
      <x:c r="O258" s="12" t="str">
        <x:v>No</x:v>
      </x:c>
      <x:c r="P258" s="12" t="str">
        <x:v>No</x:v>
      </x:c>
      <x:c r="Q258" s="12"/>
      <x:c r="R258" s="12"/>
    </x:row>
    <x:row r="259">
      <x:c r="A259" s="12" t="str">
        <x:v>EVD-00258</x:v>
      </x:c>
      <x:c r="B259" s="12" t="str">
        <x:v>NEED-0079</x:v>
      </x:c>
      <x:c r="C259" s="12" t="str">
        <x:v>SRC-0003</x:v>
      </x:c>
      <x:c r="D259" s="12" t="str">
        <x:v>Develop strategy to properly identify On Demand products that a user generated to augment standard ones (particularly InSAR).</x:v>
      </x:c>
      <x:c r="E259" s="12" t="str">
        <x:v>Develop strategy to properly identify On Demand products that a user generated to augment standard ones (particularly InSAR).</x:v>
      </x:c>
      <x:c r="F259" s="12" t="str">
        <x:v>Action</x:v>
      </x:c>
      <x:c r="G259" s="12" t="str">
        <x:v>ASF DAAC User Working Group</x:v>
      </x:c>
      <x:c r="H259" s="12" t="n">
        <x:v>2023</x:v>
      </x:c>
      <x:c r="I259" s="12" t="str">
        <x:v>Earthdata users</x:v>
      </x:c>
      <x:c r="J259" s="12" t="str">
        <x:v>High</x:v>
      </x:c>
      <x:c r="K259" s="16" t="n">
        <x:v>0.75</x:v>
      </x:c>
      <x:c r="L259" s="12" t="str">
        <x:v>LSA similarity cluster; human review pending</x:v>
      </x:c>
      <x:c r="M259" s="12" t="str">
        <x:v>Section: 2.7 Action Items; table row 35</x:v>
      </x:c>
      <x:c r="N259" s="12" t="str"/>
      <x:c r="O259" s="12" t="str">
        <x:v>No</x:v>
      </x:c>
      <x:c r="P259" s="12" t="str">
        <x:v>No</x:v>
      </x:c>
      <x:c r="Q259" s="12"/>
      <x:c r="R259" s="12"/>
    </x:row>
    <x:row r="260">
      <x:c r="A260" s="12" t="str">
        <x:v>EVD-00259</x:v>
      </x:c>
      <x:c r="B260" s="12" t="str">
        <x:v>NEED-0129</x:v>
      </x:c>
      <x:c r="C260" s="12" t="str">
        <x:v>SRC-0003</x:v>
      </x:c>
      <x:c r="D260" s="12" t="str">
        <x:v>Explore ways for ASF to allow users to take advantage of NISAR S-band data, and exploit dual-frequency.</x:v>
      </x:c>
      <x:c r="E260" s="12" t="str">
        <x:v>Explore ways for ASF to allow users to take advantage of NISAR S-band data, and exploit dual-frequency.</x:v>
      </x:c>
      <x:c r="F260" s="12" t="str">
        <x:v>Action</x:v>
      </x:c>
      <x:c r="G260" s="12" t="str">
        <x:v>ASF DAAC User Working Group</x:v>
      </x:c>
      <x:c r="H260" s="12" t="n">
        <x:v>2023</x:v>
      </x:c>
      <x:c r="I260" s="12" t="str">
        <x:v>Earthdata users</x:v>
      </x:c>
      <x:c r="J260" s="12" t="str">
        <x:v>High</x:v>
      </x:c>
      <x:c r="K260" s="16" t="n">
        <x:v>0.75</x:v>
      </x:c>
      <x:c r="L260" s="12" t="str">
        <x:v>LSA similarity cluster; human review pending</x:v>
      </x:c>
      <x:c r="M260" s="12" t="str">
        <x:v>Section: 2.7 Action Items; table row 36</x:v>
      </x:c>
      <x:c r="N260" s="12" t="str"/>
      <x:c r="O260" s="12" t="str">
        <x:v>No</x:v>
      </x:c>
      <x:c r="P260" s="12" t="str">
        <x:v>No</x:v>
      </x:c>
      <x:c r="Q260" s="12"/>
      <x:c r="R260" s="12"/>
    </x:row>
    <x:row r="261">
      <x:c r="A261" s="12" t="str">
        <x:v>EVD-00260</x:v>
      </x:c>
      <x:c r="B261" s="12" t="str">
        <x:v>NEED-0021</x:v>
      </x:c>
      <x:c r="C261" s="12" t="str">
        <x:v>SRC-0003</x:v>
      </x:c>
      <x:c r="D261" s="12" t="str">
        <x:v>Develop API for mosaicking of OPERA RTC, NISAR GCOV.</x:v>
      </x:c>
      <x:c r="E261" s="12" t="str">
        <x:v>Develop API for mosaicking of OPERA RTC, NISAR GCOV.</x:v>
      </x:c>
      <x:c r="F261" s="12" t="str">
        <x:v>Action</x:v>
      </x:c>
      <x:c r="G261" s="12" t="str">
        <x:v>ASF DAAC User Working Group</x:v>
      </x:c>
      <x:c r="H261" s="12" t="n">
        <x:v>2023</x:v>
      </x:c>
      <x:c r="I261" s="12" t="str">
        <x:v>Application developers</x:v>
      </x:c>
      <x:c r="J261" s="12" t="str">
        <x:v>High</x:v>
      </x:c>
      <x:c r="K261" s="16" t="n">
        <x:v>0.75</x:v>
      </x:c>
      <x:c r="L261" s="12" t="str">
        <x:v>LSA similarity cluster; human review pending</x:v>
      </x:c>
      <x:c r="M261" s="12" t="str">
        <x:v>Section: 2.7 Action Items; table row 37</x:v>
      </x:c>
      <x:c r="N261" s="12" t="str"/>
      <x:c r="O261" s="12" t="str">
        <x:v>No</x:v>
      </x:c>
      <x:c r="P261" s="12" t="str">
        <x:v>No</x:v>
      </x:c>
      <x:c r="Q261" s="12"/>
      <x:c r="R261" s="12"/>
    </x:row>
    <x:row r="262">
      <x:c r="A262" s="12" t="str">
        <x:v>EVD-00261</x:v>
      </x:c>
      <x:c r="B262" s="12" t="str">
        <x:v>NEED-0058</x:v>
      </x:c>
      <x:c r="C262" s="12" t="str">
        <x:v>SRC-0003</x:v>
      </x:c>
      <x:c r="D262" s="12" t="str">
        <x:v>Outreach: Define a cool user experience for users who come to ASF excited about NISAR. Something preloaded in Vertex to highlight NiSAR. E.g. Show 1 InSAR product by default, 1 RTC. Highlight first-light images. Canned searches that take you right to cool NISAR products.</x:v>
      </x:c>
      <x:c r="E262" s="12" t="str">
        <x:v>Outreach: Define a cool user experience for users who come to ASF excited about NISAR. Something preloaded in Vertex to highlight NiSAR. E.g. Show 1 InSAR product by default, 1 RTC. Highlight first-light images. Canned searches that take you right to cool NISAR products.</x:v>
      </x:c>
      <x:c r="F262" s="12" t="str">
        <x:v>Action</x:v>
      </x:c>
      <x:c r="G262" s="12" t="str">
        <x:v>ASF DAAC User Working Group</x:v>
      </x:c>
      <x:c r="H262" s="12" t="n">
        <x:v>2023</x:v>
      </x:c>
      <x:c r="I262" s="12" t="str">
        <x:v>Earthdata users</x:v>
      </x:c>
      <x:c r="J262" s="12" t="str">
        <x:v>Medium</x:v>
      </x:c>
      <x:c r="K262" s="16" t="n">
        <x:v>0.75</x:v>
      </x:c>
      <x:c r="L262" s="12" t="str">
        <x:v>LSA similarity cluster; human review pending</x:v>
      </x:c>
      <x:c r="M262" s="12" t="str">
        <x:v>Section: 2.7 Action Items; table row 38</x:v>
      </x:c>
      <x:c r="N262" s="12" t="str"/>
      <x:c r="O262" s="12" t="str">
        <x:v>No</x:v>
      </x:c>
      <x:c r="P262" s="12" t="str">
        <x:v>No</x:v>
      </x:c>
      <x:c r="Q262" s="12"/>
      <x:c r="R262" s="12"/>
    </x:row>
    <x:row r="263">
      <x:c r="A263" s="12" t="str">
        <x:v>EVD-00262</x:v>
      </x:c>
      <x:c r="B263" s="12" t="str">
        <x:v>NEED-0012</x:v>
      </x:c>
      <x:c r="C263" s="12" t="str">
        <x:v>SRC-0003</x:v>
      </x:c>
      <x:c r="D263" s="12" t="str">
        <x:v>Ensure users know how to effectively leverage HDF5 products that are cloud-optimized: documentation, etc., that specifies parameters etc. for fetching.</x:v>
      </x:c>
      <x:c r="E263" s="12" t="str">
        <x:v>Ensure users know how to effectively leverage HDF5 products that are cloud-optimized: documentation, etc., that specifies parameters etc. for fetching.</x:v>
      </x:c>
      <x:c r="F263" s="12" t="str">
        <x:v>Action</x:v>
      </x:c>
      <x:c r="G263" s="12" t="str">
        <x:v>ASF DAAC User Working Group</x:v>
      </x:c>
      <x:c r="H263" s="12" t="n">
        <x:v>2023</x:v>
      </x:c>
      <x:c r="I263" s="12" t="str">
        <x:v>Cloud-native researchers</x:v>
      </x:c>
      <x:c r="J263" s="12" t="str">
        <x:v>High</x:v>
      </x:c>
      <x:c r="K263" s="16" t="n">
        <x:v>0.75</x:v>
      </x:c>
      <x:c r="L263" s="12" t="str">
        <x:v>LSA similarity cluster; human review pending</x:v>
      </x:c>
      <x:c r="M263" s="12" t="str">
        <x:v>Section: 2.7 Action Items; table row 39</x:v>
      </x:c>
      <x:c r="N263" s="12" t="str"/>
      <x:c r="O263" s="12" t="str">
        <x:v>No</x:v>
      </x:c>
      <x:c r="P263" s="12" t="str">
        <x:v>No</x:v>
      </x:c>
      <x:c r="Q263" s="12"/>
      <x:c r="R263" s="12"/>
    </x:row>
    <x:row r="264">
      <x:c r="A264" s="12" t="str">
        <x:v>EVD-00263</x:v>
      </x:c>
      <x:c r="B264" s="12" t="str">
        <x:v>NEED-0123</x:v>
      </x:c>
      <x:c r="C264" s="12" t="str">
        <x:v>SRC-0003</x:v>
      </x:c>
      <x:c r="D264" s="12" t="str">
        <x:v>Thought exercise: What would embarrass us if we didn’t do it?</x:v>
      </x:c>
      <x:c r="E264" s="12" t="str">
        <x:v>Thought exercise: What would embarrass us if we didn’t do it?</x:v>
      </x:c>
      <x:c r="F264" s="12" t="str">
        <x:v>Action</x:v>
      </x:c>
      <x:c r="G264" s="12" t="str">
        <x:v>ASF DAAC User Working Group</x:v>
      </x:c>
      <x:c r="H264" s="12" t="n">
        <x:v>2023</x:v>
      </x:c>
      <x:c r="I264" s="12" t="str">
        <x:v>Earthdata users</x:v>
      </x:c>
      <x:c r="J264" s="12" t="str">
        <x:v>Medium</x:v>
      </x:c>
      <x:c r="K264" s="16" t="n">
        <x:v>0.75</x:v>
      </x:c>
      <x:c r="L264" s="12" t="str">
        <x:v>LSA similarity cluster; human review pending</x:v>
      </x:c>
      <x:c r="M264" s="12" t="str">
        <x:v>Section: 2.7 Action Items; table row 40</x:v>
      </x:c>
      <x:c r="N264" s="12" t="str"/>
      <x:c r="O264" s="12" t="str">
        <x:v>No</x:v>
      </x:c>
      <x:c r="P264" s="12" t="str">
        <x:v>No</x:v>
      </x:c>
      <x:c r="Q264" s="12"/>
      <x:c r="R264" s="12"/>
    </x:row>
    <x:row r="265">
      <x:c r="A265" s="12" t="str">
        <x:v>EVD-00264</x:v>
      </x:c>
      <x:c r="B265" s="12" t="str">
        <x:v>NEED-0129</x:v>
      </x:c>
      <x:c r="C265" s="12" t="str">
        <x:v>SRC-0003</x:v>
      </x:c>
      <x:c r="D265" s="12" t="str">
        <x:v>Solve the S-band data transfers, work with ISRO Community really wants S-band data!</x:v>
      </x:c>
      <x:c r="E265" s="12" t="str">
        <x:v>Solve the S-band data transfers, work with ISRO Community really wants S-band data!</x:v>
      </x:c>
      <x:c r="F265" s="12" t="str">
        <x:v>Action</x:v>
      </x:c>
      <x:c r="G265" s="12" t="str">
        <x:v>ASF DAAC User Working Group</x:v>
      </x:c>
      <x:c r="H265" s="12" t="n">
        <x:v>2023</x:v>
      </x:c>
      <x:c r="I265" s="12" t="str">
        <x:v>Earthdata users</x:v>
      </x:c>
      <x:c r="J265" s="12" t="str">
        <x:v>Medium</x:v>
      </x:c>
      <x:c r="K265" s="16" t="n">
        <x:v>0.75</x:v>
      </x:c>
      <x:c r="L265" s="12" t="str">
        <x:v>LSA similarity cluster; human review pending</x:v>
      </x:c>
      <x:c r="M265" s="12" t="str">
        <x:v>Section: 2.7 Action Items; table row 41</x:v>
      </x:c>
      <x:c r="N265" s="12" t="str"/>
      <x:c r="O265" s="12" t="str">
        <x:v>No</x:v>
      </x:c>
      <x:c r="P265" s="12" t="str">
        <x:v>No</x:v>
      </x:c>
      <x:c r="Q265" s="12"/>
      <x:c r="R265" s="12"/>
    </x:row>
    <x:row r="266">
      <x:c r="A266" s="12" t="str">
        <x:v>EVD-00265</x:v>
      </x:c>
      <x:c r="B266" s="12" t="str">
        <x:v>NEED-0201</x:v>
      </x:c>
      <x:c r="C266" s="12" t="str">
        <x:v>SRC-0003</x:v>
      </x:c>
      <x:c r="D266" s="12" t="str">
        <x:v>Identify the courses ASF offers in workshops/trainings on NISAR, SAR, specialty courses (earthquake, volcanoes, sea ice).</x:v>
      </x:c>
      <x:c r="E266" s="12" t="str">
        <x:v>Identify the courses ASF offers in workshops/trainings on NISAR, SAR, specialty courses (earthquake, volcanoes, sea ice).</x:v>
      </x:c>
      <x:c r="F266" s="12" t="str">
        <x:v>Action</x:v>
      </x:c>
      <x:c r="G266" s="12" t="str">
        <x:v>ASF DAAC User Working Group</x:v>
      </x:c>
      <x:c r="H266" s="12" t="n">
        <x:v>2023</x:v>
      </x:c>
      <x:c r="I266" s="12" t="str">
        <x:v>Educators and trainers</x:v>
      </x:c>
      <x:c r="J266" s="12" t="str">
        <x:v>Medium</x:v>
      </x:c>
      <x:c r="K266" s="16" t="n">
        <x:v>0.75</x:v>
      </x:c>
      <x:c r="L266" s="12" t="str">
        <x:v>LSA similarity cluster; human review pending</x:v>
      </x:c>
      <x:c r="M266" s="12" t="str">
        <x:v>Section: 2.7 Action Items</x:v>
      </x:c>
      <x:c r="N266" s="12" t="str"/>
      <x:c r="O266" s="12" t="str">
        <x:v>No</x:v>
      </x:c>
      <x:c r="P266" s="12" t="str">
        <x:v>No</x:v>
      </x:c>
      <x:c r="Q266" s="12"/>
      <x:c r="R266" s="12"/>
    </x:row>
    <x:row r="267">
      <x:c r="A267" s="12" t="str">
        <x:v>EVD-00266</x:v>
      </x:c>
      <x:c r="B267" s="12" t="str">
        <x:v>NEED-0126</x:v>
      </x:c>
      <x:c r="C267" s="12" t="str">
        <x:v>SRC-0003</x:v>
      </x:c>
      <x:c r="D267" s="12" t="str">
        <x:v>Compare what is offered with what is requested by users to identify the gaps that could be addressed with additional courses.</x:v>
      </x:c>
      <x:c r="E267" s="12" t="str">
        <x:v>Compare what is offered with what is requested by users to identify the gaps that could be addressed with additional courses.</x:v>
      </x:c>
      <x:c r="F267" s="12" t="str">
        <x:v>Action</x:v>
      </x:c>
      <x:c r="G267" s="12" t="str">
        <x:v>ASF DAAC User Working Group</x:v>
      </x:c>
      <x:c r="H267" s="12" t="n">
        <x:v>2023</x:v>
      </x:c>
      <x:c r="I267" s="12" t="str">
        <x:v>Earthdata users</x:v>
      </x:c>
      <x:c r="J267" s="12" t="str">
        <x:v>Medium</x:v>
      </x:c>
      <x:c r="K267" s="16" t="n">
        <x:v>0.75</x:v>
      </x:c>
      <x:c r="L267" s="12" t="str">
        <x:v>LSA similarity cluster; human review pending</x:v>
      </x:c>
      <x:c r="M267" s="12" t="str">
        <x:v>Section: 2.7 Action Items</x:v>
      </x:c>
      <x:c r="N267" s="12" t="str"/>
      <x:c r="O267" s="12" t="str">
        <x:v>No</x:v>
      </x:c>
      <x:c r="P267" s="12" t="str">
        <x:v>No</x:v>
      </x:c>
      <x:c r="Q267" s="12"/>
      <x:c r="R267" s="12"/>
    </x:row>
    <x:row r="268">
      <x:c r="A268" s="12" t="str">
        <x:v>EVD-00267</x:v>
      </x:c>
      <x:c r="B268" s="12" t="str">
        <x:v>NEED-0125</x:v>
      </x:c>
      <x:c r="C268" s="12" t="str">
        <x:v>SRC-0003</x:v>
      </x:c>
      <x:c r="D268" s="12" t="str">
        <x:v>Consider creating a living document/web page with resources (like EO College).</x:v>
      </x:c>
      <x:c r="E268" s="12" t="str">
        <x:v>Consider creating a living document/web page with resources (like EO College).</x:v>
      </x:c>
      <x:c r="F268" s="12" t="str">
        <x:v>Action</x:v>
      </x:c>
      <x:c r="G268" s="12" t="str">
        <x:v>ASF DAAC User Working Group</x:v>
      </x:c>
      <x:c r="H268" s="12" t="n">
        <x:v>2023</x:v>
      </x:c>
      <x:c r="I268" s="12" t="str">
        <x:v>Earthdata users</x:v>
      </x:c>
      <x:c r="J268" s="12" t="str">
        <x:v>High</x:v>
      </x:c>
      <x:c r="K268" s="16" t="n">
        <x:v>0.75</x:v>
      </x:c>
      <x:c r="L268" s="12" t="str">
        <x:v>LSA similarity cluster; human review pending</x:v>
      </x:c>
      <x:c r="M268" s="12" t="str">
        <x:v>Section: 2.7 Action Items</x:v>
      </x:c>
      <x:c r="N268" s="12" t="str"/>
      <x:c r="O268" s="12" t="str">
        <x:v>No</x:v>
      </x:c>
      <x:c r="P268" s="12" t="str">
        <x:v>No</x:v>
      </x:c>
      <x:c r="Q268" s="12"/>
      <x:c r="R268" s="12"/>
    </x:row>
    <x:row r="269">
      <x:c r="A269" s="12" t="str">
        <x:v>EVD-00268</x:v>
      </x:c>
      <x:c r="B269" s="12" t="str">
        <x:v>NEED-0074</x:v>
      </x:c>
      <x:c r="C269" s="12" t="str">
        <x:v>SRC-0003</x:v>
      </x:c>
      <x:c r="D269" s="12" t="str">
        <x:v>What is the user interface with the data and are there things that ASF in general could develop to better use the products (e.g., time series data).</x:v>
      </x:c>
      <x:c r="E269" s="12" t="str">
        <x:v>What is the user interface with the data and are there things that ASF in general could develop to better use the products (e.g., time series data).</x:v>
      </x:c>
      <x:c r="F269" s="12" t="str">
        <x:v>Action</x:v>
      </x:c>
      <x:c r="G269" s="12" t="str">
        <x:v>ASF DAAC User Working Group</x:v>
      </x:c>
      <x:c r="H269" s="12" t="n">
        <x:v>2023</x:v>
      </x:c>
      <x:c r="I269" s="12" t="str">
        <x:v>Earthdata users</x:v>
      </x:c>
      <x:c r="J269" s="12" t="str">
        <x:v>High</x:v>
      </x:c>
      <x:c r="K269" s="16" t="n">
        <x:v>0.75</x:v>
      </x:c>
      <x:c r="L269" s="12" t="str">
        <x:v>LSA similarity cluster; human review pending</x:v>
      </x:c>
      <x:c r="M269" s="12" t="str">
        <x:v>Section: 2.7 Action Items</x:v>
      </x:c>
      <x:c r="N269" s="12" t="str"/>
      <x:c r="O269" s="12" t="str">
        <x:v>No</x:v>
      </x:c>
      <x:c r="P269" s="12" t="str">
        <x:v>No</x:v>
      </x:c>
      <x:c r="Q269" s="12"/>
      <x:c r="R269" s="12"/>
    </x:row>
    <x:row r="270">
      <x:c r="A270" s="12" t="str">
        <x:v>EVD-00269</x:v>
      </x:c>
      <x:c r="B270" s="12" t="str">
        <x:v>NEED-0167</x:v>
      </x:c>
      <x:c r="C270" s="12" t="str">
        <x:v>SRC-0003</x:v>
      </x:c>
      <x:c r="D270" s="12" t="str">
        <x:v>What is lacking is the visualization tool of the data.</x:v>
      </x:c>
      <x:c r="E270" s="12" t="str">
        <x:v>What is lacking is the visualization tool of the data.</x:v>
      </x:c>
      <x:c r="F270" s="12" t="str">
        <x:v>Action</x:v>
      </x:c>
      <x:c r="G270" s="12" t="str">
        <x:v>ASF DAAC User Working Group</x:v>
      </x:c>
      <x:c r="H270" s="12" t="n">
        <x:v>2023</x:v>
      </x:c>
      <x:c r="I270" s="12" t="str">
        <x:v>Earthdata users</x:v>
      </x:c>
      <x:c r="J270" s="12" t="str">
        <x:v>Medium</x:v>
      </x:c>
      <x:c r="K270" s="16" t="n">
        <x:v>0.75</x:v>
      </x:c>
      <x:c r="L270" s="12" t="str">
        <x:v>LSA similarity cluster; human review pending</x:v>
      </x:c>
      <x:c r="M270" s="12" t="str">
        <x:v>Section: 2.7 Action Items</x:v>
      </x:c>
      <x:c r="N270" s="12" t="str"/>
      <x:c r="O270" s="12" t="str">
        <x:v>No</x:v>
      </x:c>
      <x:c r="P270" s="12" t="str">
        <x:v>No</x:v>
      </x:c>
      <x:c r="Q270" s="12"/>
      <x:c r="R270" s="12"/>
    </x:row>
    <x:row r="271">
      <x:c r="A271" s="12" t="str">
        <x:v>EVD-00270</x:v>
      </x:c>
      <x:c r="B271" s="12" t="str">
        <x:v>NEED-0173</x:v>
      </x:c>
      <x:c r="C271" s="12" t="str">
        <x:v>SRC-0003</x:v>
      </x:c>
      <x:c r="D271" s="12" t="str">
        <x:v>How ASF can develop tools and web interface tools to advance the OPERA products.</x:v>
      </x:c>
      <x:c r="E271" s="12" t="str">
        <x:v>How ASF can develop tools and web interface tools to advance the OPERA products.</x:v>
      </x:c>
      <x:c r="F271" s="12" t="str">
        <x:v>Action</x:v>
      </x:c>
      <x:c r="G271" s="12" t="str">
        <x:v>ASF DAAC User Working Group</x:v>
      </x:c>
      <x:c r="H271" s="12" t="n">
        <x:v>2023</x:v>
      </x:c>
      <x:c r="I271" s="12" t="str">
        <x:v>Earthdata users</x:v>
      </x:c>
      <x:c r="J271" s="12" t="str">
        <x:v>High</x:v>
      </x:c>
      <x:c r="K271" s="16" t="n">
        <x:v>0.75</x:v>
      </x:c>
      <x:c r="L271" s="12" t="str">
        <x:v>LSA similarity cluster; human review pending</x:v>
      </x:c>
      <x:c r="M271" s="12" t="str">
        <x:v>Section: 2.7 Action Items</x:v>
      </x:c>
      <x:c r="N271" s="12" t="str"/>
      <x:c r="O271" s="12" t="str">
        <x:v>No</x:v>
      </x:c>
      <x:c r="P271" s="12" t="str">
        <x:v>No</x:v>
      </x:c>
      <x:c r="Q271" s="12"/>
      <x:c r="R271" s="12"/>
    </x:row>
    <x:row r="272">
      <x:c r="A272" s="12" t="str">
        <x:v>EVD-00271</x:v>
      </x:c>
      <x:c r="B272" s="12" t="str">
        <x:v>NEED-0181</x:v>
      </x:c>
      <x:c r="C272" s="12" t="str">
        <x:v>SRC-0003</x:v>
      </x:c>
      <x:c r="D272" s="12" t="str">
        <x:v>Will we use the EOSDIS Worldview tool or will there be a specialized tool for NISAR &amp; OPERA?</x:v>
      </x:c>
      <x:c r="E272" s="12" t="str">
        <x:v>Will we use the EOSDIS Worldview tool or will there be a specialized tool for NISAR &amp; OPERA?</x:v>
      </x:c>
      <x:c r="F272" s="12" t="str">
        <x:v>Action</x:v>
      </x:c>
      <x:c r="G272" s="12" t="str">
        <x:v>ASF DAAC User Working Group</x:v>
      </x:c>
      <x:c r="H272" s="12" t="n">
        <x:v>2023</x:v>
      </x:c>
      <x:c r="I272" s="12" t="str">
        <x:v>Earthdata users</x:v>
      </x:c>
      <x:c r="J272" s="12" t="str">
        <x:v>Medium</x:v>
      </x:c>
      <x:c r="K272" s="16" t="n">
        <x:v>0.75</x:v>
      </x:c>
      <x:c r="L272" s="12" t="str">
        <x:v>LSA similarity cluster; human review pending</x:v>
      </x:c>
      <x:c r="M272" s="12" t="str">
        <x:v>Section: 2.7 Action Items</x:v>
      </x:c>
      <x:c r="N272" s="12" t="str"/>
      <x:c r="O272" s="12" t="str">
        <x:v>No</x:v>
      </x:c>
      <x:c r="P272" s="12" t="str">
        <x:v>No</x:v>
      </x:c>
      <x:c r="Q272" s="12"/>
      <x:c r="R272" s="12"/>
    </x:row>
    <x:row r="273">
      <x:c r="A273" s="12" t="str">
        <x:v>EVD-00272</x:v>
      </x:c>
      <x:c r="B273" s="12" t="str">
        <x:v>NEED-0119</x:v>
      </x:c>
      <x:c r="C273" s="12" t="str">
        <x:v>SRC-0003</x:v>
      </x:c>
      <x:c r="D273" s="12" t="str">
        <x:v>Further understanding of the evaluation process of higher resolutions of the data is also important.</x:v>
      </x:c>
      <x:c r="E273" s="12" t="str">
        <x:v>Further understanding of the evaluation process of higher resolutions of the data is also important.</x:v>
      </x:c>
      <x:c r="F273" s="12" t="str">
        <x:v>Action</x:v>
      </x:c>
      <x:c r="G273" s="12" t="str">
        <x:v>ASF DAAC User Working Group</x:v>
      </x:c>
      <x:c r="H273" s="12" t="n">
        <x:v>2023</x:v>
      </x:c>
      <x:c r="I273" s="12" t="str">
        <x:v>Earthdata users</x:v>
      </x:c>
      <x:c r="J273" s="12" t="str">
        <x:v>Medium</x:v>
      </x:c>
      <x:c r="K273" s="16" t="n">
        <x:v>0.75</x:v>
      </x:c>
      <x:c r="L273" s="12" t="str">
        <x:v>LSA similarity cluster; human review pending</x:v>
      </x:c>
      <x:c r="M273" s="12" t="str">
        <x:v>Section: 2.7 Action Items</x:v>
      </x:c>
      <x:c r="N273" s="12" t="str"/>
      <x:c r="O273" s="12" t="str">
        <x:v>No</x:v>
      </x:c>
      <x:c r="P273" s="12" t="str">
        <x:v>No</x:v>
      </x:c>
      <x:c r="Q273" s="12"/>
      <x:c r="R273" s="12"/>
    </x:row>
    <x:row r="274">
      <x:c r="A274" s="12" t="str">
        <x:v>EVD-00273</x:v>
      </x:c>
      <x:c r="B274" s="12" t="str">
        <x:v>NEED-0141</x:v>
      </x:c>
      <x:c r="C274" s="12" t="str">
        <x:v>SRC-0003</x:v>
      </x:c>
      <x:c r="D274" s="12" t="str">
        <x:v>Work with VEDA to identify common solutions we can use.</x:v>
      </x:c>
      <x:c r="E274" s="12" t="str">
        <x:v>Work with VEDA to identify common solutions we can use.</x:v>
      </x:c>
      <x:c r="F274" s="12" t="str">
        <x:v>Action</x:v>
      </x:c>
      <x:c r="G274" s="12" t="str">
        <x:v>ASF DAAC User Working Group</x:v>
      </x:c>
      <x:c r="H274" s="12" t="n">
        <x:v>2023</x:v>
      </x:c>
      <x:c r="I274" s="12" t="str">
        <x:v>Earthdata users</x:v>
      </x:c>
      <x:c r="J274" s="12" t="str">
        <x:v>Medium</x:v>
      </x:c>
      <x:c r="K274" s="16" t="n">
        <x:v>0.75</x:v>
      </x:c>
      <x:c r="L274" s="12" t="str">
        <x:v>LSA similarity cluster; human review pending</x:v>
      </x:c>
      <x:c r="M274" s="12" t="str">
        <x:v>Section: 2.7 Action Items</x:v>
      </x:c>
      <x:c r="N274" s="12" t="str"/>
      <x:c r="O274" s="12" t="str">
        <x:v>No</x:v>
      </x:c>
      <x:c r="P274" s="12" t="str">
        <x:v>No</x:v>
      </x:c>
      <x:c r="Q274" s="12"/>
      <x:c r="R274" s="12"/>
    </x:row>
    <x:row r="275">
      <x:c r="A275" s="12" t="str">
        <x:v>EVD-00274</x:v>
      </x:c>
      <x:c r="B275" s="12" t="str">
        <x:v>NEED-0024</x:v>
      </x:c>
      <x:c r="C275" s="12" t="str">
        <x:v>SRC-0003</x:v>
      </x:c>
      <x:c r="D275" s="12" t="str">
        <x:v>NISAR-Tool development for visualization. That the user can download and use on their desktop system. Use the DAAC tool as an exploratory tool but do more analysis offline. Look at VEDA for data storage (recommended by Stinger Guala).</x:v>
      </x:c>
      <x:c r="E275" s="12" t="str">
        <x:v>NISAR-Tool development for visualization. That the user can download and use on their desktop system. Use the DAAC tool as an exploratory tool but do more analysis offline. Look at VEDA for data storage (recommended by Stinger Guala).</x:v>
      </x:c>
      <x:c r="F275" s="12" t="str">
        <x:v>Action</x:v>
      </x:c>
      <x:c r="G275" s="12" t="str">
        <x:v>ASF DAAC User Working Group</x:v>
      </x:c>
      <x:c r="H275" s="12" t="n">
        <x:v>2023</x:v>
      </x:c>
      <x:c r="I275" s="12" t="str">
        <x:v>Earth science researchers</x:v>
      </x:c>
      <x:c r="J275" s="12" t="str">
        <x:v>Low</x:v>
      </x:c>
      <x:c r="K275" s="16" t="n">
        <x:v>0.75</x:v>
      </x:c>
      <x:c r="L275" s="12" t="str">
        <x:v>LSA similarity cluster; human review pending</x:v>
      </x:c>
      <x:c r="M275" s="12" t="str">
        <x:v>Section: 2.7 Action Items</x:v>
      </x:c>
      <x:c r="N275" s="12" t="str"/>
      <x:c r="O275" s="12" t="str">
        <x:v>No</x:v>
      </x:c>
      <x:c r="P275" s="12" t="str">
        <x:v>No</x:v>
      </x:c>
      <x:c r="Q275" s="12"/>
      <x:c r="R275" s="12"/>
    </x:row>
    <x:row r="276">
      <x:c r="A276" s="12" t="str">
        <x:v>EVD-00275</x:v>
      </x:c>
      <x:c r="B276" s="12" t="str">
        <x:v>NEED-0169</x:v>
      </x:c>
      <x:c r="C276" s="12" t="str">
        <x:v>SRC-0003</x:v>
      </x:c>
      <x:c r="D276" s="12" t="str">
        <x:v>Explore some of the different processing options depending on the cost and end-user model. What models work for our different users? (Notebooks are a way for ASF to teach the users. Turn the notebooks into a more annotated teaching tool.)</x:v>
      </x:c>
      <x:c r="E276" s="12" t="str">
        <x:v>Explore some of the different processing options depending on the cost and end-user model. What models work for our different users? (Notebooks are a way for ASF to teach the users. Turn the notebooks into a more annotated teaching tool.)</x:v>
      </x:c>
      <x:c r="F276" s="12" t="str">
        <x:v>Action</x:v>
      </x:c>
      <x:c r="G276" s="12" t="str">
        <x:v>ASF DAAC User Working Group</x:v>
      </x:c>
      <x:c r="H276" s="12" t="n">
        <x:v>2023</x:v>
      </x:c>
      <x:c r="I276" s="12" t="str">
        <x:v>Earthdata users</x:v>
      </x:c>
      <x:c r="J276" s="12" t="str">
        <x:v>Medium</x:v>
      </x:c>
      <x:c r="K276" s="16" t="n">
        <x:v>0.75</x:v>
      </x:c>
      <x:c r="L276" s="12" t="str">
        <x:v>LSA similarity cluster; human review pending</x:v>
      </x:c>
      <x:c r="M276" s="12" t="str">
        <x:v>Section: 2.7 Action Items</x:v>
      </x:c>
      <x:c r="N276" s="12" t="str"/>
      <x:c r="O276" s="12" t="str">
        <x:v>No</x:v>
      </x:c>
      <x:c r="P276" s="12" t="str">
        <x:v>No</x:v>
      </x:c>
      <x:c r="Q276" s="12"/>
      <x:c r="R276" s="12"/>
    </x:row>
    <x:row r="277">
      <x:c r="A277" s="12" t="str">
        <x:v>EVD-00276</x:v>
      </x:c>
      <x:c r="B277" s="12" t="str">
        <x:v>NEED-0126</x:v>
      </x:c>
      <x:c r="C277" s="12" t="str">
        <x:v>SRC-0003</x:v>
      </x:c>
      <x:c r="D277" s="12" t="str">
        <x:v>How will users find UR?</x:v>
      </x:c>
      <x:c r="E277" s="12" t="str">
        <x:v>How will users find UR?</x:v>
      </x:c>
      <x:c r="F277" s="12" t="str">
        <x:v>Action</x:v>
      </x:c>
      <x:c r="G277" s="12" t="str">
        <x:v>ASF DAAC User Working Group</x:v>
      </x:c>
      <x:c r="H277" s="12" t="n">
        <x:v>2023</x:v>
      </x:c>
      <x:c r="I277" s="12" t="str">
        <x:v>Earthdata users</x:v>
      </x:c>
      <x:c r="J277" s="12" t="str">
        <x:v>Medium</x:v>
      </x:c>
      <x:c r="K277" s="16" t="n">
        <x:v>0.75</x:v>
      </x:c>
      <x:c r="L277" s="12" t="str">
        <x:v>LSA similarity cluster; human review pending</x:v>
      </x:c>
      <x:c r="M277" s="12" t="str">
        <x:v>Section: 2.7 Action Items</x:v>
      </x:c>
      <x:c r="N277" s="12" t="str"/>
      <x:c r="O277" s="12" t="str">
        <x:v>No</x:v>
      </x:c>
      <x:c r="P277" s="12" t="str">
        <x:v>No</x:v>
      </x:c>
      <x:c r="Q277" s="12"/>
      <x:c r="R277" s="12"/>
    </x:row>
    <x:row r="278">
      <x:c r="A278" s="12" t="str">
        <x:v>EVD-00277</x:v>
      </x:c>
      <x:c r="B278" s="12" t="str">
        <x:v>NEED-0127</x:v>
      </x:c>
      <x:c r="C278" s="12" t="str">
        <x:v>SRC-0003</x:v>
      </x:c>
      <x:c r="D278" s="12" t="str">
        <x:v>How will they be cited?</x:v>
      </x:c>
      <x:c r="E278" s="12" t="str">
        <x:v>How will they be cited?</x:v>
      </x:c>
      <x:c r="F278" s="12" t="str">
        <x:v>Action</x:v>
      </x:c>
      <x:c r="G278" s="12" t="str">
        <x:v>ASF DAAC User Working Group</x:v>
      </x:c>
      <x:c r="H278" s="12" t="n">
        <x:v>2023</x:v>
      </x:c>
      <x:c r="I278" s="12" t="str">
        <x:v>Earthdata users</x:v>
      </x:c>
      <x:c r="J278" s="12" t="str">
        <x:v>Medium</x:v>
      </x:c>
      <x:c r="K278" s="16" t="n">
        <x:v>0.75</x:v>
      </x:c>
      <x:c r="L278" s="12" t="str">
        <x:v>LSA similarity cluster; human review pending</x:v>
      </x:c>
      <x:c r="M278" s="12" t="str">
        <x:v>Section: 2.7 Action Items</x:v>
      </x:c>
      <x:c r="N278" s="12" t="str"/>
      <x:c r="O278" s="12" t="str">
        <x:v>No</x:v>
      </x:c>
      <x:c r="P278" s="12" t="str">
        <x:v>No</x:v>
      </x:c>
      <x:c r="Q278" s="12"/>
      <x:c r="R278" s="12"/>
    </x:row>
    <x:row r="279">
      <x:c r="A279" s="12" t="str">
        <x:v>EVD-00278</x:v>
      </x:c>
      <x:c r="B279" s="12" t="str">
        <x:v>NEED-0119</x:v>
      </x:c>
      <x:c r="C279" s="12" t="str">
        <x:v>SRC-0003</x:v>
      </x:c>
      <x:c r="D279" s="12" t="str">
        <x:v>How long do they live?</x:v>
      </x:c>
      <x:c r="E279" s="12" t="str">
        <x:v>How long do they live?</x:v>
      </x:c>
      <x:c r="F279" s="12" t="str">
        <x:v>Action</x:v>
      </x:c>
      <x:c r="G279" s="12" t="str">
        <x:v>ASF DAAC User Working Group</x:v>
      </x:c>
      <x:c r="H279" s="12" t="n">
        <x:v>2023</x:v>
      </x:c>
      <x:c r="I279" s="12" t="str">
        <x:v>Earthdata users</x:v>
      </x:c>
      <x:c r="J279" s="12" t="str">
        <x:v>Medium</x:v>
      </x:c>
      <x:c r="K279" s="16" t="n">
        <x:v>0.75</x:v>
      </x:c>
      <x:c r="L279" s="12" t="str">
        <x:v>LSA similarity cluster; human review pending</x:v>
      </x:c>
      <x:c r="M279" s="12" t="str">
        <x:v>Section: 2.7 Action Items</x:v>
      </x:c>
      <x:c r="N279" s="12" t="str"/>
      <x:c r="O279" s="12" t="str">
        <x:v>No</x:v>
      </x:c>
      <x:c r="P279" s="12" t="str">
        <x:v>No</x:v>
      </x:c>
      <x:c r="Q279" s="12"/>
      <x:c r="R279" s="12"/>
    </x:row>
    <x:row r="280">
      <x:c r="A280" s="12" t="str">
        <x:v>EVD-00279</x:v>
      </x:c>
      <x:c r="B280" s="12" t="str">
        <x:v>NEED-0126</x:v>
      </x:c>
      <x:c r="C280" s="12" t="str">
        <x:v>SRC-0003</x:v>
      </x:c>
      <x:c r="D280" s="12" t="str">
        <x:v>Can users find out what UR requests exist?</x:v>
      </x:c>
      <x:c r="E280" s="12" t="str">
        <x:v>Can users find out what UR requests exist?</x:v>
      </x:c>
      <x:c r="F280" s="12" t="str">
        <x:v>Action</x:v>
      </x:c>
      <x:c r="G280" s="12" t="str">
        <x:v>ASF DAAC User Working Group</x:v>
      </x:c>
      <x:c r="H280" s="12" t="n">
        <x:v>2023</x:v>
      </x:c>
      <x:c r="I280" s="12" t="str">
        <x:v>Earthdata users</x:v>
      </x:c>
      <x:c r="J280" s="12" t="str">
        <x:v>Medium</x:v>
      </x:c>
      <x:c r="K280" s="16" t="n">
        <x:v>0.75</x:v>
      </x:c>
      <x:c r="L280" s="12" t="str">
        <x:v>LSA similarity cluster; human review pending</x:v>
      </x:c>
      <x:c r="M280" s="12" t="str">
        <x:v>Section: 2.7 Action Items</x:v>
      </x:c>
      <x:c r="N280" s="12" t="str"/>
      <x:c r="O280" s="12" t="str">
        <x:v>No</x:v>
      </x:c>
      <x:c r="P280" s="12" t="str">
        <x:v>No</x:v>
      </x:c>
      <x:c r="Q280" s="12"/>
      <x:c r="R280" s="12"/>
    </x:row>
    <x:row r="281">
      <x:c r="A281" s="12" t="str">
        <x:v>EVD-00280</x:v>
      </x:c>
      <x:c r="B281" s="12" t="str">
        <x:v>NEED-0126</x:v>
      </x:c>
      <x:c r="C281" s="12" t="str">
        <x:v>SRC-0003</x:v>
      </x:c>
      <x:c r="D281" s="12" t="str">
        <x:v>Can users subscribe to UR?</x:v>
      </x:c>
      <x:c r="E281" s="12" t="str">
        <x:v>Can users subscribe to UR?</x:v>
      </x:c>
      <x:c r="F281" s="12" t="str">
        <x:v>Action</x:v>
      </x:c>
      <x:c r="G281" s="12" t="str">
        <x:v>ASF DAAC User Working Group</x:v>
      </x:c>
      <x:c r="H281" s="12" t="n">
        <x:v>2023</x:v>
      </x:c>
      <x:c r="I281" s="12" t="str">
        <x:v>Earthdata users</x:v>
      </x:c>
      <x:c r="J281" s="12" t="str">
        <x:v>Medium</x:v>
      </x:c>
      <x:c r="K281" s="16" t="n">
        <x:v>0.75</x:v>
      </x:c>
      <x:c r="L281" s="12" t="str">
        <x:v>LSA similarity cluster; human review pending</x:v>
      </x:c>
      <x:c r="M281" s="12" t="str">
        <x:v>Section: 2.7 Action Items</x:v>
      </x:c>
      <x:c r="N281" s="12" t="str"/>
      <x:c r="O281" s="12" t="str">
        <x:v>No</x:v>
      </x:c>
      <x:c r="P281" s="12" t="str">
        <x:v>No</x:v>
      </x:c>
      <x:c r="Q281" s="12"/>
      <x:c r="R281" s="12"/>
    </x:row>
    <x:row r="282">
      <x:c r="A282" s="12" t="str">
        <x:v>EVD-00281</x:v>
      </x:c>
      <x:c r="B282" s="12" t="str">
        <x:v>NEED-0097</x:v>
      </x:c>
      <x:c r="C282" s="12" t="str">
        <x:v>SRC-0003</x:v>
      </x:c>
      <x:c r="D282" s="12" t="str">
        <x:v>How does it fit with LANCE? ASF should work with LANCE to coordinate.</x:v>
      </x:c>
      <x:c r="E282" s="12" t="str">
        <x:v>How does it fit with LANCE? ASF should work with LANCE to coordinate.</x:v>
      </x:c>
      <x:c r="F282" s="12" t="str">
        <x:v>Action</x:v>
      </x:c>
      <x:c r="G282" s="12" t="str">
        <x:v>ASF DAAC User Working Group</x:v>
      </x:c>
      <x:c r="H282" s="12" t="n">
        <x:v>2023</x:v>
      </x:c>
      <x:c r="I282" s="12" t="str">
        <x:v>Operational and near-real-time users</x:v>
      </x:c>
      <x:c r="J282" s="12" t="str">
        <x:v>High</x:v>
      </x:c>
      <x:c r="K282" s="16" t="n">
        <x:v>0.75</x:v>
      </x:c>
      <x:c r="L282" s="12" t="str">
        <x:v>LSA similarity cluster; human review pending</x:v>
      </x:c>
      <x:c r="M282" s="12" t="str">
        <x:v>Section: 2.7 Action Items</x:v>
      </x:c>
      <x:c r="N282" s="12" t="str"/>
      <x:c r="O282" s="12" t="str">
        <x:v>No</x:v>
      </x:c>
      <x:c r="P282" s="12" t="str">
        <x:v>No</x:v>
      </x:c>
      <x:c r="Q282" s="12"/>
      <x:c r="R282" s="12"/>
    </x:row>
    <x:row r="283">
      <x:c r="A283" s="12" t="str">
        <x:v>EVD-00282</x:v>
      </x:c>
      <x:c r="B283" s="12" t="str">
        <x:v>NEED-0125</x:v>
      </x:c>
      <x:c r="C283" s="12" t="str">
        <x:v>SRC-0003</x:v>
      </x:c>
      <x:c r="D283" s="12" t="str">
        <x:v>What will ASF do? Do we create a web page post in regards to disaster?</x:v>
      </x:c>
      <x:c r="E283" s="12" t="str">
        <x:v>What will ASF do? Do we create a web page post in regards to disaster?</x:v>
      </x:c>
      <x:c r="F283" s="12" t="str">
        <x:v>Action</x:v>
      </x:c>
      <x:c r="G283" s="12" t="str">
        <x:v>ASF DAAC User Working Group</x:v>
      </x:c>
      <x:c r="H283" s="12" t="n">
        <x:v>2023</x:v>
      </x:c>
      <x:c r="I283" s="12" t="str">
        <x:v>Operational and near-real-time users</x:v>
      </x:c>
      <x:c r="J283" s="12" t="str">
        <x:v>High</x:v>
      </x:c>
      <x:c r="K283" s="16" t="n">
        <x:v>0.75</x:v>
      </x:c>
      <x:c r="L283" s="12" t="str">
        <x:v>LSA similarity cluster; human review pending</x:v>
      </x:c>
      <x:c r="M283" s="12" t="str">
        <x:v>Section: 2.7 Action Items</x:v>
      </x:c>
      <x:c r="N283" s="12" t="str"/>
      <x:c r="O283" s="12" t="str">
        <x:v>No</x:v>
      </x:c>
      <x:c r="P283" s="12" t="str">
        <x:v>No</x:v>
      </x:c>
      <x:c r="Q283" s="12"/>
      <x:c r="R283" s="12"/>
    </x:row>
    <x:row r="284">
      <x:c r="A284" s="12" t="str">
        <x:v>EVD-00283</x:v>
      </x:c>
      <x:c r="B284" s="12" t="str">
        <x:v>NEED-0201</x:v>
      </x:c>
      <x:c r="C284" s="12" t="str">
        <x:v>SRC-0003</x:v>
      </x:c>
      <x:c r="D284" s="12" t="str">
        <x:v>ASF (Forrest) will be hosting a Disaster Response Workshop regarding SAR imagery and needs of the users (Gerald will like an invitation).</x:v>
      </x:c>
      <x:c r="E284" s="12" t="str">
        <x:v>ASF (Forrest) will be hosting a Disaster Response Workshop regarding SAR imagery and needs of the users (Gerald will like an invitation).</x:v>
      </x:c>
      <x:c r="F284" s="12" t="str">
        <x:v>Action</x:v>
      </x:c>
      <x:c r="G284" s="12" t="str">
        <x:v>ASF DAAC User Working Group</x:v>
      </x:c>
      <x:c r="H284" s="12" t="n">
        <x:v>2023</x:v>
      </x:c>
      <x:c r="I284" s="12" t="str">
        <x:v>Operational and near-real-time users; Educators and trainers</x:v>
      </x:c>
      <x:c r="J284" s="12" t="str">
        <x:v>Medium</x:v>
      </x:c>
      <x:c r="K284" s="16" t="n">
        <x:v>0.75</x:v>
      </x:c>
      <x:c r="L284" s="12" t="str">
        <x:v>LSA similarity cluster; human review pending</x:v>
      </x:c>
      <x:c r="M284" s="12" t="str">
        <x:v>Section: 2.7 Action Items</x:v>
      </x:c>
      <x:c r="N284" s="12" t="str"/>
      <x:c r="O284" s="12" t="str">
        <x:v>No</x:v>
      </x:c>
      <x:c r="P284" s="12" t="str">
        <x:v>No</x:v>
      </x:c>
      <x:c r="Q284" s="12"/>
      <x:c r="R284" s="12"/>
    </x:row>
    <x:row r="285">
      <x:c r="A285" s="12" t="str">
        <x:v>EVD-00284</x:v>
      </x:c>
      <x:c r="B285" s="12" t="str">
        <x:v>NEED-0108</x:v>
      </x:c>
      <x:c r="C285" s="12" t="str">
        <x:v>SRC-0003</x:v>
      </x:c>
      <x:c r="D285" s="12" t="str">
        <x:v>Nail down requirements for NISAR UR and NISAR/S1 On-Demand in terms of EMS, DOI, LANCE.</x:v>
      </x:c>
      <x:c r="E285" s="12" t="str">
        <x:v>Nail down requirements for NISAR UR and NISAR/S1 On-Demand in terms of EMS, DOI, LANCE.</x:v>
      </x:c>
      <x:c r="F285" s="12" t="str">
        <x:v>Action</x:v>
      </x:c>
      <x:c r="G285" s="12" t="str">
        <x:v>ASF DAAC User Working Group</x:v>
      </x:c>
      <x:c r="H285" s="12" t="n">
        <x:v>2023</x:v>
      </x:c>
      <x:c r="I285" s="12" t="str">
        <x:v>Operational and near-real-time users</x:v>
      </x:c>
      <x:c r="J285" s="12" t="str">
        <x:v>Medium</x:v>
      </x:c>
      <x:c r="K285" s="16" t="n">
        <x:v>0.75</x:v>
      </x:c>
      <x:c r="L285" s="12" t="str">
        <x:v>LSA similarity cluster; human review pending</x:v>
      </x:c>
      <x:c r="M285" s="12" t="str">
        <x:v>Section: 2.7 Action Items</x:v>
      </x:c>
      <x:c r="N285" s="12" t="str"/>
      <x:c r="O285" s="12" t="str">
        <x:v>No</x:v>
      </x:c>
      <x:c r="P285" s="12" t="str">
        <x:v>No</x:v>
      </x:c>
      <x:c r="Q285" s="12"/>
      <x:c r="R285" s="12"/>
    </x:row>
    <x:row r="286">
      <x:c r="A286" s="12" t="str">
        <x:v>EVD-00285</x:v>
      </x:c>
      <x:c r="B286" s="12" t="str">
        <x:v>NEED-0120</x:v>
      </x:c>
      <x:c r="C286" s="12" t="str">
        <x:v>SRC-0003</x:v>
      </x:c>
      <x:c r="D286" s="12" t="str">
        <x:v>Propose a virtual session of Open Science at a later date (the next quarterly meeting) with ASF UWG members, Joel Scott’s team at HQs, JPL (NISAR team). Bring in some Open Science team experts, members from the TOPS team.</x:v>
      </x:c>
      <x:c r="E286" s="12" t="str">
        <x:v>Propose a virtual session of Open Science at a later date (the next quarterly meeting) with ASF UWG members, Joel Scott’s team at HQs, JPL (NISAR team). Bring in some Open Science team experts, members from the TOPS team.</x:v>
      </x:c>
      <x:c r="F286" s="12" t="str">
        <x:v>Action</x:v>
      </x:c>
      <x:c r="G286" s="12" t="str">
        <x:v>ASF DAAC User Working Group</x:v>
      </x:c>
      <x:c r="H286" s="12" t="n">
        <x:v>2023</x:v>
      </x:c>
      <x:c r="I286" s="12" t="str">
        <x:v>Earthdata users</x:v>
      </x:c>
      <x:c r="J286" s="12" t="str">
        <x:v>Medium</x:v>
      </x:c>
      <x:c r="K286" s="16" t="n">
        <x:v>0.75</x:v>
      </x:c>
      <x:c r="L286" s="12" t="str">
        <x:v>LSA similarity cluster; human review pending</x:v>
      </x:c>
      <x:c r="M286" s="12" t="str">
        <x:v>Section: 2.7 Action Items</x:v>
      </x:c>
      <x:c r="N286" s="12" t="str"/>
      <x:c r="O286" s="12" t="str">
        <x:v>No</x:v>
      </x:c>
      <x:c r="P286" s="12" t="str">
        <x:v>No</x:v>
      </x:c>
      <x:c r="Q286" s="12"/>
      <x:c r="R286" s="12"/>
    </x:row>
    <x:row r="287">
      <x:c r="A287" s="12" t="str">
        <x:v>EVD-00286</x:v>
      </x:c>
      <x:c r="B287" s="12" t="str">
        <x:v>NEED-0097</x:v>
      </x:c>
      <x:c r="C287" s="12" t="str">
        <x:v>SRC-0003</x:v>
      </x:c>
      <x:c r="D287" s="12" t="str">
        <x:v>Coordinate an Open Science discussion with UWG.</x:v>
      </x:c>
      <x:c r="E287" s="12" t="str">
        <x:v>Coordinate an Open Science discussion with UWG.</x:v>
      </x:c>
      <x:c r="F287" s="12" t="str">
        <x:v>Action</x:v>
      </x:c>
      <x:c r="G287" s="12" t="str">
        <x:v>ASF DAAC User Working Group</x:v>
      </x:c>
      <x:c r="H287" s="12" t="n">
        <x:v>2023</x:v>
      </x:c>
      <x:c r="I287" s="12" t="str">
        <x:v>Earthdata users</x:v>
      </x:c>
      <x:c r="J287" s="12" t="str">
        <x:v>Medium</x:v>
      </x:c>
      <x:c r="K287" s="16" t="n">
        <x:v>0.75</x:v>
      </x:c>
      <x:c r="L287" s="12" t="str">
        <x:v>LSA similarity cluster; human review pending</x:v>
      </x:c>
      <x:c r="M287" s="12" t="str">
        <x:v>Section: 2.7 Action Items</x:v>
      </x:c>
      <x:c r="N287" s="12" t="str"/>
      <x:c r="O287" s="12" t="str">
        <x:v>No</x:v>
      </x:c>
      <x:c r="P287" s="12" t="str">
        <x:v>No</x:v>
      </x:c>
      <x:c r="Q287" s="12"/>
      <x:c r="R287" s="12"/>
    </x:row>
    <x:row r="288">
      <x:c r="A288" s="12" t="str">
        <x:v>EVD-00287</x:v>
      </x:c>
      <x:c r="B288" s="12" t="str">
        <x:v>NEED-0154</x:v>
      </x:c>
      <x:c r="C288" s="12" t="str">
        <x:v>SRC-0003</x:v>
      </x:c>
      <x:c r="D288" s="12" t="str">
        <x:v>ASF should make sure to relay the Open Science information to their users. Via website, social media, and newsletters. (SB41A compliance-software release authority) SB41A is forward-looking. DAACs should be making their codes Open-Source and available to the public.</x:v>
      </x:c>
      <x:c r="E288" s="12" t="str">
        <x:v>ASF should make sure to relay the Open Science information to their users. Via website, social media, and newsletters. (SB41A compliance-software release authority) SB41A is forward-looking. DAACs should be making their codes Open-Source and available to the public.</x:v>
      </x:c>
      <x:c r="F288" s="12" t="str">
        <x:v>Action</x:v>
      </x:c>
      <x:c r="G288" s="12" t="str">
        <x:v>ASF DAAC User Working Group</x:v>
      </x:c>
      <x:c r="H288" s="12" t="n">
        <x:v>2023</x:v>
      </x:c>
      <x:c r="I288" s="12" t="str">
        <x:v>Application developers</x:v>
      </x:c>
      <x:c r="J288" s="12" t="str">
        <x:v>High</x:v>
      </x:c>
      <x:c r="K288" s="16" t="n">
        <x:v>0.75</x:v>
      </x:c>
      <x:c r="L288" s="12" t="str">
        <x:v>LSA similarity cluster; human review pending</x:v>
      </x:c>
      <x:c r="M288" s="12" t="str">
        <x:v>Section: 2.7 Action Items</x:v>
      </x:c>
      <x:c r="N288" s="12" t="str"/>
      <x:c r="O288" s="12" t="str">
        <x:v>No</x:v>
      </x:c>
      <x:c r="P288" s="12" t="str">
        <x:v>No</x:v>
      </x:c>
      <x:c r="Q288" s="12"/>
      <x:c r="R288" s="12"/>
    </x:row>
    <x:row r="289">
      <x:c r="A289" s="12" t="str">
        <x:v>EVD-00288</x:v>
      </x:c>
      <x:c r="B289" s="12" t="str">
        <x:v>NEED-0173</x:v>
      </x:c>
      <x:c r="C289" s="12" t="str">
        <x:v>SRC-0003</x:v>
      </x:c>
      <x:c r="D289" s="12" t="str">
        <x:v>When ASF is helping someone who is using a tool that someone else has created we need to make sure that the tools (i.e., On Demand products) are properly cited by the person who created the tool. And that the user cites it in their work. Is this part of TOPS curriculum?</x:v>
      </x:c>
      <x:c r="E289" s="12" t="str">
        <x:v>When ASF is helping someone who is using a tool that someone else has created we need to make sure that the tools (i.e., On Demand products) are properly cited by the person who created the tool. And that the user cites it in their work. Is this part of TOPS curriculum?</x:v>
      </x:c>
      <x:c r="F289" s="12" t="str">
        <x:v>Action</x:v>
      </x:c>
      <x:c r="G289" s="12" t="str">
        <x:v>ASF DAAC User Working Group</x:v>
      </x:c>
      <x:c r="H289" s="12" t="n">
        <x:v>2023</x:v>
      </x:c>
      <x:c r="I289" s="12" t="str">
        <x:v>Earthdata users</x:v>
      </x:c>
      <x:c r="J289" s="12" t="str">
        <x:v>High</x:v>
      </x:c>
      <x:c r="K289" s="16" t="n">
        <x:v>0.75</x:v>
      </x:c>
      <x:c r="L289" s="12" t="str">
        <x:v>LSA similarity cluster; human review pending</x:v>
      </x:c>
      <x:c r="M289" s="12" t="str">
        <x:v>Section: 2.7 Action Items</x:v>
      </x:c>
      <x:c r="N289" s="12" t="str"/>
      <x:c r="O289" s="12" t="str">
        <x:v>No</x:v>
      </x:c>
      <x:c r="P289" s="12" t="str">
        <x:v>No</x:v>
      </x:c>
      <x:c r="Q289" s="12"/>
      <x:c r="R289" s="12"/>
    </x:row>
    <x:row r="290">
      <x:c r="A290" s="12" t="str">
        <x:v>EVD-00289</x:v>
      </x:c>
      <x:c r="B290" s="12" t="str">
        <x:v>NEED-0003</x:v>
      </x:c>
      <x:c r="C290" s="12" t="str">
        <x:v>SRC-0003</x:v>
      </x:c>
      <x:c r="D290" s="12" t="str">
        <x:v>We thank the ASDC for hosting a productive UWG meeting and for their critical work making data available to the community. Since the 2021 UWG meeting, ASDC had been running meetings of three sub-groups, which were focused on giving updates on some of the recommendations. We felt that this was a productive activity and we also recognize the effort put into running these meetings by ASDC and are appreciative of that time. The UWG sees this time as one of evolution in NASA data delivery and recommends that ASDC continue to work with the UWG in this time of change. The UWG felt that preparations for TEMPO data delivery, accessibility of airborne data, and continued improvements in metadata so that ASDC products are well represented in Earthdata searches were of high priority. At medium priority, the UWG also recommends moving data products and tools to the cloud for more efficient processing and delivery, increasing accessibility of ASDC data via EOSDIS Worldview, and providing leadership for Science Enabling Centers (SECs). The UWG also recommends providing quarterly updates, evolving UWG membership to be in line with stakeholders, and assisting users to process data in the cloud. We also recommend that ESDS evaluate the pros and cons of Earthdata Login and consider AMP-type data searching and download.</x:v>
      </x:c>
      <x:c r="E290" s="12" t="str">
        <x:v>We thank the ASDC for hosting a productive UWG meeting and for their critical work making data available to the community. Since the 2021 UWG meeting, ASDC had been running meetings of three sub-groups, which were focused on giving updates on some of the recommendations. We felt that this was a productive activity and we also recognize the effort put into running these meetings by ASDC and are appreciative of that time. The UWG sees this time as one of evolution in NASA data delivery and recommends that ASDC continue to work with the UWG in this time of change. The UWG felt that preparations for TEMPO data delivery, accessibility of airborne data, and continued improvements in metadata so that ASDC products are well represented in Earthdata searches were of high priority. At medium priority, the UWG also recommends moving data products and tools to the cloud for more efficient processing and delivery, increasing accessibility of ASDC data via EOSDIS Worldview, and providing leadership for Science Enabling Centers (SECs). The UWG also recommends providing quarterly updates, evolving UWG membership to be in line with stakeholders, and assisting users to process data in the cloud. We also recommend that ESDS evaluate the pros and cons of Earthdata Login and consider AMP-type data searching and download.</x:v>
      </x:c>
      <x:c r="F290" s="12" t="str">
        <x:v>Recommendation</x:v>
      </x:c>
      <x:c r="G290" s="12" t="str">
        <x:v>ASDC DAAC User Working Group</x:v>
      </x:c>
      <x:c r="H290" s="12" t="n">
        <x:v>2023</x:v>
      </x:c>
      <x:c r="I290" s="12" t="str">
        <x:v>Cloud-native researchers</x:v>
      </x:c>
      <x:c r="J290" s="12" t="str">
        <x:v>High</x:v>
      </x:c>
      <x:c r="K290" s="16" t="n">
        <x:v>0.75</x:v>
      </x:c>
      <x:c r="L290" s="12" t="str">
        <x:v>LSA similarity cluster; human review pending</x:v>
      </x:c>
      <x:c r="M290" s="12" t="str">
        <x:v>Section: 3.5 UWG Findings and Recommendations</x:v>
      </x:c>
      <x:c r="N290" s="12" t="str"/>
      <x:c r="O290" s="12" t="str">
        <x:v>No</x:v>
      </x:c>
      <x:c r="P290" s="12" t="str">
        <x:v>No</x:v>
      </x:c>
      <x:c r="Q290" s="12"/>
      <x:c r="R290" s="12"/>
    </x:row>
    <x:row r="291">
      <x:c r="A291" s="12" t="str">
        <x:v>EVD-00290</x:v>
      </x:c>
      <x:c r="B291" s="12" t="str">
        <x:v>NEED-0003</x:v>
      </x:c>
      <x:c r="C291" s="12" t="str">
        <x:v>SRC-0003</x:v>
      </x:c>
      <x:c r="D291" s="12" t="str">
        <x:v>ASDC should develop use cases and examples of researchers using the cloud.*</x:v>
      </x:c>
      <x:c r="E291" s="12" t="str">
        <x:v>ASDC should develop use cases and examples of researchers using the cloud.*</x:v>
      </x:c>
      <x:c r="F291" s="12" t="str">
        <x:v>Recommendation</x:v>
      </x:c>
      <x:c r="G291" s="12" t="str">
        <x:v>ASDC DAAC User Working Group</x:v>
      </x:c>
      <x:c r="H291" s="12" t="n">
        <x:v>2023</x:v>
      </x:c>
      <x:c r="I291" s="12" t="str">
        <x:v>Cloud-native researchers; Earth science researchers</x:v>
      </x:c>
      <x:c r="J291" s="12" t="str">
        <x:v>High</x:v>
      </x:c>
      <x:c r="K291" s="16" t="n">
        <x:v>0.75</x:v>
      </x:c>
      <x:c r="L291" s="12" t="str">
        <x:v>LSA similarity cluster; human review pending</x:v>
      </x:c>
      <x:c r="M291" s="12" t="str">
        <x:v>Section: 3.5 UWG Findings and Recommendations; table row 2</x:v>
      </x:c>
      <x:c r="N291" s="12" t="str"/>
      <x:c r="O291" s="12" t="str">
        <x:v>No</x:v>
      </x:c>
      <x:c r="P291" s="12" t="str">
        <x:v>No</x:v>
      </x:c>
      <x:c r="Q291" s="12"/>
      <x:c r="R291" s="12"/>
    </x:row>
    <x:row r="292">
      <x:c r="A292" s="12" t="str">
        <x:v>EVD-00291</x:v>
      </x:c>
      <x:c r="B292" s="12" t="str">
        <x:v>NEED-0015</x:v>
      </x:c>
      <x:c r="C292" s="12" t="str">
        <x:v>SRC-0003</x:v>
      </x:c>
      <x:c r="D292" s="12" t="str">
        <x:v>ASDC will circulate to the UWG the Cloud Primer provided by Justin Rice for review.</x:v>
      </x:c>
      <x:c r="E292" s="12" t="str">
        <x:v>ASDC will circulate to the UWG the Cloud Primer provided by Justin Rice for review.</x:v>
      </x:c>
      <x:c r="F292" s="12" t="str">
        <x:v>Recommendation</x:v>
      </x:c>
      <x:c r="G292" s="12" t="str">
        <x:v>ASDC DAAC User Working Group</x:v>
      </x:c>
      <x:c r="H292" s="12" t="n">
        <x:v>2023</x:v>
      </x:c>
      <x:c r="I292" s="12" t="str">
        <x:v>Cloud-native researchers</x:v>
      </x:c>
      <x:c r="J292" s="12" t="str">
        <x:v>Medium</x:v>
      </x:c>
      <x:c r="K292" s="16" t="n">
        <x:v>0.75</x:v>
      </x:c>
      <x:c r="L292" s="12" t="str">
        <x:v>LSA similarity cluster; human review pending</x:v>
      </x:c>
      <x:c r="M292" s="12" t="str">
        <x:v>Section: 3.5 UWG Findings and Recommendations; table row 3</x:v>
      </x:c>
      <x:c r="N292" s="12" t="str"/>
      <x:c r="O292" s="12" t="str">
        <x:v>No</x:v>
      </x:c>
      <x:c r="P292" s="12" t="str">
        <x:v>No</x:v>
      </x:c>
      <x:c r="Q292" s="12"/>
      <x:c r="R292" s="12"/>
    </x:row>
    <x:row r="293">
      <x:c r="A293" s="12" t="str">
        <x:v>EVD-00292</x:v>
      </x:c>
      <x:c r="B293" s="12" t="str">
        <x:v>NEED-0003</x:v>
      </x:c>
      <x:c r="C293" s="12" t="str">
        <x:v>SRC-0003</x:v>
      </x:c>
      <x:c r="D293" s="12" t="str">
        <x:v>ASDC will organize a talk where cloud capabilities are demonstrated.</x:v>
      </x:c>
      <x:c r="E293" s="12" t="str">
        <x:v>ASDC will organize a talk where cloud capabilities are demonstrated.</x:v>
      </x:c>
      <x:c r="F293" s="12" t="str">
        <x:v>Recommendation</x:v>
      </x:c>
      <x:c r="G293" s="12" t="str">
        <x:v>ASDC DAAC User Working Group</x:v>
      </x:c>
      <x:c r="H293" s="12" t="n">
        <x:v>2023</x:v>
      </x:c>
      <x:c r="I293" s="12" t="str">
        <x:v>Cloud-native researchers</x:v>
      </x:c>
      <x:c r="J293" s="12" t="str">
        <x:v>Medium</x:v>
      </x:c>
      <x:c r="K293" s="16" t="n">
        <x:v>0.75</x:v>
      </x:c>
      <x:c r="L293" s="12" t="str">
        <x:v>LSA similarity cluster; human review pending</x:v>
      </x:c>
      <x:c r="M293" s="12" t="str">
        <x:v>Section: 3.5 UWG Findings and Recommendations; table row 4</x:v>
      </x:c>
      <x:c r="N293" s="12" t="str"/>
      <x:c r="O293" s="12" t="str">
        <x:v>No</x:v>
      </x:c>
      <x:c r="P293" s="12" t="str">
        <x:v>No</x:v>
      </x:c>
      <x:c r="Q293" s="12"/>
      <x:c r="R293" s="12"/>
    </x:row>
    <x:row r="294">
      <x:c r="A294" s="12" t="str">
        <x:v>EVD-00293</x:v>
      </x:c>
      <x:c r="B294" s="12" t="str">
        <x:v>NEED-0015</x:v>
      </x:c>
      <x:c r="C294" s="12" t="str">
        <x:v>SRC-0003</x:v>
      </x:c>
      <x:c r="D294" s="12" t="str">
        <x:v>ESDIS and DAAC provide a post-mortem on MEaSURES meeting, providing lessons learned, dos and don’ts, how best to use the cloud from that working group.</x:v>
      </x:c>
      <x:c r="E294" s="12" t="str">
        <x:v>ESDIS and DAAC provide a post-mortem on MEaSURES meeting, providing lessons learned, dos and don’ts, how best to use the cloud from that working group.</x:v>
      </x:c>
      <x:c r="F294" s="12" t="str">
        <x:v>Recommendation</x:v>
      </x:c>
      <x:c r="G294" s="12" t="str">
        <x:v>ASDC DAAC User Working Group</x:v>
      </x:c>
      <x:c r="H294" s="12" t="n">
        <x:v>2023</x:v>
      </x:c>
      <x:c r="I294" s="12" t="str">
        <x:v>Cloud-native researchers</x:v>
      </x:c>
      <x:c r="J294" s="12" t="str">
        <x:v>High</x:v>
      </x:c>
      <x:c r="K294" s="16" t="n">
        <x:v>0.75</x:v>
      </x:c>
      <x:c r="L294" s="12" t="str">
        <x:v>LSA similarity cluster; human review pending</x:v>
      </x:c>
      <x:c r="M294" s="12" t="str">
        <x:v>Section: 3.5 UWG Findings and Recommendations; table row 5</x:v>
      </x:c>
      <x:c r="N294" s="12" t="str"/>
      <x:c r="O294" s="12" t="str">
        <x:v>No</x:v>
      </x:c>
      <x:c r="P294" s="12" t="str">
        <x:v>No</x:v>
      </x:c>
      <x:c r="Q294" s="12"/>
      <x:c r="R294" s="12"/>
    </x:row>
    <x:row r="295">
      <x:c r="A295" s="12" t="str">
        <x:v>EVD-00294</x:v>
      </x:c>
      <x:c r="B295" s="12" t="str">
        <x:v>NEED-0123</x:v>
      </x:c>
      <x:c r="C295" s="12" t="str">
        <x:v>SRC-0003</x:v>
      </x:c>
      <x:c r="D295" s="12" t="str">
        <x:v>Madison Broddle will contact the UWG to introduce their graduate students to ASDC. Several UWG members expressed interest in working with graduate students or colleagues on this (e.g. Owen Cooper can ask TOAR colleagues to retrieve satellite data on tropospheric ozone and precursors).</x:v>
      </x:c>
      <x:c r="E295" s="12" t="str">
        <x:v>Madison Broddle will contact the UWG to introduce their graduate students to ASDC. Several UWG members expressed interest in working with graduate students or colleagues on this (e.g. Owen Cooper can ask TOAR colleagues to retrieve satellite data on tropospheric ozone and precursors).</x:v>
      </x:c>
      <x:c r="F295" s="12" t="str">
        <x:v>Recommendation</x:v>
      </x:c>
      <x:c r="G295" s="12" t="str">
        <x:v>ASDC DAAC User Working Group</x:v>
      </x:c>
      <x:c r="H295" s="12" t="n">
        <x:v>2023</x:v>
      </x:c>
      <x:c r="I295" s="12" t="str">
        <x:v>Educators and trainers</x:v>
      </x:c>
      <x:c r="J295" s="12" t="str">
        <x:v>Medium</x:v>
      </x:c>
      <x:c r="K295" s="16" t="n">
        <x:v>0.75</x:v>
      </x:c>
      <x:c r="L295" s="12" t="str">
        <x:v>LSA similarity cluster; human review pending</x:v>
      </x:c>
      <x:c r="M295" s="12" t="str">
        <x:v>Section: 3.5 UWG Findings and Recommendations; table row 6</x:v>
      </x:c>
      <x:c r="N295" s="12" t="str"/>
      <x:c r="O295" s="12" t="str">
        <x:v>No</x:v>
      </x:c>
      <x:c r="P295" s="12" t="str">
        <x:v>No</x:v>
      </x:c>
      <x:c r="Q295" s="12"/>
      <x:c r="R295" s="12"/>
    </x:row>
    <x:row r="296">
      <x:c r="A296" s="12" t="str">
        <x:v>EVD-00295</x:v>
      </x:c>
      <x:c r="B296" s="12" t="str">
        <x:v>NEED-0030</x:v>
      </x:c>
      <x:c r="C296" s="12" t="str">
        <x:v>SRC-0003</x:v>
      </x:c>
      <x:c r="D296" s="12" t="str">
        <x:v>Open a discussion on the data access issues of EPA’s Enviro-Atlas.</x:v>
      </x:c>
      <x:c r="E296" s="12" t="str">
        <x:v>Open a discussion on the data access issues of EPA’s Enviro-Atlas.</x:v>
      </x:c>
      <x:c r="F296" s="12" t="str">
        <x:v>Recommendation</x:v>
      </x:c>
      <x:c r="G296" s="12" t="str">
        <x:v>ASDC DAAC User Working Group</x:v>
      </x:c>
      <x:c r="H296" s="12" t="n">
        <x:v>2023</x:v>
      </x:c>
      <x:c r="I296" s="12" t="str">
        <x:v>Earthdata users</x:v>
      </x:c>
      <x:c r="J296" s="12" t="str">
        <x:v>Medium</x:v>
      </x:c>
      <x:c r="K296" s="16" t="n">
        <x:v>0.75</x:v>
      </x:c>
      <x:c r="L296" s="12" t="str">
        <x:v>LSA similarity cluster; human review pending</x:v>
      </x:c>
      <x:c r="M296" s="12" t="str">
        <x:v>Section: 3.5 UWG Findings and Recommendations; table row 7</x:v>
      </x:c>
      <x:c r="N296" s="12" t="str"/>
      <x:c r="O296" s="12" t="str">
        <x:v>No</x:v>
      </x:c>
      <x:c r="P296" s="12" t="str">
        <x:v>No</x:v>
      </x:c>
      <x:c r="Q296" s="12"/>
      <x:c r="R296" s="12"/>
    </x:row>
    <x:row r="297">
      <x:c r="A297" s="12" t="str">
        <x:v>EVD-00296</x:v>
      </x:c>
      <x:c r="B297" s="12" t="str">
        <x:v>NEED-0069</x:v>
      </x:c>
      <x:c r="C297" s="12" t="str">
        <x:v>SRC-0003</x:v>
      </x:c>
      <x:c r="D297" s="12" t="str">
        <x:v>Provide names of state agency professionals who might want to use data, but are hitting hurdles that professional researchers don’t see. Find more users in the humanities or other disciplines that might be hesitant to use satellite data.</x:v>
      </x:c>
      <x:c r="E297" s="12" t="str">
        <x:v>Provide names of state agency professionals who might want to use data, but are hitting hurdles that professional researchers don’t see. Find more users in the humanities or other disciplines that might be hesitant to use satellite data.</x:v>
      </x:c>
      <x:c r="F297" s="12" t="str">
        <x:v>Recommendation</x:v>
      </x:c>
      <x:c r="G297" s="12" t="str">
        <x:v>ASDC DAAC User Working Group</x:v>
      </x:c>
      <x:c r="H297" s="12" t="n">
        <x:v>2023</x:v>
      </x:c>
      <x:c r="I297" s="12" t="str">
        <x:v>Earth science researchers</x:v>
      </x:c>
      <x:c r="J297" s="12" t="str">
        <x:v>High</x:v>
      </x:c>
      <x:c r="K297" s="16" t="n">
        <x:v>0.75</x:v>
      </x:c>
      <x:c r="L297" s="12" t="str">
        <x:v>LSA similarity cluster; human review pending</x:v>
      </x:c>
      <x:c r="M297" s="12" t="str">
        <x:v>Section: 3.5 UWG Findings and Recommendations; table row 8</x:v>
      </x:c>
      <x:c r="N297" s="12" t="str"/>
      <x:c r="O297" s="12" t="str">
        <x:v>No</x:v>
      </x:c>
      <x:c r="P297" s="12" t="str">
        <x:v>No</x:v>
      </x:c>
      <x:c r="Q297" s="12"/>
      <x:c r="R297" s="12"/>
    </x:row>
    <x:row r="298">
      <x:c r="A298" s="12" t="str">
        <x:v>EVD-00297</x:v>
      </x:c>
      <x:c r="B298" s="12" t="str">
        <x:v>NEED-0068</x:v>
      </x:c>
      <x:c r="C298" s="12" t="str">
        <x:v>SRC-0003</x:v>
      </x:c>
      <x:c r="D298" s="12" t="str">
        <x:v>ASDC will update the metadata and ESDT's so that tools such as the subsetter that are associated with Collections are discoverable by EDS users.</x:v>
      </x:c>
      <x:c r="E298" s="12" t="str">
        <x:v>ASDC will update the metadata and ESDT's so that tools such as the subsetter that are associated with Collections are discoverable by EDS users.</x:v>
      </x:c>
      <x:c r="F298" s="12" t="str">
        <x:v>Recommendation</x:v>
      </x:c>
      <x:c r="G298" s="12" t="str">
        <x:v>ASDC DAAC User Working Group</x:v>
      </x:c>
      <x:c r="H298" s="12" t="n">
        <x:v>2023</x:v>
      </x:c>
      <x:c r="I298" s="12" t="str">
        <x:v>Earthdata users</x:v>
      </x:c>
      <x:c r="J298" s="12" t="str">
        <x:v>Medium</x:v>
      </x:c>
      <x:c r="K298" s="16" t="n">
        <x:v>0.75</x:v>
      </x:c>
      <x:c r="L298" s="12" t="str">
        <x:v>LSA similarity cluster; human review pending</x:v>
      </x:c>
      <x:c r="M298" s="12" t="str">
        <x:v>Section: 3.5 UWG Findings and Recommendations; table row 9</x:v>
      </x:c>
      <x:c r="N298" s="12" t="str"/>
      <x:c r="O298" s="12" t="str">
        <x:v>No</x:v>
      </x:c>
      <x:c r="P298" s="12" t="str">
        <x:v>No</x:v>
      </x:c>
      <x:c r="Q298" s="12"/>
      <x:c r="R298" s="12"/>
    </x:row>
    <x:row r="299">
      <x:c r="A299" s="12" t="str">
        <x:v>EVD-00298</x:v>
      </x:c>
      <x:c r="B299" s="12" t="str">
        <x:v>NEED-0045</x:v>
      </x:c>
      <x:c r="C299" s="12" t="str">
        <x:v>SRC-0003</x:v>
      </x:c>
      <x:c r="D299" s="12" t="str">
        <x:v>ASDC will communicate to ESDIS that EDS bulk download scripts should include comments in case users don’t use the programming language provided and allow them to use a programming language they prefer to use.</x:v>
      </x:c>
      <x:c r="E299" s="12" t="str">
        <x:v>ASDC will communicate to ESDIS that EDS bulk download scripts should include comments in case users don’t use the programming language provided and allow them to use a programming language they prefer to use.</x:v>
      </x:c>
      <x:c r="F299" s="12" t="str">
        <x:v>Recommendation</x:v>
      </x:c>
      <x:c r="G299" s="12" t="str">
        <x:v>ASDC DAAC User Working Group</x:v>
      </x:c>
      <x:c r="H299" s="12" t="n">
        <x:v>2023</x:v>
      </x:c>
      <x:c r="I299" s="12" t="str">
        <x:v>Earthdata users</x:v>
      </x:c>
      <x:c r="J299" s="12" t="str">
        <x:v>High</x:v>
      </x:c>
      <x:c r="K299" s="16" t="n">
        <x:v>0.75</x:v>
      </x:c>
      <x:c r="L299" s="12" t="str">
        <x:v>LSA similarity cluster; human review pending</x:v>
      </x:c>
      <x:c r="M299" s="12" t="str">
        <x:v>Section: 3.5 UWG Findings and Recommendations; table row 10</x:v>
      </x:c>
      <x:c r="N299" s="12" t="str"/>
      <x:c r="O299" s="12" t="str">
        <x:v>No</x:v>
      </x:c>
      <x:c r="P299" s="12" t="str">
        <x:v>No</x:v>
      </x:c>
      <x:c r="Q299" s="12"/>
      <x:c r="R299" s="12"/>
    </x:row>
    <x:row r="300">
      <x:c r="A300" s="12" t="str">
        <x:v>EVD-00299</x:v>
      </x:c>
      <x:c r="B300" s="12" t="str">
        <x:v>NEED-0153</x:v>
      </x:c>
      <x:c r="C300" s="12" t="str">
        <x:v>SRC-0003</x:v>
      </x:c>
      <x:c r="D300" s="12" t="str">
        <x:v>The ASDC will investigate providing generalized readmes in DDD or providing a link on DDD back to the ASDC website landing page.</x:v>
      </x:c>
      <x:c r="E300" s="12" t="str">
        <x:v>The ASDC will investigate providing generalized readmes in DDD or providing a link on DDD back to the ASDC website landing page.</x:v>
      </x:c>
      <x:c r="F300" s="12" t="str">
        <x:v>Recommendation</x:v>
      </x:c>
      <x:c r="G300" s="12" t="str">
        <x:v>ASDC DAAC User Working Group</x:v>
      </x:c>
      <x:c r="H300" s="12" t="n">
        <x:v>2023</x:v>
      </x:c>
      <x:c r="I300" s="12" t="str">
        <x:v>Earthdata users</x:v>
      </x:c>
      <x:c r="J300" s="12" t="str">
        <x:v>Medium</x:v>
      </x:c>
      <x:c r="K300" s="16" t="n">
        <x:v>0.75</x:v>
      </x:c>
      <x:c r="L300" s="12" t="str">
        <x:v>LSA similarity cluster; human review pending</x:v>
      </x:c>
      <x:c r="M300" s="12" t="str">
        <x:v>Section: 3.5 UWG Findings and Recommendations; table row 11</x:v>
      </x:c>
      <x:c r="N300" s="12" t="str"/>
      <x:c r="O300" s="12" t="str">
        <x:v>No</x:v>
      </x:c>
      <x:c r="P300" s="12" t="str">
        <x:v>No</x:v>
      </x:c>
      <x:c r="Q300" s="12"/>
      <x:c r="R300" s="12"/>
    </x:row>
    <x:row r="301">
      <x:c r="A301" s="12" t="str">
        <x:v>EVD-00300</x:v>
      </x:c>
      <x:c r="B301" s="12" t="str">
        <x:v>NEED-0049</x:v>
      </x:c>
      <x:c r="C301" s="12" t="str">
        <x:v>SRC-0003</x:v>
      </x:c>
      <x:c r="D301" s="12" t="str">
        <x:v>The ASDC will investigate providing a link on related Earthdata Search pages back to the Forum in lieu of live chat support option as would be on a commercial website.</x:v>
      </x:c>
      <x:c r="E301" s="12" t="str">
        <x:v>The ASDC will investigate providing a link on related Earthdata Search pages back to the Forum in lieu of live chat support option as would be on a commercial website.</x:v>
      </x:c>
      <x:c r="F301" s="12" t="str">
        <x:v>Recommendation</x:v>
      </x:c>
      <x:c r="G301" s="12" t="str">
        <x:v>ASDC DAAC User Working Group</x:v>
      </x:c>
      <x:c r="H301" s="12" t="n">
        <x:v>2023</x:v>
      </x:c>
      <x:c r="I301" s="12" t="str">
        <x:v>Earthdata users</x:v>
      </x:c>
      <x:c r="J301" s="12" t="str">
        <x:v>High</x:v>
      </x:c>
      <x:c r="K301" s="16" t="n">
        <x:v>0.75</x:v>
      </x:c>
      <x:c r="L301" s="12" t="str">
        <x:v>LSA similarity cluster; human review pending</x:v>
      </x:c>
      <x:c r="M301" s="12" t="str">
        <x:v>Section: 3.5 UWG Findings and Recommendations; table row 12</x:v>
      </x:c>
      <x:c r="N301" s="12" t="str"/>
      <x:c r="O301" s="12" t="str">
        <x:v>No</x:v>
      </x:c>
      <x:c r="P301" s="12" t="str">
        <x:v>No</x:v>
      </x:c>
      <x:c r="Q301" s="12"/>
      <x:c r="R301" s="12"/>
    </x:row>
    <x:row r="302">
      <x:c r="A302" s="12" t="str">
        <x:v>EVD-00301</x:v>
      </x:c>
      <x:c r="B302" s="12" t="str">
        <x:v>NEED-0052</x:v>
      </x:c>
      <x:c r="C302" s="12" t="str">
        <x:v>SRC-0003</x:v>
      </x:c>
      <x:c r="D302" s="12" t="str">
        <x:v>ASDC should talk to data providers to let them know what metadata should be added to their product so that interoperability tools will work.</x:v>
      </x:c>
      <x:c r="E302" s="12" t="str">
        <x:v>ASDC should talk to data providers to let them know what metadata should be added to their product so that interoperability tools will work.</x:v>
      </x:c>
      <x:c r="F302" s="12" t="str">
        <x:v>Recommendation</x:v>
      </x:c>
      <x:c r="G302" s="12" t="str">
        <x:v>ASDC DAAC User Working Group</x:v>
      </x:c>
      <x:c r="H302" s="12" t="n">
        <x:v>2023</x:v>
      </x:c>
      <x:c r="I302" s="12" t="str">
        <x:v>Earthdata users</x:v>
      </x:c>
      <x:c r="J302" s="12" t="str">
        <x:v>High</x:v>
      </x:c>
      <x:c r="K302" s="16" t="n">
        <x:v>0.75</x:v>
      </x:c>
      <x:c r="L302" s="12" t="str">
        <x:v>LSA similarity cluster; human review pending</x:v>
      </x:c>
      <x:c r="M302" s="12" t="str">
        <x:v>Section: 3.5 UWG Findings and Recommendations; table row 13</x:v>
      </x:c>
      <x:c r="N302" s="12" t="str"/>
      <x:c r="O302" s="12" t="str">
        <x:v>No</x:v>
      </x:c>
      <x:c r="P302" s="12" t="str">
        <x:v>No</x:v>
      </x:c>
      <x:c r="Q302" s="12"/>
      <x:c r="R302" s="12"/>
    </x:row>
    <x:row r="303">
      <x:c r="A303" s="12" t="str">
        <x:v>EVD-00302</x:v>
      </x:c>
      <x:c r="B303" s="12" t="str">
        <x:v>NEED-0171</x:v>
      </x:c>
      <x:c r="C303" s="12" t="str">
        <x:v>SRC-0003</x:v>
      </x:c>
      <x:c r="D303" s="12" t="str">
        <x:v>Consider adding more data to Worldview.</x:v>
      </x:c>
      <x:c r="E303" s="12" t="str">
        <x:v>Consider adding more data to Worldview.</x:v>
      </x:c>
      <x:c r="F303" s="12" t="str">
        <x:v>Recommendation</x:v>
      </x:c>
      <x:c r="G303" s="12" t="str">
        <x:v>ASDC DAAC User Working Group</x:v>
      </x:c>
      <x:c r="H303" s="12" t="n">
        <x:v>2023</x:v>
      </x:c>
      <x:c r="I303" s="12" t="str">
        <x:v>Earthdata users</x:v>
      </x:c>
      <x:c r="J303" s="12" t="str">
        <x:v>High</x:v>
      </x:c>
      <x:c r="K303" s="16" t="n">
        <x:v>0.75</x:v>
      </x:c>
      <x:c r="L303" s="12" t="str">
        <x:v>LSA similarity cluster; human review pending</x:v>
      </x:c>
      <x:c r="M303" s="12" t="str">
        <x:v>Section: 3.5 UWG Findings and Recommendations; table row 14</x:v>
      </x:c>
      <x:c r="N303" s="12" t="str"/>
      <x:c r="O303" s="12" t="str">
        <x:v>No</x:v>
      </x:c>
      <x:c r="P303" s="12" t="str">
        <x:v>No</x:v>
      </x:c>
      <x:c r="Q303" s="12"/>
      <x:c r="R303" s="12"/>
    </x:row>
    <x:row r="304">
      <x:c r="A304" s="12" t="str">
        <x:v>EVD-00303</x:v>
      </x:c>
      <x:c r="B304" s="12" t="str">
        <x:v>NEED-0064</x:v>
      </x:c>
      <x:c r="C304" s="12" t="str">
        <x:v>SRC-0003</x:v>
      </x:c>
      <x:c r="D304" s="12" t="str">
        <x:v>Developing tools to refine searching (ontology).</x:v>
      </x:c>
      <x:c r="E304" s="12" t="str">
        <x:v>Developing tools to refine searching (ontology).</x:v>
      </x:c>
      <x:c r="F304" s="12" t="str">
        <x:v>Recommendation</x:v>
      </x:c>
      <x:c r="G304" s="12" t="str">
        <x:v>ASDC DAAC User Working Group</x:v>
      </x:c>
      <x:c r="H304" s="12" t="n">
        <x:v>2023</x:v>
      </x:c>
      <x:c r="I304" s="12" t="str">
        <x:v>Earthdata users</x:v>
      </x:c>
      <x:c r="J304" s="12" t="str">
        <x:v>Medium</x:v>
      </x:c>
      <x:c r="K304" s="16" t="n">
        <x:v>0.75</x:v>
      </x:c>
      <x:c r="L304" s="12" t="str">
        <x:v>LSA similarity cluster; human review pending</x:v>
      </x:c>
      <x:c r="M304" s="12" t="str">
        <x:v>Section: 3.5 UWG Findings and Recommendations; table row 15</x:v>
      </x:c>
      <x:c r="N304" s="12" t="str"/>
      <x:c r="O304" s="12" t="str">
        <x:v>No</x:v>
      </x:c>
      <x:c r="P304" s="12" t="str">
        <x:v>No</x:v>
      </x:c>
      <x:c r="Q304" s="12"/>
      <x:c r="R304" s="12"/>
    </x:row>
    <x:row r="305">
      <x:c r="A305" s="12" t="str">
        <x:v>EVD-00304</x:v>
      </x:c>
      <x:c r="B305" s="12" t="str">
        <x:v>NEED-0172</x:v>
      </x:c>
      <x:c r="C305" s="12" t="str">
        <x:v>SRC-0003</x:v>
      </x:c>
      <x:c r="D305" s="12" t="str">
        <x:v>Continue development of ASDC specific tools such as SOOT and DDD with feedback from users.</x:v>
      </x:c>
      <x:c r="E305" s="12" t="str">
        <x:v>Continue development of ASDC specific tools such as SOOT and DDD with feedback from users.</x:v>
      </x:c>
      <x:c r="F305" s="12" t="str">
        <x:v>Recommendation</x:v>
      </x:c>
      <x:c r="G305" s="12" t="str">
        <x:v>ASDC DAAC User Working Group</x:v>
      </x:c>
      <x:c r="H305" s="12" t="n">
        <x:v>2023</x:v>
      </x:c>
      <x:c r="I305" s="12" t="str">
        <x:v>Earthdata users</x:v>
      </x:c>
      <x:c r="J305" s="12" t="str">
        <x:v>High</x:v>
      </x:c>
      <x:c r="K305" s="16" t="n">
        <x:v>0.75</x:v>
      </x:c>
      <x:c r="L305" s="12" t="str">
        <x:v>LSA similarity cluster; human review pending</x:v>
      </x:c>
      <x:c r="M305" s="12" t="str">
        <x:v>Section: 3.5 UWG Findings and Recommendations; table row 16</x:v>
      </x:c>
      <x:c r="N305" s="12" t="str"/>
      <x:c r="O305" s="12" t="str">
        <x:v>No</x:v>
      </x:c>
      <x:c r="P305" s="12" t="str">
        <x:v>No</x:v>
      </x:c>
      <x:c r="Q305" s="12"/>
      <x:c r="R305" s="12"/>
    </x:row>
    <x:row r="306">
      <x:c r="A306" s="12" t="str">
        <x:v>EVD-00305</x:v>
      </x:c>
      <x:c r="B306" s="12" t="str">
        <x:v>NEED-0063</x:v>
      </x:c>
      <x:c r="C306" s="12" t="str">
        <x:v>SRC-0003</x:v>
      </x:c>
      <x:c r="D306" s="12" t="str">
        <x:v>ASDC should ensure that most up-to-date versions of field campaign data are archived (e.g., DISCOVER AQ).</x:v>
      </x:c>
      <x:c r="E306" s="12" t="str">
        <x:v>ASDC should ensure that most up-to-date versions of field campaign data are archived (e.g., DISCOVER AQ).</x:v>
      </x:c>
      <x:c r="F306" s="12" t="str">
        <x:v>Recommendation</x:v>
      </x:c>
      <x:c r="G306" s="12" t="str">
        <x:v>ASDC DAAC User Working Group</x:v>
      </x:c>
      <x:c r="H306" s="12" t="n">
        <x:v>2023</x:v>
      </x:c>
      <x:c r="I306" s="12" t="str">
        <x:v>Data producers and mission teams</x:v>
      </x:c>
      <x:c r="J306" s="12" t="str">
        <x:v>High</x:v>
      </x:c>
      <x:c r="K306" s="16" t="n">
        <x:v>0.75</x:v>
      </x:c>
      <x:c r="L306" s="12" t="str">
        <x:v>LSA similarity cluster; human review pending</x:v>
      </x:c>
      <x:c r="M306" s="12" t="str">
        <x:v>Section: 3.5 UWG Findings and Recommendations; table row 17</x:v>
      </x:c>
      <x:c r="N306" s="12" t="str"/>
      <x:c r="O306" s="12" t="str">
        <x:v>No</x:v>
      </x:c>
      <x:c r="P306" s="12" t="str">
        <x:v>No</x:v>
      </x:c>
      <x:c r="Q306" s="12"/>
      <x:c r="R306" s="12"/>
    </x:row>
    <x:row r="307">
      <x:c r="A307" s="12" t="str">
        <x:v>EVD-00306</x:v>
      </x:c>
      <x:c r="B307" s="12" t="str">
        <x:v>NEED-0025</x:v>
      </x:c>
      <x:c r="C307" s="12" t="str">
        <x:v>SRC-0003</x:v>
      </x:c>
      <x:c r="D307" s="12" t="str">
        <x:v>To aid in preparations for TEMPO, ASDC should work with Aaron Naeger at UAH (Deputy Applications Lead for TEMPO) for integrating TEMPO Synthetic Data at ASDC to mimic data access after launch.</x:v>
      </x:c>
      <x:c r="E307" s="12" t="str">
        <x:v>To aid in preparations for TEMPO, ASDC should work with Aaron Naeger at UAH (Deputy Applications Lead for TEMPO) for integrating TEMPO Synthetic Data at ASDC to mimic data access after launch.</x:v>
      </x:c>
      <x:c r="F307" s="12" t="str">
        <x:v>Recommendation</x:v>
      </x:c>
      <x:c r="G307" s="12" t="str">
        <x:v>ASDC DAAC User Working Group</x:v>
      </x:c>
      <x:c r="H307" s="12" t="n">
        <x:v>2023</x:v>
      </x:c>
      <x:c r="I307" s="12" t="str">
        <x:v>Earthdata users</x:v>
      </x:c>
      <x:c r="J307" s="12" t="str">
        <x:v>High</x:v>
      </x:c>
      <x:c r="K307" s="16" t="n">
        <x:v>0.75</x:v>
      </x:c>
      <x:c r="L307" s="12" t="str">
        <x:v>LSA similarity cluster; human review pending</x:v>
      </x:c>
      <x:c r="M307" s="12" t="str">
        <x:v>Section: 3.5 UWG Findings and Recommendations; table row 18</x:v>
      </x:c>
      <x:c r="N307" s="12" t="str"/>
      <x:c r="O307" s="12" t="str">
        <x:v>No</x:v>
      </x:c>
      <x:c r="P307" s="12" t="str">
        <x:v>No</x:v>
      </x:c>
      <x:c r="Q307" s="12"/>
      <x:c r="R307" s="12"/>
    </x:row>
    <x:row r="308">
      <x:c r="A308" s="12" t="str">
        <x:v>EVD-00307</x:v>
      </x:c>
      <x:c r="B308" s="12" t="str">
        <x:v>NEED-0119</x:v>
      </x:c>
      <x:c r="C308" s="12" t="str">
        <x:v>SRC-0003</x:v>
      </x:c>
      <x:c r="D308" s="12" t="str">
        <x:v>Continue preparation for TEMPO and other missions (e.g. MAIA) via early-adopter type mechanisms to engage stakeholders (e.g., EPA OAR, HAQAST, HEI).</x:v>
      </x:c>
      <x:c r="E308" s="12" t="str">
        <x:v>Continue preparation for TEMPO and other missions (e.g. MAIA) via early-adopter type mechanisms to engage stakeholders (e.g., EPA OAR, HAQAST, HEI).</x:v>
      </x:c>
      <x:c r="F308" s="12" t="str">
        <x:v>Recommendation</x:v>
      </x:c>
      <x:c r="G308" s="12" t="str">
        <x:v>ASDC DAAC User Working Group</x:v>
      </x:c>
      <x:c r="H308" s="12" t="n">
        <x:v>2023</x:v>
      </x:c>
      <x:c r="I308" s="12" t="str">
        <x:v>Data producers and mission teams</x:v>
      </x:c>
      <x:c r="J308" s="12" t="str">
        <x:v>High</x:v>
      </x:c>
      <x:c r="K308" s="16" t="n">
        <x:v>0.75</x:v>
      </x:c>
      <x:c r="L308" s="12" t="str">
        <x:v>LSA similarity cluster; human review pending</x:v>
      </x:c>
      <x:c r="M308" s="12" t="str">
        <x:v>Section: 3.5 UWG Findings and Recommendations; table row 2</x:v>
      </x:c>
      <x:c r="N308" s="12" t="str"/>
      <x:c r="O308" s="12" t="str">
        <x:v>No</x:v>
      </x:c>
      <x:c r="P308" s="12" t="str">
        <x:v>No</x:v>
      </x:c>
      <x:c r="Q308" s="12"/>
      <x:c r="R308" s="12"/>
    </x:row>
    <x:row r="309">
      <x:c r="A309" s="12" t="str">
        <x:v>EVD-00308</x:v>
      </x:c>
      <x:c r="B309" s="12" t="str">
        <x:v>NEED-0051</x:v>
      </x:c>
      <x:c r="C309" s="12" t="str">
        <x:v>SRC-0003</x:v>
      </x:c>
      <x:c r="D309" s="12" t="str">
        <x:v>Improve airborne data accessibility (e.g., SOOT, metadata, Worldview).</x:v>
      </x:c>
      <x:c r="E309" s="12" t="str">
        <x:v>Improve airborne data accessibility (e.g., SOOT, metadata, Worldview).</x:v>
      </x:c>
      <x:c r="F309" s="12" t="str">
        <x:v>Recommendation</x:v>
      </x:c>
      <x:c r="G309" s="12" t="str">
        <x:v>ASDC DAAC User Working Group</x:v>
      </x:c>
      <x:c r="H309" s="12" t="n">
        <x:v>2023</x:v>
      </x:c>
      <x:c r="I309" s="12" t="str">
        <x:v>Earthdata users</x:v>
      </x:c>
      <x:c r="J309" s="12" t="str">
        <x:v>High</x:v>
      </x:c>
      <x:c r="K309" s="16" t="n">
        <x:v>0.75</x:v>
      </x:c>
      <x:c r="L309" s="12" t="str">
        <x:v>LSA similarity cluster; human review pending</x:v>
      </x:c>
      <x:c r="M309" s="12" t="str">
        <x:v>Section: 3.5 UWG Findings and Recommendations; table row 3</x:v>
      </x:c>
      <x:c r="N309" s="12" t="str"/>
      <x:c r="O309" s="12" t="str">
        <x:v>No</x:v>
      </x:c>
      <x:c r="P309" s="12" t="str">
        <x:v>No</x:v>
      </x:c>
      <x:c r="Q309" s="12"/>
      <x:c r="R309" s="12"/>
    </x:row>
    <x:row r="310">
      <x:c r="A310" s="12" t="str">
        <x:v>EVD-00309</x:v>
      </x:c>
      <x:c r="B310" s="12" t="str">
        <x:v>NEED-0049</x:v>
      </x:c>
      <x:c r="C310" s="12" t="str">
        <x:v>SRC-0003</x:v>
      </x:c>
      <x:c r="D310" s="12" t="str">
        <x:v>Improve metadata so as to improve Earthdata Search data visibility.</x:v>
      </x:c>
      <x:c r="E310" s="12" t="str">
        <x:v>Improve metadata so as to improve Earthdata Search data visibility.</x:v>
      </x:c>
      <x:c r="F310" s="12" t="str">
        <x:v>Recommendation</x:v>
      </x:c>
      <x:c r="G310" s="12" t="str">
        <x:v>ASDC DAAC User Working Group</x:v>
      </x:c>
      <x:c r="H310" s="12" t="n">
        <x:v>2023</x:v>
      </x:c>
      <x:c r="I310" s="12" t="str">
        <x:v>Earthdata users</x:v>
      </x:c>
      <x:c r="J310" s="12" t="str">
        <x:v>High</x:v>
      </x:c>
      <x:c r="K310" s="16" t="n">
        <x:v>0.75</x:v>
      </x:c>
      <x:c r="L310" s="12" t="str">
        <x:v>LSA similarity cluster; human review pending</x:v>
      </x:c>
      <x:c r="M310" s="12" t="str">
        <x:v>Section: 3.5 UWG Findings and Recommendations; table row 4</x:v>
      </x:c>
      <x:c r="N310" s="12" t="str"/>
      <x:c r="O310" s="12" t="str">
        <x:v>No</x:v>
      </x:c>
      <x:c r="P310" s="12" t="str">
        <x:v>No</x:v>
      </x:c>
      <x:c r="Q310" s="12"/>
      <x:c r="R310" s="12"/>
    </x:row>
    <x:row r="311">
      <x:c r="A311" s="12" t="str">
        <x:v>EVD-00310</x:v>
      </x:c>
      <x:c r="B311" s="12" t="str">
        <x:v>NEED-0003</x:v>
      </x:c>
      <x:c r="C311" s="12" t="str">
        <x:v>SRC-0003</x:v>
      </x:c>
      <x:c r="D311" s="12" t="str">
        <x:v>Move tools to the cloud when possible, enabling subsetting, time series extraction, data exploration prior to download.</x:v>
      </x:c>
      <x:c r="E311" s="12" t="str">
        <x:v>Move tools to the cloud when possible, enabling subsetting, time series extraction, data exploration prior to download.</x:v>
      </x:c>
      <x:c r="F311" s="12" t="str">
        <x:v>Action</x:v>
      </x:c>
      <x:c r="G311" s="12" t="str">
        <x:v>ASDC DAAC User Working Group</x:v>
      </x:c>
      <x:c r="H311" s="12" t="n">
        <x:v>2023</x:v>
      </x:c>
      <x:c r="I311" s="12" t="str">
        <x:v>Cloud-native researchers</x:v>
      </x:c>
      <x:c r="J311" s="12" t="str">
        <x:v>Medium</x:v>
      </x:c>
      <x:c r="K311" s="16" t="n">
        <x:v>0.75</x:v>
      </x:c>
      <x:c r="L311" s="12" t="str">
        <x:v>LSA similarity cluster; human review pending</x:v>
      </x:c>
      <x:c r="M311" s="12" t="str">
        <x:v>Section: 3.5 UWG Findings and Recommendations; table row 5</x:v>
      </x:c>
      <x:c r="N311" s="12" t="str"/>
      <x:c r="O311" s="12" t="str">
        <x:v>No</x:v>
      </x:c>
      <x:c r="P311" s="12" t="str">
        <x:v>No</x:v>
      </x:c>
      <x:c r="Q311" s="12"/>
      <x:c r="R311" s="12"/>
    </x:row>
    <x:row r="312">
      <x:c r="A312" s="12" t="str">
        <x:v>EVD-00311</x:v>
      </x:c>
      <x:c r="B312" s="12" t="str">
        <x:v>NEED-0171</x:v>
      </x:c>
      <x:c r="C312" s="12" t="str">
        <x:v>SRC-0003</x:v>
      </x:c>
      <x:c r="D312" s="12" t="str">
        <x:v>Improve visibility of ASDC data through Worldview, including both airborne and TEMPO data.</x:v>
      </x:c>
      <x:c r="E312" s="12" t="str">
        <x:v>Improve visibility of ASDC data through Worldview, including both airborne and TEMPO data.</x:v>
      </x:c>
      <x:c r="F312" s="12" t="str">
        <x:v>Recommendation</x:v>
      </x:c>
      <x:c r="G312" s="12" t="str">
        <x:v>ASDC DAAC User Working Group</x:v>
      </x:c>
      <x:c r="H312" s="12" t="n">
        <x:v>2023</x:v>
      </x:c>
      <x:c r="I312" s="12" t="str">
        <x:v>Earthdata users</x:v>
      </x:c>
      <x:c r="J312" s="12" t="str">
        <x:v>High</x:v>
      </x:c>
      <x:c r="K312" s="16" t="n">
        <x:v>0.75</x:v>
      </x:c>
      <x:c r="L312" s="12" t="str">
        <x:v>LSA similarity cluster; human review pending</x:v>
      </x:c>
      <x:c r="M312" s="12" t="str">
        <x:v>Section: 3.5 UWG Findings and Recommendations; table row 6</x:v>
      </x:c>
      <x:c r="N312" s="12" t="str"/>
      <x:c r="O312" s="12" t="str">
        <x:v>No</x:v>
      </x:c>
      <x:c r="P312" s="12" t="str">
        <x:v>No</x:v>
      </x:c>
      <x:c r="Q312" s="12"/>
      <x:c r="R312" s="12"/>
    </x:row>
    <x:row r="313">
      <x:c r="A313" s="12" t="str">
        <x:v>EVD-00312</x:v>
      </x:c>
      <x:c r="B313" s="12" t="str">
        <x:v>NEED-0120</x:v>
      </x:c>
      <x:c r="C313" s="12" t="str">
        <x:v>SRC-0003</x:v>
      </x:c>
      <x:c r="D313" s="12" t="str">
        <x:v>Provide leadership for Science Enabling Center(s) in ASDC areas (e.g., air quality, energy).</x:v>
      </x:c>
      <x:c r="E313" s="12" t="str">
        <x:v>Provide leadership for Science Enabling Center(s) in ASDC areas (e.g., air quality, energy).</x:v>
      </x:c>
      <x:c r="F313" s="12" t="str">
        <x:v>Recommendation</x:v>
      </x:c>
      <x:c r="G313" s="12" t="str">
        <x:v>ASDC DAAC User Working Group</x:v>
      </x:c>
      <x:c r="H313" s="12" t="n">
        <x:v>2023</x:v>
      </x:c>
      <x:c r="I313" s="12" t="str">
        <x:v>Earthdata users</x:v>
      </x:c>
      <x:c r="J313" s="12" t="str">
        <x:v>High</x:v>
      </x:c>
      <x:c r="K313" s="16" t="n">
        <x:v>0.75</x:v>
      </x:c>
      <x:c r="L313" s="12" t="str">
        <x:v>LSA similarity cluster; human review pending</x:v>
      </x:c>
      <x:c r="M313" s="12" t="str">
        <x:v>Section: 3.5 UWG Findings and Recommendations; table row 7</x:v>
      </x:c>
      <x:c r="N313" s="12" t="str"/>
      <x:c r="O313" s="12" t="str">
        <x:v>No</x:v>
      </x:c>
      <x:c r="P313" s="12" t="str">
        <x:v>No</x:v>
      </x:c>
      <x:c r="Q313" s="12"/>
      <x:c r="R313" s="12"/>
    </x:row>
    <x:row r="314">
      <x:c r="A314" s="12" t="str">
        <x:v>EVD-00313</x:v>
      </x:c>
      <x:c r="B314" s="12" t="str">
        <x:v>NEED-0140</x:v>
      </x:c>
      <x:c r="C314" s="12" t="str">
        <x:v>SRC-0003</x:v>
      </x:c>
      <x:c r="D314" s="12" t="str">
        <x:v>Provide ASDC-UWG updates quarterly via quarterly virtual meetings.</x:v>
      </x:c>
      <x:c r="E314" s="12" t="str">
        <x:v>Provide ASDC-UWG updates quarterly via quarterly virtual meetings.</x:v>
      </x:c>
      <x:c r="F314" s="12" t="str">
        <x:v>Recommendation</x:v>
      </x:c>
      <x:c r="G314" s="12" t="str">
        <x:v>ASDC DAAC User Working Group</x:v>
      </x:c>
      <x:c r="H314" s="12" t="n">
        <x:v>2023</x:v>
      </x:c>
      <x:c r="I314" s="12" t="str">
        <x:v>Earthdata users</x:v>
      </x:c>
      <x:c r="J314" s="12" t="str">
        <x:v>High</x:v>
      </x:c>
      <x:c r="K314" s="16" t="n">
        <x:v>0.75</x:v>
      </x:c>
      <x:c r="L314" s="12" t="str">
        <x:v>LSA similarity cluster; human review pending</x:v>
      </x:c>
      <x:c r="M314" s="12" t="str">
        <x:v>Section: 3.5 UWG Findings and Recommendations; table row 8</x:v>
      </x:c>
      <x:c r="N314" s="12" t="str"/>
      <x:c r="O314" s="12" t="str">
        <x:v>No</x:v>
      </x:c>
      <x:c r="P314" s="12" t="str">
        <x:v>No</x:v>
      </x:c>
      <x:c r="Q314" s="12"/>
      <x:c r="R314" s="12"/>
    </x:row>
    <x:row r="315">
      <x:c r="A315" s="12" t="str">
        <x:v>EVD-00314</x:v>
      </x:c>
      <x:c r="B315" s="12" t="str">
        <x:v>NEED-0124</x:v>
      </x:c>
      <x:c r="C315" s="12" t="str">
        <x:v>SRC-0003</x:v>
      </x:c>
      <x:c r="D315" s="12" t="str">
        <x:v>Evolve UWG membership to stay in line with stakeholder needs.</x:v>
      </x:c>
      <x:c r="E315" s="12" t="str">
        <x:v>Evolve UWG membership to stay in line with stakeholder needs.</x:v>
      </x:c>
      <x:c r="F315" s="12" t="str">
        <x:v>Recommendation</x:v>
      </x:c>
      <x:c r="G315" s="12" t="str">
        <x:v>ASDC DAAC User Working Group</x:v>
      </x:c>
      <x:c r="H315" s="12" t="n">
        <x:v>2023</x:v>
      </x:c>
      <x:c r="I315" s="12" t="str">
        <x:v>Earthdata users</x:v>
      </x:c>
      <x:c r="J315" s="12" t="str">
        <x:v>Medium</x:v>
      </x:c>
      <x:c r="K315" s="16" t="n">
        <x:v>0.75</x:v>
      </x:c>
      <x:c r="L315" s="12" t="str">
        <x:v>LSA similarity cluster; human review pending</x:v>
      </x:c>
      <x:c r="M315" s="12" t="str">
        <x:v>Section: 3.5 UWG Findings and Recommendations; table row 9</x:v>
      </x:c>
      <x:c r="N315" s="12" t="str"/>
      <x:c r="O315" s="12" t="str">
        <x:v>No</x:v>
      </x:c>
      <x:c r="P315" s="12" t="str">
        <x:v>No</x:v>
      </x:c>
      <x:c r="Q315" s="12"/>
      <x:c r="R315" s="12"/>
    </x:row>
    <x:row r="316">
      <x:c r="A316" s="12" t="str">
        <x:v>EVD-00315</x:v>
      </x:c>
      <x:c r="B316" s="12" t="str">
        <x:v>NEED-0003</x:v>
      </x:c>
      <x:c r="C316" s="12" t="str">
        <x:v>SRC-0003</x:v>
      </x:c>
      <x:c r="D316" s="12" t="str">
        <x:v>Increase visibility, provide case studies, and facilitate users for advanced in-cloud processing of ASDC and other NASA data.</x:v>
      </x:c>
      <x:c r="E316" s="12" t="str">
        <x:v>Increase visibility, provide case studies, and facilitate users for advanced in-cloud processing of ASDC and other NASA data.</x:v>
      </x:c>
      <x:c r="F316" s="12" t="str">
        <x:v>Recommendation</x:v>
      </x:c>
      <x:c r="G316" s="12" t="str">
        <x:v>ASDC DAAC User Working Group</x:v>
      </x:c>
      <x:c r="H316" s="12" t="n">
        <x:v>2023</x:v>
      </x:c>
      <x:c r="I316" s="12" t="str">
        <x:v>Cloud-native researchers</x:v>
      </x:c>
      <x:c r="J316" s="12" t="str">
        <x:v>High</x:v>
      </x:c>
      <x:c r="K316" s="16" t="n">
        <x:v>0.75</x:v>
      </x:c>
      <x:c r="L316" s="12" t="str">
        <x:v>LSA similarity cluster; human review pending</x:v>
      </x:c>
      <x:c r="M316" s="12" t="str">
        <x:v>Section: 3.5 UWG Findings and Recommendations; table row 10</x:v>
      </x:c>
      <x:c r="N316" s="12" t="str"/>
      <x:c r="O316" s="12" t="str">
        <x:v>No</x:v>
      </x:c>
      <x:c r="P316" s="12" t="str">
        <x:v>No</x:v>
      </x:c>
      <x:c r="Q316" s="12"/>
      <x:c r="R316" s="12"/>
    </x:row>
    <x:row r="317">
      <x:c r="A317" s="12" t="str">
        <x:v>EVD-00316</x:v>
      </x:c>
      <x:c r="B317" s="12" t="str">
        <x:v>NEED-0119</x:v>
      </x:c>
      <x:c r="C317" s="12" t="str">
        <x:v>SRC-0003</x:v>
      </x:c>
      <x:c r="D317" s="12" t="str">
        <x:v>TEMPO / Engaging Stakeholders</x:v>
      </x:c>
      <x:c r="E317" s="12" t="str">
        <x:v>TEMPO / Engaging Stakeholders</x:v>
      </x:c>
      <x:c r="F317" s="12" t="str">
        <x:v>Recommendation</x:v>
      </x:c>
      <x:c r="G317" s="12" t="str">
        <x:v>ASDC DAAC User Working Group</x:v>
      </x:c>
      <x:c r="H317" s="12" t="n">
        <x:v>2023</x:v>
      </x:c>
      <x:c r="I317" s="12" t="str">
        <x:v>Earthdata users</x:v>
      </x:c>
      <x:c r="J317" s="12" t="str">
        <x:v>Medium</x:v>
      </x:c>
      <x:c r="K317" s="16" t="n">
        <x:v>0.75</x:v>
      </x:c>
      <x:c r="L317" s="12" t="str">
        <x:v>LSA similarity cluster; human review pending</x:v>
      </x:c>
      <x:c r="M317" s="12" t="str">
        <x:v>Section: 3.5 UWG Findings and Recommendations</x:v>
      </x:c>
      <x:c r="N317" s="12" t="str"/>
      <x:c r="O317" s="12" t="str">
        <x:v>No</x:v>
      </x:c>
      <x:c r="P317" s="12" t="str">
        <x:v>No</x:v>
      </x:c>
      <x:c r="Q317" s="12"/>
      <x:c r="R317" s="12"/>
    </x:row>
    <x:row r="318">
      <x:c r="A318" s="12" t="str">
        <x:v>EVD-00317</x:v>
      </x:c>
      <x:c r="B318" s="12" t="str">
        <x:v>NEED-0003</x:v>
      </x:c>
      <x:c r="C318" s="12" t="str">
        <x:v>SRC-0003</x:v>
      </x:c>
      <x:c r="D318" s="12" t="str">
        <x:v>The UWG was glad to see progress on subsetting TEMPO data, which we feel is critical to the success of these cloud-data-based missions. We encourage further collaboration with pre-mission “Early Adopter” groups to assure that data services (in the cloud) are available and functional at the time of data release. We encourage continued and broadened collaboration with air-quality community members and regulatory agencies who will need these tools to use the data. We recommend that the ASDC use feedback from early adopter groups to improve data delivery and data services. We see TEMPO as a mission that could be a key component of an air-quality SEC (recommendation 6) and encourage its inclusion in that planning process.</x:v>
      </x:c>
      <x:c r="E318" s="12" t="str">
        <x:v>The UWG was glad to see progress on subsetting TEMPO data, which we feel is critical to the success of these cloud-data-based missions. We encourage further collaboration with pre-mission “Early Adopter” groups to assure that data services (in the cloud) are available and functional at the time of data release. We encourage continued and broadened collaboration with air-quality community members and regulatory agencies who will need these tools to use the data. We recommend that the ASDC use feedback from early adopter groups to improve data delivery and data services. We see TEMPO as a mission that could be a key component of an air-quality SEC (recommendation 6) and encourage its inclusion in that planning process.</x:v>
      </x:c>
      <x:c r="F318" s="12" t="str">
        <x:v>Recommendation</x:v>
      </x:c>
      <x:c r="G318" s="12" t="str">
        <x:v>ASDC DAAC User Working Group</x:v>
      </x:c>
      <x:c r="H318" s="12" t="n">
        <x:v>2023</x:v>
      </x:c>
      <x:c r="I318" s="12" t="str">
        <x:v>Cloud-native researchers; Data producers and mission teams</x:v>
      </x:c>
      <x:c r="J318" s="12" t="str">
        <x:v>High</x:v>
      </x:c>
      <x:c r="K318" s="16" t="n">
        <x:v>0.75</x:v>
      </x:c>
      <x:c r="L318" s="12" t="str">
        <x:v>LSA similarity cluster; human review pending</x:v>
      </x:c>
      <x:c r="M318" s="12" t="str">
        <x:v>Section: 3.5 UWG Findings and Recommendations</x:v>
      </x:c>
      <x:c r="N318" s="12" t="str"/>
      <x:c r="O318" s="12" t="str">
        <x:v>No</x:v>
      </x:c>
      <x:c r="P318" s="12" t="str">
        <x:v>No</x:v>
      </x:c>
      <x:c r="Q318" s="12"/>
      <x:c r="R318" s="12"/>
    </x:row>
    <x:row r="319">
      <x:c r="A319" s="12" t="str">
        <x:v>EVD-00318</x:v>
      </x:c>
      <x:c r="B319" s="12" t="str">
        <x:v>NEED-0051</x:v>
      </x:c>
      <x:c r="C319" s="12" t="str">
        <x:v>SRC-0003</x:v>
      </x:c>
      <x:c r="D319" s="12" t="str">
        <x:v>SOOT has been under development for several years and the intention has been to expand the number of datasets available on SOOT significantly. So far, SOOT has data from 14 missions, but many others could be added. The addition of these missions needs to be a high priority, especially those missions with data already in ICARTT format, which means the SOOT data merge tool can be easily applied. There are many aircraft missions from the 1980s, 1990s and early 2000s (e.g. PEM-Tropics, PEM-West, TRACE-P) with data that are not in ICARTT format and therefore the SOOT data merge tool cannot be applied. Regardless, these data need to be available through SOOT so that a user can explore all NASA aircraft missions from a single webpage, rather than having to search across several webpages. Eventually these historical data need to be reformatted so that the SOOT tools can be applied. Most of the PIs on the historical missions have retired, and in some instances, have passed away. We are losing valuable knowledge of these historical datasets and they need to be archived on SOOT with all available metadata as quickly as possible, so that any outstanding questions regarding the datasets can be directed towards the remaining PIs. Gao Chen has a lot of knowledge of these datasets and he needs to be involved with the transfer of the data to SOOT and with the documentation of the datasets. Qing requested, and the UWG agrees, that the original mission merge files be clearly available through SOOT, in addition to the custom merge files that can be generated by SOOT. We also recommend that the aircraft flight tracks from all missions should be plotted on Worldview, so that the user can quickly understand the general atmospheric conditions associated with each flight. During future UWG meetings, we recommend that ASDC provides a status on which missions are complete in Earthdata and SOOT, with estimated completion times for non-yet-complete missions.</x:v>
      </x:c>
      <x:c r="E319" s="12" t="str">
        <x:v>SOOT has been under development for several years and the intention has been to expand the number of datasets available on SOOT significantly. So far, SOOT has data from 14 missions, but many others could be added. The addition of these missions needs to be a high priority, especially those missions with data already in ICARTT format, which means the SOOT data merge tool can be easily applied. There are many aircraft missions from the 1980s, 1990s and early 2000s (e.g. PEM-Tropics, PEM-West, TRACE-P) with data that are not in ICARTT format and therefore the SOOT data merge tool cannot be applied. Regardless, these data need to be available through SOOT so that a user can explore all NASA aircraft missions from a single webpage, rather than having to search across several webpages. Eventually these historical data need to be reformatted so that the SOOT tools can be applied. Most of the PIs on the historical missions have retired, and in some instances, have passed away. We are losing valuable knowledge of these historical datasets and they need to be archived on SOOT with all available metadata as quickly as possible, so that any outstanding questions regarding the datasets can be directed towards the remaining PIs. Gao Chen has a lot of knowledge of these datasets and he needs to be involved with the transfer of the data to SOOT and with the documentation of the datasets. Qing requested, and the UWG agrees, that the original mission merge files be clearly available through SOOT, in addition to the custom merge files that can be generated by SOOT. We also recommend that the aircraft flight tracks from all missions should be plotted on Worldview, so that the user can quickly understand the general atmospheric conditions associated with each flight. During future UWG meetings, we recommend that ASDC provides a status on which missions are complete in Earthdata and SOOT, with estimated completion times for non-yet-complete missions.</x:v>
      </x:c>
      <x:c r="F319" s="12" t="str">
        <x:v>Recommendation</x:v>
      </x:c>
      <x:c r="G319" s="12" t="str">
        <x:v>ASDC DAAC User Working Group</x:v>
      </x:c>
      <x:c r="H319" s="12" t="n">
        <x:v>2023</x:v>
      </x:c>
      <x:c r="I319" s="12" t="str">
        <x:v>Data producers and mission teams</x:v>
      </x:c>
      <x:c r="J319" s="12" t="str">
        <x:v>High</x:v>
      </x:c>
      <x:c r="K319" s="16" t="n">
        <x:v>0.75</x:v>
      </x:c>
      <x:c r="L319" s="12" t="str">
        <x:v>LSA similarity cluster; human review pending</x:v>
      </x:c>
      <x:c r="M319" s="12" t="str">
        <x:v>Section: 3.5 UWG Findings and Recommendations</x:v>
      </x:c>
      <x:c r="N319" s="12" t="str"/>
      <x:c r="O319" s="12" t="str">
        <x:v>No</x:v>
      </x:c>
      <x:c r="P319" s="12" t="str">
        <x:v>No</x:v>
      </x:c>
      <x:c r="Q319" s="12"/>
      <x:c r="R319" s="12"/>
    </x:row>
    <x:row r="320">
      <x:c r="A320" s="12" t="str">
        <x:v>EVD-00319</x:v>
      </x:c>
      <x:c r="B320" s="12" t="str">
        <x:v>NEED-0065</x:v>
      </x:c>
      <x:c r="C320" s="12" t="str">
        <x:v>SRC-0003</x:v>
      </x:c>
      <x:c r="D320" s="12" t="str">
        <x:v>Improving Metadata</x:v>
      </x:c>
      <x:c r="E320" s="12" t="str">
        <x:v>Improving Metadata</x:v>
      </x:c>
      <x:c r="F320" s="12" t="str">
        <x:v>Recommendation</x:v>
      </x:c>
      <x:c r="G320" s="12" t="str">
        <x:v>ASDC DAAC User Working Group</x:v>
      </x:c>
      <x:c r="H320" s="12" t="n">
        <x:v>2023</x:v>
      </x:c>
      <x:c r="I320" s="12" t="str">
        <x:v>Earthdata users</x:v>
      </x:c>
      <x:c r="J320" s="12" t="str">
        <x:v>Medium</x:v>
      </x:c>
      <x:c r="K320" s="16" t="n">
        <x:v>0.75</x:v>
      </x:c>
      <x:c r="L320" s="12" t="str">
        <x:v>LSA similarity cluster; human review pending</x:v>
      </x:c>
      <x:c r="M320" s="12" t="str">
        <x:v>Section: 3.5 UWG Findings and Recommendations</x:v>
      </x:c>
      <x:c r="N320" s="12" t="str"/>
      <x:c r="O320" s="12" t="str">
        <x:v>No</x:v>
      </x:c>
      <x:c r="P320" s="12" t="str">
        <x:v>No</x:v>
      </x:c>
      <x:c r="Q320" s="12"/>
      <x:c r="R320" s="12"/>
    </x:row>
    <x:row r="321">
      <x:c r="A321" s="12" t="str">
        <x:v>EVD-00320</x:v>
      </x:c>
      <x:c r="B321" s="12" t="str">
        <x:v>NEED-0049</x:v>
      </x:c>
      <x:c r="C321" s="12" t="str">
        <x:v>SRC-0003</x:v>
      </x:c>
      <x:c r="D321" s="12" t="str">
        <x:v>The UWG noted a good deal of progress on metadata, improving accessibility, but issues remain. We request that ASDC perform an audit of important assets to ensure visibility on Earthdata Search and ASDC’s website and find metadata issues and discrepancies. For example, there are keyword problems such as a search for radiative fluxes doesn’t return CERES. We request that ASDC provides a mechanism for SMEs on a mission to add keywords and a best practice document for Earthdata Search. It may be at the ESDIS level, but we recommend using “most recent option,” with a preference for relevance rather than alphabetic sorting of responses. We request that upon download of data from Earthdata searches, the download page will include information about the measurement (e.g., DPS, ATBDs, links to mission website). The UWG also suggests that highlighting the Earthdata Forum on the download page can facilitate the long-standing goal of increasing use of the forum.</x:v>
      </x:c>
      <x:c r="E321" s="12" t="str">
        <x:v>The UWG noted a good deal of progress on metadata, improving accessibility, but issues remain. We request that ASDC perform an audit of important assets to ensure visibility on Earthdata Search and ASDC’s website and find metadata issues and discrepancies. For example, there are keyword problems such as a search for radiative fluxes doesn’t return CERES. We request that ASDC provides a mechanism for SMEs on a mission to add keywords and a best practice document for Earthdata Search. It may be at the ESDIS level, but we recommend using “most recent option,” with a preference for relevance rather than alphabetic sorting of responses. We request that upon download of data from Earthdata searches, the download page will include information about the measurement (e.g., DPS, ATBDs, links to mission website). The UWG also suggests that highlighting the Earthdata Forum on the download page can facilitate the long-standing goal of increasing use of the forum.</x:v>
      </x:c>
      <x:c r="F321" s="12" t="str">
        <x:v>Recommendation</x:v>
      </x:c>
      <x:c r="G321" s="12" t="str">
        <x:v>ASDC DAAC User Working Group</x:v>
      </x:c>
      <x:c r="H321" s="12" t="n">
        <x:v>2023</x:v>
      </x:c>
      <x:c r="I321" s="12" t="str">
        <x:v>Data producers and mission teams</x:v>
      </x:c>
      <x:c r="J321" s="12" t="str">
        <x:v>High</x:v>
      </x:c>
      <x:c r="K321" s="16" t="n">
        <x:v>0.75</x:v>
      </x:c>
      <x:c r="L321" s="12" t="str">
        <x:v>LSA similarity cluster; human review pending</x:v>
      </x:c>
      <x:c r="M321" s="12" t="str">
        <x:v>Section: 3.5 UWG Findings and Recommendations</x:v>
      </x:c>
      <x:c r="N321" s="12" t="str"/>
      <x:c r="O321" s="12" t="str">
        <x:v>No</x:v>
      </x:c>
      <x:c r="P321" s="12" t="str">
        <x:v>No</x:v>
      </x:c>
      <x:c r="Q321" s="12"/>
      <x:c r="R321" s="12"/>
    </x:row>
    <x:row r="322">
      <x:c r="A322" s="12" t="str">
        <x:v>EVD-00321</x:v>
      </x:c>
      <x:c r="B322" s="12" t="str">
        <x:v>NEED-0007</x:v>
      </x:c>
      <x:c r="C322" s="12" t="str">
        <x:v>SRC-0003</x:v>
      </x:c>
      <x:c r="D322" s="12" t="str">
        <x:v>Moving services to the Cloud</x:v>
      </x:c>
      <x:c r="E322" s="12" t="str">
        <x:v>Moving services to the Cloud</x:v>
      </x:c>
      <x:c r="F322" s="12" t="str">
        <x:v>Recommendation</x:v>
      </x:c>
      <x:c r="G322" s="12" t="str">
        <x:v>ASDC DAAC User Working Group</x:v>
      </x:c>
      <x:c r="H322" s="12" t="n">
        <x:v>2023</x:v>
      </x:c>
      <x:c r="I322" s="12" t="str">
        <x:v>Cloud-native researchers</x:v>
      </x:c>
      <x:c r="J322" s="12" t="str">
        <x:v>Medium</x:v>
      </x:c>
      <x:c r="K322" s="16" t="n">
        <x:v>0.75</x:v>
      </x:c>
      <x:c r="L322" s="12" t="str">
        <x:v>LSA similarity cluster; human review pending</x:v>
      </x:c>
      <x:c r="M322" s="12" t="str">
        <x:v>Section: 3.5 UWG Findings and Recommendations</x:v>
      </x:c>
      <x:c r="N322" s="12" t="str"/>
      <x:c r="O322" s="12" t="str">
        <x:v>No</x:v>
      </x:c>
      <x:c r="P322" s="12" t="str">
        <x:v>No</x:v>
      </x:c>
      <x:c r="Q322" s="12"/>
      <x:c r="R322" s="12"/>
    </x:row>
    <x:row r="323">
      <x:c r="A323" s="12" t="str">
        <x:v>EVD-00322</x:v>
      </x:c>
      <x:c r="B323" s="12" t="str">
        <x:v>NEED-0003</x:v>
      </x:c>
      <x:c r="C323" s="12" t="str">
        <x:v>SRC-0003</x:v>
      </x:c>
      <x:c r="D323" s="12" t="str">
        <x:v>We recommend that the ASDC prioritizes the development of capabilities/tools that allow for the exploration and subsetting of data in the cloud. We felt that TEMPO validation is a great use case. We recommend having subsetting services, services that extract time series at surface locations (e.g. for use in Pandora-enabled TEMPO validation), and extract time series along flight tracks (e.g. for airborne data validation). We recommend that ASDC connect with the VEDA team (visualization, exploration, and data analysis) and ask them for a demonstration to ASDC and the UWG, who could be a test team for their efforts. The ASDC should assure that these tools work with different ASDC data. Overall, we feel that services that allow exploration and/or analysis of data in the cloud without the need for download should be prioritized.</x:v>
      </x:c>
      <x:c r="E323" s="12" t="str">
        <x:v>We recommend that the ASDC prioritizes the development of capabilities/tools that allow for the exploration and subsetting of data in the cloud. We felt that TEMPO validation is a great use case. We recommend having subsetting services, services that extract time series at surface locations (e.g. for use in Pandora-enabled TEMPO validation), and extract time series along flight tracks (e.g. for airborne data validation). We recommend that ASDC connect with the VEDA team (visualization, exploration, and data analysis) and ask them for a demonstration to ASDC and the UWG, who could be a test team for their efforts. The ASDC should assure that these tools work with different ASDC data. Overall, we feel that services that allow exploration and/or analysis of data in the cloud without the need for download should be prioritized.</x:v>
      </x:c>
      <x:c r="F323" s="12" t="str">
        <x:v>Recommendation</x:v>
      </x:c>
      <x:c r="G323" s="12" t="str">
        <x:v>ASDC DAAC User Working Group</x:v>
      </x:c>
      <x:c r="H323" s="12" t="n">
        <x:v>2023</x:v>
      </x:c>
      <x:c r="I323" s="12" t="str">
        <x:v>Cloud-native researchers; Earth science researchers</x:v>
      </x:c>
      <x:c r="J323" s="12" t="str">
        <x:v>High</x:v>
      </x:c>
      <x:c r="K323" s="16" t="n">
        <x:v>0.75</x:v>
      </x:c>
      <x:c r="L323" s="12" t="str">
        <x:v>LSA similarity cluster; human review pending</x:v>
      </x:c>
      <x:c r="M323" s="12" t="str">
        <x:v>Section: 3.5 UWG Findings and Recommendations</x:v>
      </x:c>
      <x:c r="N323" s="12" t="str"/>
      <x:c r="O323" s="12" t="str">
        <x:v>No</x:v>
      </x:c>
      <x:c r="P323" s="12" t="str">
        <x:v>No</x:v>
      </x:c>
      <x:c r="Q323" s="12"/>
      <x:c r="R323" s="12"/>
    </x:row>
    <x:row r="324">
      <x:c r="A324" s="12" t="str">
        <x:v>EVD-00323</x:v>
      </x:c>
      <x:c r="B324" s="12" t="str">
        <x:v>NEED-0051</x:v>
      </x:c>
      <x:c r="C324" s="12" t="str">
        <x:v>SRC-0003</x:v>
      </x:c>
      <x:c r="D324" s="12" t="str">
        <x:v>The UWG recommends enhancing the availability of ASDC data in EOSDIS Worldview to raise their visibility. Based on the description of log-in requirements from recommendations in (ESDIS recommendation A), it is clear that viewing data easily is critical for end-user engagement. In the reality of a log-in requirement, we feel a priority should be placed on having datasets graphically displayed in some capacity, with EOSDIS Worldview being an obvious platform. Specific examples would be TEMPO data and adding flight tracks to Worldview. Students and researchers like the visual interface of Worldview and the ability to see the broad context of satellite-observed images in their region of interest, so getting data on Worldview will increase exposure and data use of ASDC products.</x:v>
      </x:c>
      <x:c r="E324" s="12" t="str">
        <x:v>The UWG recommends enhancing the availability of ASDC data in EOSDIS Worldview to raise their visibility. Based on the description of log-in requirements from recommendations in (ESDIS recommendation A), it is clear that viewing data easily is critical for end-user engagement. In the reality of a log-in requirement, we feel a priority should be placed on having datasets graphically displayed in some capacity, with EOSDIS Worldview being an obvious platform. Specific examples would be TEMPO data and adding flight tracks to Worldview. Students and researchers like the visual interface of Worldview and the ability to see the broad context of satellite-observed images in their region of interest, so getting data on Worldview will increase exposure and data use of ASDC products.</x:v>
      </x:c>
      <x:c r="F324" s="12" t="str">
        <x:v>Recommendation</x:v>
      </x:c>
      <x:c r="G324" s="12" t="str">
        <x:v>ASDC DAAC User Working Group</x:v>
      </x:c>
      <x:c r="H324" s="12" t="n">
        <x:v>2023</x:v>
      </x:c>
      <x:c r="I324" s="12" t="str">
        <x:v>Educators and trainers; Earth science researchers</x:v>
      </x:c>
      <x:c r="J324" s="12" t="str">
        <x:v>High</x:v>
      </x:c>
      <x:c r="K324" s="16" t="n">
        <x:v>0.75</x:v>
      </x:c>
      <x:c r="L324" s="12" t="str">
        <x:v>LSA similarity cluster; human review pending</x:v>
      </x:c>
      <x:c r="M324" s="12" t="str">
        <x:v>Section: 3.5 UWG Findings and Recommendations</x:v>
      </x:c>
      <x:c r="N324" s="12" t="str"/>
      <x:c r="O324" s="12" t="str">
        <x:v>No</x:v>
      </x:c>
      <x:c r="P324" s="12" t="str">
        <x:v>No</x:v>
      </x:c>
      <x:c r="Q324" s="12"/>
      <x:c r="R324" s="12"/>
    </x:row>
    <x:row r="325">
      <x:c r="A325" s="12" t="str">
        <x:v>EVD-00324</x:v>
      </x:c>
      <x:c r="B325" s="12" t="str">
        <x:v>NEED-0120</x:v>
      </x:c>
      <x:c r="C325" s="12" t="str">
        <x:v>SRC-0003</x:v>
      </x:c>
      <x:c r="D325" s="12" t="str">
        <x:v>Science Enabling Centers</x:v>
      </x:c>
      <x:c r="E325" s="12" t="str">
        <x:v>Science Enabling Centers</x:v>
      </x:c>
      <x:c r="F325" s="12" t="str">
        <x:v>Recommendation</x:v>
      </x:c>
      <x:c r="G325" s="12" t="str">
        <x:v>ASDC DAAC User Working Group</x:v>
      </x:c>
      <x:c r="H325" s="12" t="n">
        <x:v>2023</x:v>
      </x:c>
      <x:c r="I325" s="12" t="str">
        <x:v>Earthdata users</x:v>
      </x:c>
      <x:c r="J325" s="12" t="str">
        <x:v>Medium</x:v>
      </x:c>
      <x:c r="K325" s="16" t="n">
        <x:v>0.75</x:v>
      </x:c>
      <x:c r="L325" s="12" t="str">
        <x:v>LSA similarity cluster; human review pending</x:v>
      </x:c>
      <x:c r="M325" s="12" t="str">
        <x:v>Section: 3.5 UWG Findings and Recommendations</x:v>
      </x:c>
      <x:c r="N325" s="12" t="str"/>
      <x:c r="O325" s="12" t="str">
        <x:v>No</x:v>
      </x:c>
      <x:c r="P325" s="12" t="str">
        <x:v>No</x:v>
      </x:c>
      <x:c r="Q325" s="12"/>
      <x:c r="R325" s="12"/>
    </x:row>
    <x:row r="326">
      <x:c r="A326" s="12" t="str">
        <x:v>EVD-00325</x:v>
      </x:c>
      <x:c r="B326" s="12" t="str">
        <x:v>NEED-0003</x:v>
      </x:c>
      <x:c r="C326" s="12" t="str">
        <x:v>SRC-0003</x:v>
      </x:c>
      <x:c r="D326" s="12" t="str">
        <x:v>The ASDC UWG was excited about the development of Science Enabling Centers and was interested in assisting in development of these centers. A key idea that came up in discussions was to add applications to the SECs (e.g., SAECs). Some of these applications would be community connections like POWER or connections with health researchers like HAQAST. In this way, a SAEC could facilitate connections including interagency collaboration. We felt that there should be strong educational (e.g. students, stakeholders, universities) and outreach components (e.g., GLOBE, MYNASADATA). Members mentioned that dashboards showing statistics like an Earth action center/Earth information center would be compelling. The UWG agrees that air quality would be an interesting science and application area for ASDC to propose as an SEC focus. Overall, the ASDC UWG supports the development of Science and Applications Enabling Centers and recommends that ASDC works with other DAACs to develop these in line with ASDC’s strengths in air and radiation data, but in collaboration with key applied science projects which have clear and demonstrated pathways to users. A concern would be that these centers would be developed in parallel with existing applied science programs rather than working to be supportive in back-end cloud processing and help with enhancing usage capabilities and experience.</x:v>
      </x:c>
      <x:c r="E326" s="12" t="str">
        <x:v>The ASDC UWG was excited about the development of Science Enabling Centers and was interested in assisting in development of these centers. A key idea that came up in discussions was to add applications to the SECs (e.g., SAECs). Some of these applications would be community connections like POWER or connections with health researchers like HAQAST. In this way, a SAEC could facilitate connections including interagency collaboration. We felt that there should be strong educational (e.g. students, stakeholders, universities) and outreach components (e.g., GLOBE, MYNASADATA). Members mentioned that dashboards showing statistics like an Earth action center/Earth information center would be compelling. The UWG agrees that air quality would be an interesting science and application area for ASDC to propose as an SEC focus. Overall, the ASDC UWG supports the development of Science and Applications Enabling Centers and recommends that ASDC works with other DAACs to develop these in line with ASDC’s strengths in air and radiation data, but in collaboration with key applied science projects which have clear and demonstrated pathways to users. A concern would be that these centers would be developed in parallel with existing applied science programs rather than working to be supportive in back-end cloud processing and help with enhancing usage capabilities and experience.</x:v>
      </x:c>
      <x:c r="F326" s="12" t="str">
        <x:v>Action</x:v>
      </x:c>
      <x:c r="G326" s="12" t="str">
        <x:v>ASDC DAAC User Working Group</x:v>
      </x:c>
      <x:c r="H326" s="12" t="n">
        <x:v>2023</x:v>
      </x:c>
      <x:c r="I326" s="12" t="str">
        <x:v>Cloud-native researchers; Educators and trainers; Earth science researchers</x:v>
      </x:c>
      <x:c r="J326" s="12" t="str">
        <x:v>High</x:v>
      </x:c>
      <x:c r="K326" s="16" t="n">
        <x:v>0.75</x:v>
      </x:c>
      <x:c r="L326" s="12" t="str">
        <x:v>LSA similarity cluster; human review pending</x:v>
      </x:c>
      <x:c r="M326" s="12" t="str">
        <x:v>Section: 3.5 UWG Findings and Recommendations</x:v>
      </x:c>
      <x:c r="N326" s="12" t="str"/>
      <x:c r="O326" s="12" t="str">
        <x:v>No</x:v>
      </x:c>
      <x:c r="P326" s="12" t="str">
        <x:v>No</x:v>
      </x:c>
      <x:c r="Q326" s="12"/>
      <x:c r="R326" s="12"/>
    </x:row>
    <x:row r="327">
      <x:c r="A327" s="12" t="str">
        <x:v>EVD-00326</x:v>
      </x:c>
      <x:c r="B327" s="12" t="str">
        <x:v>NEED-0140</x:v>
      </x:c>
      <x:c r="C327" s="12" t="str">
        <x:v>SRC-0003</x:v>
      </x:c>
      <x:c r="D327" s="12" t="str">
        <x:v>Quarterly Updates</x:v>
      </x:c>
      <x:c r="E327" s="12" t="str">
        <x:v>Quarterly Updates</x:v>
      </x:c>
      <x:c r="F327" s="12" t="str">
        <x:v>Recommendation</x:v>
      </x:c>
      <x:c r="G327" s="12" t="str">
        <x:v>ASDC DAAC User Working Group</x:v>
      </x:c>
      <x:c r="H327" s="12" t="n">
        <x:v>2023</x:v>
      </x:c>
      <x:c r="I327" s="12" t="str">
        <x:v>Earthdata users</x:v>
      </x:c>
      <x:c r="J327" s="12" t="str">
        <x:v>Medium</x:v>
      </x:c>
      <x:c r="K327" s="16" t="n">
        <x:v>0.75</x:v>
      </x:c>
      <x:c r="L327" s="12" t="str">
        <x:v>LSA similarity cluster; human review pending</x:v>
      </x:c>
      <x:c r="M327" s="12" t="str">
        <x:v>Section: 3.5 UWG Findings and Recommendations</x:v>
      </x:c>
      <x:c r="N327" s="12" t="str"/>
      <x:c r="O327" s="12" t="str">
        <x:v>No</x:v>
      </x:c>
      <x:c r="P327" s="12" t="str">
        <x:v>No</x:v>
      </x:c>
      <x:c r="Q327" s="12"/>
      <x:c r="R327" s="12"/>
    </x:row>
    <x:row r="328">
      <x:c r="A328" s="12" t="str">
        <x:v>EVD-00327</x:v>
      </x:c>
      <x:c r="B328" s="12" t="str">
        <x:v>NEED-0211</x:v>
      </x:c>
      <x:c r="C328" s="12" t="str">
        <x:v>SRC-0003</x:v>
      </x:c>
      <x:c r="D328" s="12" t="str">
        <x:v>The UWG supports having quarterly update meetings between the ASDC-UWG annual meetings. We felt that having an all-hands-invited meeting would be most effective. For this meeting, we recommend that ASDC identifies key discussion areas and publishes an agenda of those topics at least a month in advance. In that way, UWG members who are most invested in that topic can try to attend. While it is difficult to schedule so many people, we suggest that ASDC seeks a regular time for the meeting at which a quorum of at least half the UWG members can attend. Setting these times and dates between now and the next UWG meeting will assist UWG members in reserving those times in their schedule. The UWG would like to see ASDC give updates on the recommendations of this report in these quarterly meetings by describing results on a few of the recommendations in depth, but not by going over all of them every time. However, we feel that all recommendations should be reported upon over the course of the year. We suggest having a time at the end of the meeting where UWG members could request an update on a topic for an upcoming meeting.</x:v>
      </x:c>
      <x:c r="E328" s="12" t="str">
        <x:v>The UWG supports having quarterly update meetings between the ASDC-UWG annual meetings. We felt that having an all-hands-invited meeting would be most effective. For this meeting, we recommend that ASDC identifies key discussion areas and publishes an agenda of those topics at least a month in advance. In that way, UWG members who are most invested in that topic can try to attend. While it is difficult to schedule so many people, we suggest that ASDC seeks a regular time for the meeting at which a quorum of at least half the UWG members can attend. Setting these times and dates between now and the next UWG meeting will assist UWG members in reserving those times in their schedule. The UWG would like to see ASDC give updates on the recommendations of this report in these quarterly meetings by describing results on a few of the recommendations in depth, but not by going over all of them every time. However, we feel that all recommendations should be reported upon over the course of the year. We suggest having a time at the end of the meeting where UWG members could request an update on a topic for an upcoming meeting.</x:v>
      </x:c>
      <x:c r="F328" s="12" t="str">
        <x:v>Recommendation</x:v>
      </x:c>
      <x:c r="G328" s="12" t="str">
        <x:v>ASDC DAAC User Working Group</x:v>
      </x:c>
      <x:c r="H328" s="12" t="n">
        <x:v>2023</x:v>
      </x:c>
      <x:c r="I328" s="12" t="str">
        <x:v>Earthdata users</x:v>
      </x:c>
      <x:c r="J328" s="12" t="str">
        <x:v>High</x:v>
      </x:c>
      <x:c r="K328" s="16" t="n">
        <x:v>0.75</x:v>
      </x:c>
      <x:c r="L328" s="12" t="str">
        <x:v>LSA similarity cluster; human review pending</x:v>
      </x:c>
      <x:c r="M328" s="12" t="str">
        <x:v>Section: 3.5 UWG Findings and Recommendations</x:v>
      </x:c>
      <x:c r="N328" s="12" t="str"/>
      <x:c r="O328" s="12" t="str">
        <x:v>No</x:v>
      </x:c>
      <x:c r="P328" s="12" t="str">
        <x:v>No</x:v>
      </x:c>
      <x:c r="Q328" s="12"/>
      <x:c r="R328" s="12"/>
    </x:row>
    <x:row r="329">
      <x:c r="A329" s="12" t="str">
        <x:v>EVD-00328</x:v>
      </x:c>
      <x:c r="B329" s="12" t="str">
        <x:v>NEED-0124</x:v>
      </x:c>
      <x:c r="C329" s="12" t="str">
        <x:v>SRC-0003</x:v>
      </x:c>
      <x:c r="D329" s="12" t="str">
        <x:v>Evolve UWG Membership</x:v>
      </x:c>
      <x:c r="E329" s="12" t="str">
        <x:v>Evolve UWG Membership</x:v>
      </x:c>
      <x:c r="F329" s="12" t="str">
        <x:v>Recommendation</x:v>
      </x:c>
      <x:c r="G329" s="12" t="str">
        <x:v>ASDC DAAC User Working Group</x:v>
      </x:c>
      <x:c r="H329" s="12" t="n">
        <x:v>2023</x:v>
      </x:c>
      <x:c r="I329" s="12" t="str">
        <x:v>Earthdata users</x:v>
      </x:c>
      <x:c r="J329" s="12" t="str">
        <x:v>Medium</x:v>
      </x:c>
      <x:c r="K329" s="16" t="n">
        <x:v>0.75</x:v>
      </x:c>
      <x:c r="L329" s="12" t="str">
        <x:v>LSA similarity cluster; human review pending</x:v>
      </x:c>
      <x:c r="M329" s="12" t="str">
        <x:v>Section: 3.5 UWG Findings and Recommendations</x:v>
      </x:c>
      <x:c r="N329" s="12" t="str"/>
      <x:c r="O329" s="12" t="str">
        <x:v>No</x:v>
      </x:c>
      <x:c r="P329" s="12" t="str">
        <x:v>No</x:v>
      </x:c>
      <x:c r="Q329" s="12"/>
      <x:c r="R329" s="12"/>
    </x:row>
    <x:row r="330">
      <x:c r="A330" s="12" t="str">
        <x:v>EVD-00329</x:v>
      </x:c>
      <x:c r="B330" s="12" t="str">
        <x:v>NEED-0003</x:v>
      </x:c>
      <x:c r="C330" s="12" t="str">
        <x:v>SRC-0003</x:v>
      </x:c>
      <x:c r="D330" s="12" t="str">
        <x:v>In line with evolution of data centers into science and application enabling centers, we recommend that ASDC-UWG seeks new members that represent stakeholders in those communities. Examples could be having an ARSET representative, air quality regulators using TEMPO data, cloud/API power users, GIS applications developers, and other areas using ASDC data.</x:v>
      </x:c>
      <x:c r="E330" s="12" t="str">
        <x:v>In line with evolution of data centers into science and application enabling centers, we recommend that ASDC-UWG seeks new members that represent stakeholders in those communities. Examples could be having an ARSET representative, air quality regulators using TEMPO data, cloud/API power users, GIS applications developers, and other areas using ASDC data.</x:v>
      </x:c>
      <x:c r="F330" s="12" t="str">
        <x:v>Recommendation</x:v>
      </x:c>
      <x:c r="G330" s="12" t="str">
        <x:v>ASDC DAAC User Working Group</x:v>
      </x:c>
      <x:c r="H330" s="12" t="n">
        <x:v>2023</x:v>
      </x:c>
      <x:c r="I330" s="12" t="str">
        <x:v>GIS users; Cloud-native researchers; Application developers</x:v>
      </x:c>
      <x:c r="J330" s="12" t="str">
        <x:v>High</x:v>
      </x:c>
      <x:c r="K330" s="16" t="n">
        <x:v>0.75</x:v>
      </x:c>
      <x:c r="L330" s="12" t="str">
        <x:v>LSA similarity cluster; human review pending</x:v>
      </x:c>
      <x:c r="M330" s="12" t="str">
        <x:v>Section: 3.5 UWG Findings and Recommendations</x:v>
      </x:c>
      <x:c r="N330" s="12" t="str"/>
      <x:c r="O330" s="12" t="str">
        <x:v>No</x:v>
      </x:c>
      <x:c r="P330" s="12" t="str">
        <x:v>No</x:v>
      </x:c>
      <x:c r="Q330" s="12"/>
      <x:c r="R330" s="12"/>
    </x:row>
    <x:row r="331">
      <x:c r="A331" s="12" t="str">
        <x:v>EVD-00330</x:v>
      </x:c>
      <x:c r="B331" s="12" t="str">
        <x:v>NEED-0003</x:v>
      </x:c>
      <x:c r="C331" s="12" t="str">
        <x:v>SRC-0003</x:v>
      </x:c>
      <x:c r="D331" s="12" t="str">
        <x:v>Facilitate / Develop Cloud Power Users</x:v>
      </x:c>
      <x:c r="E331" s="12" t="str">
        <x:v>Facilitate / Develop Cloud Power Users</x:v>
      </x:c>
      <x:c r="F331" s="12" t="str">
        <x:v>Recommendation</x:v>
      </x:c>
      <x:c r="G331" s="12" t="str">
        <x:v>ASDC DAAC User Working Group</x:v>
      </x:c>
      <x:c r="H331" s="12" t="n">
        <x:v>2023</x:v>
      </x:c>
      <x:c r="I331" s="12" t="str">
        <x:v>Cloud-native researchers</x:v>
      </x:c>
      <x:c r="J331" s="12" t="str">
        <x:v>High</x:v>
      </x:c>
      <x:c r="K331" s="16" t="n">
        <x:v>0.75</x:v>
      </x:c>
      <x:c r="L331" s="12" t="str">
        <x:v>LSA similarity cluster; human review pending</x:v>
      </x:c>
      <x:c r="M331" s="12" t="str">
        <x:v>Section: 3.5 UWG Findings and Recommendations</x:v>
      </x:c>
      <x:c r="N331" s="12" t="str"/>
      <x:c r="O331" s="12" t="str">
        <x:v>No</x:v>
      </x:c>
      <x:c r="P331" s="12" t="str">
        <x:v>No</x:v>
      </x:c>
      <x:c r="Q331" s="12"/>
      <x:c r="R331" s="12"/>
    </x:row>
    <x:row r="332">
      <x:c r="A332" s="12" t="str">
        <x:v>EVD-00331</x:v>
      </x:c>
      <x:c r="B332" s="12" t="str">
        <x:v>NEED-0003</x:v>
      </x:c>
      <x:c r="C332" s="12" t="str">
        <x:v>SRC-0003</x:v>
      </x:c>
      <x:c r="D332" s="12" t="str">
        <x:v>We recommend that in addition to using ASDC-developed in-cloud services (which may not even be visible to users), the ASDC actively facilitates the development of cloud power users who can take true advantage of multiple NASA datasets that reside in the cloud to analyze data in the cloud and potentially make value-added products. To this end, the UWG recommends education for cloud users, provision of tutorials, use-case examples, data cookbooks, Jupyter notebooks, etc., all highlighted on the ASDC website. We request that the ASDC asks for presentations from TOPS, Openscapes, and other open science enabling efforts and advertises these activities to the UWG. We suggest finding a cloud power user to join the UWG to facilitate this transition.</x:v>
      </x:c>
      <x:c r="E332" s="12" t="str">
        <x:v>We recommend that in addition to using ASDC-developed in-cloud services (which may not even be visible to users), the ASDC actively facilitates the development of cloud power users who can take true advantage of multiple NASA datasets that reside in the cloud to analyze data in the cloud and potentially make value-added products. To this end, the UWG recommends education for cloud users, provision of tutorials, use-case examples, data cookbooks, Jupyter notebooks, etc., all highlighted on the ASDC website. We request that the ASDC asks for presentations from TOPS, Openscapes, and other open science enabling efforts and advertises these activities to the UWG. We suggest finding a cloud power user to join the UWG to facilitate this transition.</x:v>
      </x:c>
      <x:c r="F332" s="12" t="str">
        <x:v>Recommendation</x:v>
      </x:c>
      <x:c r="G332" s="12" t="str">
        <x:v>ASDC DAAC User Working Group</x:v>
      </x:c>
      <x:c r="H332" s="12" t="n">
        <x:v>2023</x:v>
      </x:c>
      <x:c r="I332" s="12" t="str">
        <x:v>Cloud-native researchers; Educators and trainers</x:v>
      </x:c>
      <x:c r="J332" s="12" t="str">
        <x:v>High</x:v>
      </x:c>
      <x:c r="K332" s="16" t="n">
        <x:v>0.75</x:v>
      </x:c>
      <x:c r="L332" s="12" t="str">
        <x:v>LSA similarity cluster; human review pending</x:v>
      </x:c>
      <x:c r="M332" s="12" t="str">
        <x:v>Section: 3.5 UWG Findings and Recommendations</x:v>
      </x:c>
      <x:c r="N332" s="12" t="str"/>
      <x:c r="O332" s="12" t="str">
        <x:v>No</x:v>
      </x:c>
      <x:c r="P332" s="12" t="str">
        <x:v>No</x:v>
      </x:c>
      <x:c r="Q332" s="12"/>
      <x:c r="R332" s="12"/>
    </x:row>
    <x:row r="333">
      <x:c r="A333" s="12" t="str">
        <x:v>EVD-00332</x:v>
      </x:c>
      <x:c r="B333" s="12" t="str">
        <x:v>NEED-0025</x:v>
      </x:c>
      <x:c r="C333" s="12" t="str">
        <x:v>SRC-0003</x:v>
      </x:c>
      <x:c r="D333" s="12" t="str">
        <x:v>We recommend ASDC continue to investigate the password login requirements that are currently in place for all DAACS within ESDIS. The UWG recognizes that a recommendation to eliminate a login requirement would likely not be a simple task for ASDC leadership, without approval from ESDIS. For this reason, we recommend the ASDC provide more details around this decision and the driving factors (e.g., metrics, IT security, ease of use, ability to utilize API) to keep the password requirement. At the next UWG meeting or quarterly update, please indicate which metrics and details are available and what, if any, advantage is gained by Earthdata Login.</x:v>
      </x:c>
      <x:c r="E333" s="12" t="str">
        <x:v>We recommend ASDC continue to investigate the password login requirements that are currently in place for all DAACS within ESDIS. The UWG recognizes that a recommendation to eliminate a login requirement would likely not be a simple task for ASDC leadership, without approval from ESDIS. For this reason, we recommend the ASDC provide more details around this decision and the driving factors (e.g., metrics, IT security, ease of use, ability to utilize API) to keep the password requirement. At the next UWG meeting or quarterly update, please indicate which metrics and details are available and what, if any, advantage is gained by Earthdata Login.</x:v>
      </x:c>
      <x:c r="F333" s="12" t="str">
        <x:v>Recommendation</x:v>
      </x:c>
      <x:c r="G333" s="12" t="str">
        <x:v>ASDC DAAC User Working Group</x:v>
      </x:c>
      <x:c r="H333" s="12" t="n">
        <x:v>2023</x:v>
      </x:c>
      <x:c r="I333" s="12" t="str">
        <x:v>Application developers</x:v>
      </x:c>
      <x:c r="J333" s="12" t="str">
        <x:v>High</x:v>
      </x:c>
      <x:c r="K333" s="16" t="n">
        <x:v>0.75</x:v>
      </x:c>
      <x:c r="L333" s="12" t="str">
        <x:v>LSA similarity cluster; human review pending</x:v>
      </x:c>
      <x:c r="M333" s="12" t="str">
        <x:v>Section: 3.5 UWG Findings and Recommendations</x:v>
      </x:c>
      <x:c r="N333" s="12" t="str"/>
      <x:c r="O333" s="12" t="str">
        <x:v>No</x:v>
      </x:c>
      <x:c r="P333" s="12" t="str">
        <x:v>No</x:v>
      </x:c>
      <x:c r="Q333" s="12"/>
      <x:c r="R333" s="12"/>
    </x:row>
    <x:row r="334">
      <x:c r="A334" s="12" t="str">
        <x:v>EVD-00333</x:v>
      </x:c>
      <x:c r="B334" s="12" t="str">
        <x:v>NEED-0025</x:v>
      </x:c>
      <x:c r="C334" s="12" t="str">
        <x:v>SRC-0003</x:v>
      </x:c>
      <x:c r="D334" s="12" t="str">
        <x:v>With this information, the ASDC UWG can: 1) discuss whether we feel it is necessary to recommend password elimination, 2) draft a compelling justification for the password login removal, and 3) understand the downstream effects to NASA and ASDC for this removal. We recognize that access control is appropriate for some types of data (e.g., pre-launch, licensed data), which would still require login. Users can still have a profile, which enables download history/etc. if they want to maintain this information.</x:v>
      </x:c>
      <x:c r="E334" s="12" t="str">
        <x:v>With this information, the ASDC UWG can: 1) discuss whether we feel it is necessary to recommend password elimination, 2) draft a compelling justification for the password login removal, and 3) understand the downstream effects to NASA and ASDC for this removal. We recognize that access control is appropriate for some types of data (e.g., pre-launch, licensed data), which would still require login. Users can still have a profile, which enables download history/etc. if they want to maintain this information.</x:v>
      </x:c>
      <x:c r="F334" s="12" t="str">
        <x:v>Recommendation</x:v>
      </x:c>
      <x:c r="G334" s="12" t="str">
        <x:v>ASDC DAAC User Working Group</x:v>
      </x:c>
      <x:c r="H334" s="12" t="n">
        <x:v>2023</x:v>
      </x:c>
      <x:c r="I334" s="12" t="str">
        <x:v>Earthdata users</x:v>
      </x:c>
      <x:c r="J334" s="12" t="str">
        <x:v>High</x:v>
      </x:c>
      <x:c r="K334" s="16" t="n">
        <x:v>0.75</x:v>
      </x:c>
      <x:c r="L334" s="12" t="str">
        <x:v>LSA similarity cluster; human review pending</x:v>
      </x:c>
      <x:c r="M334" s="12" t="str">
        <x:v>Section: 3.5 UWG Findings and Recommendations</x:v>
      </x:c>
      <x:c r="N334" s="12" t="str"/>
      <x:c r="O334" s="12" t="str">
        <x:v>No</x:v>
      </x:c>
      <x:c r="P334" s="12" t="str">
        <x:v>No</x:v>
      </x:c>
      <x:c r="Q334" s="12"/>
      <x:c r="R334" s="12"/>
    </x:row>
    <x:row r="335">
      <x:c r="A335" s="12" t="str">
        <x:v>EVD-00334</x:v>
      </x:c>
      <x:c r="B335" s="12" t="str">
        <x:v>NEED-0122</x:v>
      </x:c>
      <x:c r="C335" s="12" t="str">
        <x:v>SRC-0003</x:v>
      </x:c>
      <x:c r="D335" s="12" t="str">
        <x:v>AMP / Variable First Concept</x:v>
      </x:c>
      <x:c r="E335" s="12" t="str">
        <x:v>AMP / Variable First Concept</x:v>
      </x:c>
      <x:c r="F335" s="12" t="str">
        <x:v>Recommendation</x:v>
      </x:c>
      <x:c r="G335" s="12" t="str">
        <x:v>ASDC DAAC User Working Group</x:v>
      </x:c>
      <x:c r="H335" s="12" t="n">
        <x:v>2023</x:v>
      </x:c>
      <x:c r="I335" s="12" t="str">
        <x:v>Earthdata users</x:v>
      </x:c>
      <x:c r="J335" s="12" t="str">
        <x:v>Medium</x:v>
      </x:c>
      <x:c r="K335" s="16" t="n">
        <x:v>0.75</x:v>
      </x:c>
      <x:c r="L335" s="12" t="str">
        <x:v>LSA similarity cluster; human review pending</x:v>
      </x:c>
      <x:c r="M335" s="12" t="str">
        <x:v>Section: 3.5 UWG Findings and Recommendations</x:v>
      </x:c>
      <x:c r="N335" s="12" t="str"/>
      <x:c r="O335" s="12" t="str">
        <x:v>No</x:v>
      </x:c>
      <x:c r="P335" s="12" t="str">
        <x:v>No</x:v>
      </x:c>
      <x:c r="Q335" s="12"/>
      <x:c r="R335" s="12"/>
    </x:row>
    <x:row r="336">
      <x:c r="A336" s="12" t="str">
        <x:v>EVD-00335</x:v>
      </x:c>
      <x:c r="B336" s="12" t="str">
        <x:v>NEED-0076</x:v>
      </x:c>
      <x:c r="C336" s="12" t="str">
        <x:v>SRC-0003</x:v>
      </x:c>
      <x:c r="D336" s="12" t="str">
        <x:v>Across DAACs, data citations seem low and/or difficult to track. Coordinate with publishers at a higher level to identify best practices for DAACs and journals. Consider making various citation format options (Bibtex, text, Endnote, etc.) additionally available, and/or identifying options (e.g. AGU journals) that provide good examples.</x:v>
      </x:c>
      <x:c r="E336" s="12" t="str">
        <x:v>Across DAACs, data citations seem low and/or difficult to track. Coordinate with publishers at a higher level to identify best practices for DAACs and journals. Consider making various citation format options (Bibtex, text, Endnote, etc.) additionally available, and/or identifying options (e.g. AGU journals) that provide good examples.</x:v>
      </x:c>
      <x:c r="F336" s="12" t="str">
        <x:v>Suggestion</x:v>
      </x:c>
      <x:c r="G336" s="12" t="str">
        <x:v>CDDIS User Working Group</x:v>
      </x:c>
      <x:c r="H336" s="12" t="n">
        <x:v>2023</x:v>
      </x:c>
      <x:c r="I336" s="12" t="str">
        <x:v>Earthdata users</x:v>
      </x:c>
      <x:c r="J336" s="12" t="str">
        <x:v>High</x:v>
      </x:c>
      <x:c r="K336" s="16" t="n">
        <x:v>0.75</x:v>
      </x:c>
      <x:c r="L336" s="12" t="str">
        <x:v>LSA similarity cluster; human review pending</x:v>
      </x:c>
      <x:c r="M336" s="12" t="str">
        <x:v>Section: 5.3.2 FY2023 and FY 2024 Suggestions</x:v>
      </x:c>
      <x:c r="N336" s="12" t="str"/>
      <x:c r="O336" s="12" t="str">
        <x:v>No</x:v>
      </x:c>
      <x:c r="P336" s="12" t="str">
        <x:v>No</x:v>
      </x:c>
      <x:c r="Q336" s="12"/>
      <x:c r="R336" s="12"/>
    </x:row>
    <x:row r="337">
      <x:c r="A337" s="12" t="str">
        <x:v>EVD-00336</x:v>
      </x:c>
      <x:c r="B337" s="12" t="str">
        <x:v>NEED-0157</x:v>
      </x:c>
      <x:c r="C337" s="12" t="str">
        <x:v>SRC-0003</x:v>
      </x:c>
      <x:c r="D337" s="12" t="str">
        <x:v>Prioritize and maintain useful website content.</x:v>
      </x:c>
      <x:c r="E337" s="12" t="str">
        <x:v>Prioritize and maintain useful website content.</x:v>
      </x:c>
      <x:c r="F337" s="12" t="str">
        <x:v>Suggestion</x:v>
      </x:c>
      <x:c r="G337" s="12" t="str">
        <x:v>CDDIS User Working Group</x:v>
      </x:c>
      <x:c r="H337" s="12" t="n">
        <x:v>2023</x:v>
      </x:c>
      <x:c r="I337" s="12" t="str">
        <x:v>Earthdata users</x:v>
      </x:c>
      <x:c r="J337" s="12" t="str">
        <x:v>High</x:v>
      </x:c>
      <x:c r="K337" s="16" t="n">
        <x:v>0.75</x:v>
      </x:c>
      <x:c r="L337" s="12" t="str">
        <x:v>LSA similarity cluster; human review pending</x:v>
      </x:c>
      <x:c r="M337" s="12" t="str">
        <x:v>Section: 5.3.2 FY2023 and FY 2024 Suggestions</x:v>
      </x:c>
      <x:c r="N337" s="12" t="str"/>
      <x:c r="O337" s="12" t="str">
        <x:v>No</x:v>
      </x:c>
      <x:c r="P337" s="12" t="str">
        <x:v>No</x:v>
      </x:c>
      <x:c r="Q337" s="12"/>
      <x:c r="R337" s="12"/>
    </x:row>
    <x:row r="338">
      <x:c r="A338" s="12" t="str">
        <x:v>EVD-00337</x:v>
      </x:c>
      <x:c r="B338" s="12" t="str">
        <x:v>NEED-0126</x:v>
      </x:c>
      <x:c r="C338" s="12" t="str">
        <x:v>SRC-0003</x:v>
      </x:c>
      <x:c r="D338" s="12" t="str">
        <x:v>Continue regular generation of Micro-articles.</x:v>
      </x:c>
      <x:c r="E338" s="12" t="str">
        <x:v>Continue regular generation of Micro-articles.</x:v>
      </x:c>
      <x:c r="F338" s="12" t="str">
        <x:v>Suggestion</x:v>
      </x:c>
      <x:c r="G338" s="12" t="str">
        <x:v>CDDIS User Working Group</x:v>
      </x:c>
      <x:c r="H338" s="12" t="n">
        <x:v>2023</x:v>
      </x:c>
      <x:c r="I338" s="12" t="str">
        <x:v>Earthdata users</x:v>
      </x:c>
      <x:c r="J338" s="12" t="str">
        <x:v>High</x:v>
      </x:c>
      <x:c r="K338" s="16" t="n">
        <x:v>0.75</x:v>
      </x:c>
      <x:c r="L338" s="12" t="str">
        <x:v>LSA similarity cluster; human review pending</x:v>
      </x:c>
      <x:c r="M338" s="12" t="str">
        <x:v>Section: 5.3.2 FY2023 and FY 2024 Suggestions</x:v>
      </x:c>
      <x:c r="N338" s="12" t="str"/>
      <x:c r="O338" s="12" t="str">
        <x:v>No</x:v>
      </x:c>
      <x:c r="P338" s="12" t="str">
        <x:v>No</x:v>
      </x:c>
      <x:c r="Q338" s="12"/>
      <x:c r="R338" s="12"/>
    </x:row>
    <x:row r="339">
      <x:c r="A339" s="12" t="str">
        <x:v>EVD-00338</x:v>
      </x:c>
      <x:c r="B339" s="12" t="str">
        <x:v>NEED-0147</x:v>
      </x:c>
      <x:c r="C339" s="12" t="str">
        <x:v>SRC-0003</x:v>
      </x:c>
      <x:c r="D339" s="12" t="str">
        <x:v>Develop a regular schedule for updating and maintaining Micro-articles and the website as a whole.</x:v>
      </x:c>
      <x:c r="E339" s="12" t="str">
        <x:v>Develop a regular schedule for updating and maintaining Micro-articles and the website as a whole.</x:v>
      </x:c>
      <x:c r="F339" s="12" t="str">
        <x:v>Suggestion</x:v>
      </x:c>
      <x:c r="G339" s="12" t="str">
        <x:v>CDDIS User Working Group</x:v>
      </x:c>
      <x:c r="H339" s="12" t="n">
        <x:v>2023</x:v>
      </x:c>
      <x:c r="I339" s="12" t="str">
        <x:v>Earthdata users</x:v>
      </x:c>
      <x:c r="J339" s="12" t="str">
        <x:v>High</x:v>
      </x:c>
      <x:c r="K339" s="16" t="n">
        <x:v>0.75</x:v>
      </x:c>
      <x:c r="L339" s="12" t="str">
        <x:v>LSA similarity cluster; human review pending</x:v>
      </x:c>
      <x:c r="M339" s="12" t="str">
        <x:v>Section: 5.3.2 FY2023 and FY 2024 Suggestions</x:v>
      </x:c>
      <x:c r="N339" s="12" t="str"/>
      <x:c r="O339" s="12" t="str">
        <x:v>No</x:v>
      </x:c>
      <x:c r="P339" s="12" t="str">
        <x:v>No</x:v>
      </x:c>
      <x:c r="Q339" s="12"/>
      <x:c r="R339" s="12"/>
    </x:row>
    <x:row r="340">
      <x:c r="A340" s="12" t="str">
        <x:v>EVD-00339</x:v>
      </x:c>
      <x:c r="B340" s="12" t="str">
        <x:v>NEED-0135</x:v>
      </x:c>
      <x:c r="C340" s="12" t="str">
        <x:v>SRC-0003</x:v>
      </x:c>
      <x:c r="D340" s="12" t="str">
        <x:v>Develop intentional procedures on dealing with commercial data.</x:v>
      </x:c>
      <x:c r="E340" s="12" t="str">
        <x:v>Develop intentional procedures on dealing with commercial data.</x:v>
      </x:c>
      <x:c r="F340" s="12" t="str">
        <x:v>Suggestion</x:v>
      </x:c>
      <x:c r="G340" s="12" t="str">
        <x:v>CDDIS User Working Group</x:v>
      </x:c>
      <x:c r="H340" s="12" t="n">
        <x:v>2023</x:v>
      </x:c>
      <x:c r="I340" s="12" t="str">
        <x:v>Earthdata users</x:v>
      </x:c>
      <x:c r="J340" s="12" t="str">
        <x:v>High</x:v>
      </x:c>
      <x:c r="K340" s="16" t="n">
        <x:v>0.75</x:v>
      </x:c>
      <x:c r="L340" s="12" t="str">
        <x:v>LSA similarity cluster; human review pending</x:v>
      </x:c>
      <x:c r="M340" s="12" t="str">
        <x:v>Section: 5.3.2 FY2023 and FY 2024 Suggestions</x:v>
      </x:c>
      <x:c r="N340" s="12" t="str"/>
      <x:c r="O340" s="12" t="str">
        <x:v>No</x:v>
      </x:c>
      <x:c r="P340" s="12" t="str">
        <x:v>No</x:v>
      </x:c>
      <x:c r="Q340" s="12"/>
      <x:c r="R340" s="12"/>
    </x:row>
    <x:row r="341">
      <x:c r="A341" s="12" t="str">
        <x:v>EVD-00340</x:v>
      </x:c>
      <x:c r="B341" s="12" t="str">
        <x:v>NEED-0020</x:v>
      </x:c>
      <x:c r="C341" s="12" t="str">
        <x:v>SRC-0003</x:v>
      </x:c>
      <x:c r="D341" s="12" t="str">
        <x:v>GHRC should acknowledge a rapidly changing landscape, but continue thinking about how to obtain relevant commercial data, create analysis-ready capabilities to leverage the data, and archive derived products and tools to get derived products from raw commercial data.</x:v>
      </x:c>
      <x:c r="E341" s="12" t="str">
        <x:v>GHRC should acknowledge a rapidly changing landscape, but continue thinking about how to obtain relevant commercial data, create analysis-ready capabilities to leverage the data, and archive derived products and tools to get derived products from raw commercial data.</x:v>
      </x:c>
      <x:c r="F341" s="12" t="str">
        <x:v>Suggestion</x:v>
      </x:c>
      <x:c r="G341" s="12" t="str">
        <x:v>CDDIS User Working Group</x:v>
      </x:c>
      <x:c r="H341" s="12" t="n">
        <x:v>2023</x:v>
      </x:c>
      <x:c r="I341" s="12" t="str">
        <x:v>Application developers; Data producers and mission teams; Earth science researchers</x:v>
      </x:c>
      <x:c r="J341" s="12" t="str">
        <x:v>High</x:v>
      </x:c>
      <x:c r="K341" s="16" t="n">
        <x:v>0.75</x:v>
      </x:c>
      <x:c r="L341" s="12" t="str">
        <x:v>LSA similarity cluster; human review pending</x:v>
      </x:c>
      <x:c r="M341" s="12" t="str">
        <x:v>Section: 5.3.2 FY2023 and FY 2024 Suggestions</x:v>
      </x:c>
      <x:c r="N341" s="12" t="str"/>
      <x:c r="O341" s="12" t="str">
        <x:v>No</x:v>
      </x:c>
      <x:c r="P341" s="12" t="str">
        <x:v>No</x:v>
      </x:c>
      <x:c r="Q341" s="12"/>
      <x:c r="R341" s="12"/>
    </x:row>
    <x:row r="342">
      <x:c r="A342" s="12" t="str">
        <x:v>EVD-00341</x:v>
      </x:c>
      <x:c r="B342" s="12" t="str">
        <x:v>NEED-0120</x:v>
      </x:c>
      <x:c r="C342" s="12" t="str">
        <x:v>SRC-0003</x:v>
      </x:c>
      <x:c r="D342" s="12" t="str">
        <x:v>Keep in contact with the Commercial Smallsat Data Acquisition (CSDA) program office.</x:v>
      </x:c>
      <x:c r="E342" s="12" t="str">
        <x:v>Keep in contact with the Commercial Smallsat Data Acquisition (CSDA) program office.</x:v>
      </x:c>
      <x:c r="F342" s="12" t="str">
        <x:v>Suggestion</x:v>
      </x:c>
      <x:c r="G342" s="12" t="str">
        <x:v>CDDIS User Working Group</x:v>
      </x:c>
      <x:c r="H342" s="12" t="n">
        <x:v>2023</x:v>
      </x:c>
      <x:c r="I342" s="12" t="str">
        <x:v>Earthdata users</x:v>
      </x:c>
      <x:c r="J342" s="12" t="str">
        <x:v>Medium</x:v>
      </x:c>
      <x:c r="K342" s="16" t="n">
        <x:v>0.75</x:v>
      </x:c>
      <x:c r="L342" s="12" t="str">
        <x:v>LSA similarity cluster; human review pending</x:v>
      </x:c>
      <x:c r="M342" s="12" t="str">
        <x:v>Section: 5.3.2 FY2023 and FY 2024 Suggestions</x:v>
      </x:c>
      <x:c r="N342" s="12" t="str"/>
      <x:c r="O342" s="12" t="str">
        <x:v>No</x:v>
      </x:c>
      <x:c r="P342" s="12" t="str">
        <x:v>No</x:v>
      </x:c>
      <x:c r="Q342" s="12"/>
      <x:c r="R342" s="12"/>
    </x:row>
    <x:row r="343">
      <x:c r="A343" s="12" t="str">
        <x:v>EVD-00342</x:v>
      </x:c>
      <x:c r="B343" s="12" t="str">
        <x:v>NEED-0196</x:v>
      </x:c>
      <x:c r="C343" s="12" t="str">
        <x:v>SRC-0003</x:v>
      </x:c>
      <x:c r="D343" s="12" t="str">
        <x:v>Consider incorporating these data into data recipes and use them in near real-time with field campaigns if possible.</x:v>
      </x:c>
      <x:c r="E343" s="12" t="str">
        <x:v>Consider incorporating these data into data recipes and use them in near real-time with field campaigns if possible.</x:v>
      </x:c>
      <x:c r="F343" s="12" t="str">
        <x:v>Suggestion</x:v>
      </x:c>
      <x:c r="G343" s="12" t="str">
        <x:v>CDDIS User Working Group</x:v>
      </x:c>
      <x:c r="H343" s="12" t="n">
        <x:v>2023</x:v>
      </x:c>
      <x:c r="I343" s="12" t="str">
        <x:v>Operational and near-real-time users</x:v>
      </x:c>
      <x:c r="J343" s="12" t="str">
        <x:v>High</x:v>
      </x:c>
      <x:c r="K343" s="16" t="n">
        <x:v>0.75</x:v>
      </x:c>
      <x:c r="L343" s="12" t="str">
        <x:v>LSA similarity cluster; human review pending</x:v>
      </x:c>
      <x:c r="M343" s="12" t="str">
        <x:v>Section: 5.3.2 FY2023 and FY 2024 Suggestions</x:v>
      </x:c>
      <x:c r="N343" s="12" t="str"/>
      <x:c r="O343" s="12" t="str">
        <x:v>No</x:v>
      </x:c>
      <x:c r="P343" s="12" t="str">
        <x:v>No</x:v>
      </x:c>
      <x:c r="Q343" s="12"/>
      <x:c r="R343" s="12"/>
    </x:row>
    <x:row r="344">
      <x:c r="A344" s="12" t="str">
        <x:v>EVD-00343</x:v>
      </x:c>
      <x:c r="B344" s="12" t="str">
        <x:v>NEED-0135</x:v>
      </x:c>
      <x:c r="C344" s="12" t="str">
        <x:v>SRC-0003</x:v>
      </x:c>
      <x:c r="D344" s="12" t="str">
        <x:v>Develop intentional procedures for dealing with commercial data.</x:v>
      </x:c>
      <x:c r="E344" s="12" t="str">
        <x:v>Develop intentional procedures for dealing with commercial data.</x:v>
      </x:c>
      <x:c r="F344" s="12" t="str">
        <x:v>Suggestion</x:v>
      </x:c>
      <x:c r="G344" s="12" t="str">
        <x:v>CDDIS User Working Group</x:v>
      </x:c>
      <x:c r="H344" s="12" t="n">
        <x:v>2023</x:v>
      </x:c>
      <x:c r="I344" s="12" t="str">
        <x:v>Earthdata users</x:v>
      </x:c>
      <x:c r="J344" s="12" t="str">
        <x:v>High</x:v>
      </x:c>
      <x:c r="K344" s="16" t="n">
        <x:v>0.75</x:v>
      </x:c>
      <x:c r="L344" s="12" t="str">
        <x:v>LSA similarity cluster; human review pending</x:v>
      </x:c>
      <x:c r="M344" s="12" t="str">
        <x:v>Section: 5.3.2 FY2023 and FY 2024 Suggestions</x:v>
      </x:c>
      <x:c r="N344" s="12" t="str"/>
      <x:c r="O344" s="12" t="str">
        <x:v>No</x:v>
      </x:c>
      <x:c r="P344" s="12" t="str">
        <x:v>No</x:v>
      </x:c>
      <x:c r="Q344" s="12"/>
      <x:c r="R344" s="12"/>
    </x:row>
    <x:row r="345">
      <x:c r="A345" s="12" t="str">
        <x:v>EVD-00344</x:v>
      </x:c>
      <x:c r="B345" s="12" t="str">
        <x:v>NEED-0020</x:v>
      </x:c>
      <x:c r="C345" s="12" t="str">
        <x:v>SRC-0003</x:v>
      </x:c>
      <x:c r="D345" s="12" t="str">
        <x:v>GHRC should acknowledge a rapidly changing landscape with an increasing commercial data sector and look for opportunities to integrate relevant commercial data into existing (and new) tools/visualizations with current DAAC holdings.</x:v>
      </x:c>
      <x:c r="E345" s="12" t="str">
        <x:v>GHRC should acknowledge a rapidly changing landscape with an increasing commercial data sector and look for opportunities to integrate relevant commercial data into existing (and new) tools/visualizations with current DAAC holdings.</x:v>
      </x:c>
      <x:c r="F345" s="12" t="str">
        <x:v>Suggestion</x:v>
      </x:c>
      <x:c r="G345" s="12" t="str">
        <x:v>CDDIS User Working Group</x:v>
      </x:c>
      <x:c r="H345" s="12" t="n">
        <x:v>2023</x:v>
      </x:c>
      <x:c r="I345" s="12" t="str">
        <x:v>Application developers</x:v>
      </x:c>
      <x:c r="J345" s="12" t="str">
        <x:v>High</x:v>
      </x:c>
      <x:c r="K345" s="16" t="n">
        <x:v>0.75</x:v>
      </x:c>
      <x:c r="L345" s="12" t="str">
        <x:v>LSA similarity cluster; human review pending</x:v>
      </x:c>
      <x:c r="M345" s="12" t="str">
        <x:v>Section: 5.3.2 FY2023 and FY 2024 Suggestions</x:v>
      </x:c>
      <x:c r="N345" s="12" t="str"/>
      <x:c r="O345" s="12" t="str">
        <x:v>No</x:v>
      </x:c>
      <x:c r="P345" s="12" t="str">
        <x:v>No</x:v>
      </x:c>
      <x:c r="Q345" s="12"/>
      <x:c r="R345" s="12"/>
    </x:row>
    <x:row r="346">
      <x:c r="A346" s="12" t="str">
        <x:v>EVD-00345</x:v>
      </x:c>
      <x:c r="B346" s="12" t="str">
        <x:v>NEED-0120</x:v>
      </x:c>
      <x:c r="C346" s="12" t="str">
        <x:v>SRC-0003</x:v>
      </x:c>
      <x:c r="D346" s="12" t="str">
        <x:v>Keep in contact with the CSDA program office to be aware of potential new vendors.</x:v>
      </x:c>
      <x:c r="E346" s="12" t="str">
        <x:v>Keep in contact with the CSDA program office to be aware of potential new vendors.</x:v>
      </x:c>
      <x:c r="F346" s="12" t="str">
        <x:v>Suggestion</x:v>
      </x:c>
      <x:c r="G346" s="12" t="str">
        <x:v>CDDIS User Working Group</x:v>
      </x:c>
      <x:c r="H346" s="12" t="n">
        <x:v>2023</x:v>
      </x:c>
      <x:c r="I346" s="12" t="str">
        <x:v>Earthdata users</x:v>
      </x:c>
      <x:c r="J346" s="12" t="str">
        <x:v>Medium</x:v>
      </x:c>
      <x:c r="K346" s="16" t="n">
        <x:v>0.75</x:v>
      </x:c>
      <x:c r="L346" s="12" t="str">
        <x:v>LSA similarity cluster; human review pending</x:v>
      </x:c>
      <x:c r="M346" s="12" t="str">
        <x:v>Section: 5.3.2 FY2023 and FY 2024 Suggestions</x:v>
      </x:c>
      <x:c r="N346" s="12" t="str"/>
      <x:c r="O346" s="12" t="str">
        <x:v>No</x:v>
      </x:c>
      <x:c r="P346" s="12" t="str">
        <x:v>No</x:v>
      </x:c>
      <x:c r="Q346" s="12"/>
      <x:c r="R346" s="12"/>
    </x:row>
    <x:row r="347">
      <x:c r="A347" s="12" t="str">
        <x:v>EVD-00346</x:v>
      </x:c>
      <x:c r="B347" s="12" t="str">
        <x:v>NEED-0022</x:v>
      </x:c>
      <x:c r="C347" s="12" t="str">
        <x:v>SRC-0003</x:v>
      </x:c>
      <x:c r="D347" s="12" t="str">
        <x:v>Provide translations of user guides, Micro-articles, and more for international and/or non-English speaking users. Use download statistics to understand what languages might be useful and track downloads/accesses of new documents.</x:v>
      </x:c>
      <x:c r="E347" s="12" t="str">
        <x:v>Provide translations of user guides, Micro-articles, and more for international and/or non-English speaking users. Use download statistics to understand what languages might be useful and track downloads/accesses of new documents.</x:v>
      </x:c>
      <x:c r="F347" s="12" t="str">
        <x:v>Suggestion</x:v>
      </x:c>
      <x:c r="G347" s="12" t="str">
        <x:v>CDDIS User Working Group</x:v>
      </x:c>
      <x:c r="H347" s="12" t="n">
        <x:v>2023</x:v>
      </x:c>
      <x:c r="I347" s="12" t="str">
        <x:v>International users</x:v>
      </x:c>
      <x:c r="J347" s="12" t="str">
        <x:v>High</x:v>
      </x:c>
      <x:c r="K347" s="16" t="n">
        <x:v>0.75</x:v>
      </x:c>
      <x:c r="L347" s="12" t="str">
        <x:v>LSA similarity cluster; human review pending</x:v>
      </x:c>
      <x:c r="M347" s="12" t="str">
        <x:v>Section: 5.3.2 FY2023 and FY 2024 Suggestions</x:v>
      </x:c>
      <x:c r="N347" s="12" t="str"/>
      <x:c r="O347" s="12" t="str">
        <x:v>No</x:v>
      </x:c>
      <x:c r="P347" s="12" t="str">
        <x:v>No</x:v>
      </x:c>
      <x:c r="Q347" s="12"/>
      <x:c r="R347" s="12"/>
    </x:row>
    <x:row r="348">
      <x:c r="A348" s="12" t="str">
        <x:v>EVD-00347</x:v>
      </x:c>
      <x:c r="B348" s="12" t="str">
        <x:v>NEED-0005</x:v>
      </x:c>
      <x:c r="C348" s="12" t="str">
        <x:v>SRC-0003</x:v>
      </x:c>
      <x:c r="D348" s="12" t="str">
        <x:v>Create a value proposition to guide users on when to use the cloud environment.</x:v>
      </x:c>
      <x:c r="E348" s="12" t="str">
        <x:v>Create a value proposition to guide users on when to use the cloud environment.</x:v>
      </x:c>
      <x:c r="F348" s="12" t="str">
        <x:v>Action</x:v>
      </x:c>
      <x:c r="G348" s="12" t="str">
        <x:v>GES DISC User Working Group</x:v>
      </x:c>
      <x:c r="H348" s="12" t="n">
        <x:v>2023</x:v>
      </x:c>
      <x:c r="I348" s="12" t="str">
        <x:v>Cloud-native researchers</x:v>
      </x:c>
      <x:c r="J348" s="12" t="str">
        <x:v>High</x:v>
      </x:c>
      <x:c r="K348" s="16" t="n">
        <x:v>0.75</x:v>
      </x:c>
      <x:c r="L348" s="12" t="str">
        <x:v>LSA similarity cluster; human review pending</x:v>
      </x:c>
      <x:c r="M348" s="12" t="str">
        <x:v>Section: 6.6 New Actions and Recommendations; table row 2</x:v>
      </x:c>
      <x:c r="N348" s="12" t="str"/>
      <x:c r="O348" s="12" t="str">
        <x:v>No</x:v>
      </x:c>
      <x:c r="P348" s="12" t="str">
        <x:v>No</x:v>
      </x:c>
      <x:c r="Q348" s="12"/>
      <x:c r="R348" s="12"/>
    </x:row>
    <x:row r="349">
      <x:c r="A349" s="12" t="str">
        <x:v>EVD-00348</x:v>
      </x:c>
      <x:c r="B349" s="12" t="str">
        <x:v>NEED-0007</x:v>
      </x:c>
      <x:c r="C349" s="12" t="str">
        <x:v>SRC-0003</x:v>
      </x:c>
      <x:c r="D349" s="12" t="str">
        <x:v>Clarify monetary costs associated with using cloud resources for accessing data and performing analysis.</x:v>
      </x:c>
      <x:c r="E349" s="12" t="str">
        <x:v>Clarify monetary costs associated with using cloud resources for accessing data and performing analysis.</x:v>
      </x:c>
      <x:c r="F349" s="12" t="str">
        <x:v>Action</x:v>
      </x:c>
      <x:c r="G349" s="12" t="str">
        <x:v>GES DISC User Working Group</x:v>
      </x:c>
      <x:c r="H349" s="12" t="n">
        <x:v>2023</x:v>
      </x:c>
      <x:c r="I349" s="12" t="str">
        <x:v>Cloud-native researchers; Earth science researchers</x:v>
      </x:c>
      <x:c r="J349" s="12" t="str">
        <x:v>Medium</x:v>
      </x:c>
      <x:c r="K349" s="16" t="n">
        <x:v>0.75</x:v>
      </x:c>
      <x:c r="L349" s="12" t="str">
        <x:v>LSA similarity cluster; human review pending</x:v>
      </x:c>
      <x:c r="M349" s="12" t="str">
        <x:v>Section: 6.6 New Actions and Recommendations; table row 3</x:v>
      </x:c>
      <x:c r="N349" s="12" t="str"/>
      <x:c r="O349" s="12" t="str">
        <x:v>No</x:v>
      </x:c>
      <x:c r="P349" s="12" t="str">
        <x:v>No</x:v>
      </x:c>
      <x:c r="Q349" s="12"/>
      <x:c r="R349" s="12"/>
    </x:row>
    <x:row r="350">
      <x:c r="A350" s="12" t="str">
        <x:v>EVD-00349</x:v>
      </x:c>
      <x:c r="B350" s="12" t="str">
        <x:v>NEED-0018</x:v>
      </x:c>
      <x:c r="C350" s="12" t="str">
        <x:v>SRC-0003</x:v>
      </x:c>
      <x:c r="D350" s="12" t="str">
        <x:v>Address pain points that discourage users from getting started or navigating the AWS Cloud.</x:v>
      </x:c>
      <x:c r="E350" s="12" t="str">
        <x:v>Address pain points that discourage users from getting started or navigating the AWS Cloud.</x:v>
      </x:c>
      <x:c r="F350" s="12" t="str">
        <x:v>Action</x:v>
      </x:c>
      <x:c r="G350" s="12" t="str">
        <x:v>GES DISC User Working Group</x:v>
      </x:c>
      <x:c r="H350" s="12" t="n">
        <x:v>2023</x:v>
      </x:c>
      <x:c r="I350" s="12" t="str">
        <x:v>Cloud-native researchers</x:v>
      </x:c>
      <x:c r="J350" s="12" t="str">
        <x:v>Medium</x:v>
      </x:c>
      <x:c r="K350" s="16" t="n">
        <x:v>0.75</x:v>
      </x:c>
      <x:c r="L350" s="12" t="str">
        <x:v>LSA similarity cluster; human review pending</x:v>
      </x:c>
      <x:c r="M350" s="12" t="str">
        <x:v>Section: 6.6 New Actions and Recommendations; table row 4</x:v>
      </x:c>
      <x:c r="N350" s="12" t="str"/>
      <x:c r="O350" s="12" t="str">
        <x:v>No</x:v>
      </x:c>
      <x:c r="P350" s="12" t="str">
        <x:v>No</x:v>
      </x:c>
      <x:c r="Q350" s="12"/>
      <x:c r="R350" s="12"/>
    </x:row>
    <x:row r="351">
      <x:c r="A351" s="12" t="str">
        <x:v>EVD-00350</x:v>
      </x:c>
      <x:c r="B351" s="12" t="str">
        <x:v>NEED-0008</x:v>
      </x:c>
      <x:c r="C351" s="12" t="str">
        <x:v>SRC-0003</x:v>
      </x:c>
      <x:c r="D351" s="12" t="str">
        <x:v>Users have been conflating JupyterHub software with cloud platforms.</x:v>
      </x:c>
      <x:c r="E351" s="12" t="str">
        <x:v>Users have been conflating JupyterHub software with cloud platforms.</x:v>
      </x:c>
      <x:c r="F351" s="12" t="str">
        <x:v>Action</x:v>
      </x:c>
      <x:c r="G351" s="12" t="str">
        <x:v>GES DISC User Working Group</x:v>
      </x:c>
      <x:c r="H351" s="12" t="n">
        <x:v>2023</x:v>
      </x:c>
      <x:c r="I351" s="12" t="str">
        <x:v>Cloud-native researchers; Application developers</x:v>
      </x:c>
      <x:c r="J351" s="12" t="str">
        <x:v>Medium</x:v>
      </x:c>
      <x:c r="K351" s="16" t="n">
        <x:v>0.75</x:v>
      </x:c>
      <x:c r="L351" s="12" t="str">
        <x:v>LSA similarity cluster; human review pending</x:v>
      </x:c>
      <x:c r="M351" s="12" t="str">
        <x:v>Section: 6.6 New Actions and Recommendations; table row 6</x:v>
      </x:c>
      <x:c r="N351" s="12" t="str"/>
      <x:c r="O351" s="12" t="str">
        <x:v>No</x:v>
      </x:c>
      <x:c r="P351" s="12" t="str">
        <x:v>No</x:v>
      </x:c>
      <x:c r="Q351" s="12"/>
      <x:c r="R351" s="12"/>
    </x:row>
    <x:row r="352">
      <x:c r="A352" s="12" t="str">
        <x:v>EVD-00351</x:v>
      </x:c>
      <x:c r="B352" s="12" t="str">
        <x:v>NEED-0017</x:v>
      </x:c>
      <x:c r="C352" s="12" t="str">
        <x:v>SRC-0003</x:v>
      </x:c>
      <x:c r="D352" s="12" t="str">
        <x:v>UWG members are enthusiastic to test the Cloud Playground.</x:v>
      </x:c>
      <x:c r="E352" s="12" t="str">
        <x:v>UWG members are enthusiastic to test the Cloud Playground.</x:v>
      </x:c>
      <x:c r="F352" s="12" t="str">
        <x:v>Action</x:v>
      </x:c>
      <x:c r="G352" s="12" t="str">
        <x:v>GES DISC User Working Group</x:v>
      </x:c>
      <x:c r="H352" s="12" t="n">
        <x:v>2023</x:v>
      </x:c>
      <x:c r="I352" s="12" t="str">
        <x:v>Cloud-native researchers</x:v>
      </x:c>
      <x:c r="J352" s="12" t="str">
        <x:v>Medium</x:v>
      </x:c>
      <x:c r="K352" s="16" t="n">
        <x:v>0.75</x:v>
      </x:c>
      <x:c r="L352" s="12" t="str">
        <x:v>LSA similarity cluster; human review pending</x:v>
      </x:c>
      <x:c r="M352" s="12" t="str">
        <x:v>Section: 6.6 New Actions and Recommendations; table row 7</x:v>
      </x:c>
      <x:c r="N352" s="12" t="str"/>
      <x:c r="O352" s="12" t="str">
        <x:v>No</x:v>
      </x:c>
      <x:c r="P352" s="12" t="str">
        <x:v>No</x:v>
      </x:c>
      <x:c r="Q352" s="12"/>
      <x:c r="R352" s="12"/>
    </x:row>
    <x:row r="353">
      <x:c r="A353" s="12" t="str">
        <x:v>EVD-00352</x:v>
      </x:c>
      <x:c r="B353" s="12" t="str">
        <x:v>NEED-0126</x:v>
      </x:c>
      <x:c r="C353" s="12" t="str">
        <x:v>SRC-0003</x:v>
      </x:c>
      <x:c r="D353" s="12" t="str">
        <x:v>Prioritize guidance for “user graduation” so users can confidently deploy these workflows elsewhere.</x:v>
      </x:c>
      <x:c r="E353" s="12" t="str">
        <x:v>Prioritize guidance for “user graduation” so users can confidently deploy these workflows elsewhere.</x:v>
      </x:c>
      <x:c r="F353" s="12" t="str">
        <x:v>Action</x:v>
      </x:c>
      <x:c r="G353" s="12" t="str">
        <x:v>GES DISC User Working Group</x:v>
      </x:c>
      <x:c r="H353" s="12" t="n">
        <x:v>2023</x:v>
      </x:c>
      <x:c r="I353" s="12" t="str">
        <x:v>Earthdata users</x:v>
      </x:c>
      <x:c r="J353" s="12" t="str">
        <x:v>Medium</x:v>
      </x:c>
      <x:c r="K353" s="16" t="n">
        <x:v>0.75</x:v>
      </x:c>
      <x:c r="L353" s="12" t="str">
        <x:v>LSA similarity cluster; human review pending</x:v>
      </x:c>
      <x:c r="M353" s="12" t="str">
        <x:v>Section: 6.6 New Actions and Recommendations; table row 8</x:v>
      </x:c>
      <x:c r="N353" s="12" t="str"/>
      <x:c r="O353" s="12" t="str">
        <x:v>No</x:v>
      </x:c>
      <x:c r="P353" s="12" t="str">
        <x:v>No</x:v>
      </x:c>
      <x:c r="Q353" s="12"/>
      <x:c r="R353" s="12"/>
    </x:row>
    <x:row r="354">
      <x:c r="A354" s="12" t="str">
        <x:v>EVD-00353</x:v>
      </x:c>
      <x:c r="B354" s="12" t="str">
        <x:v>NEED-0213</x:v>
      </x:c>
      <x:c r="C354" s="12" t="str">
        <x:v>SRC-0003</x:v>
      </x:c>
      <x:c r="D354" s="12" t="str">
        <x:v>UWG members expressed interest to provide feedback to the upcoming GES DISC “unified” web.</x:v>
      </x:c>
      <x:c r="E354" s="12" t="str">
        <x:v>UWG members expressed interest to provide feedback to the upcoming GES DISC “unified” web.</x:v>
      </x:c>
      <x:c r="F354" s="12" t="str">
        <x:v>Action</x:v>
      </x:c>
      <x:c r="G354" s="12" t="str">
        <x:v>GES DISC User Working Group</x:v>
      </x:c>
      <x:c r="H354" s="12" t="n">
        <x:v>2023</x:v>
      </x:c>
      <x:c r="I354" s="12" t="str">
        <x:v>Earthdata users</x:v>
      </x:c>
      <x:c r="J354" s="12" t="str">
        <x:v>High</x:v>
      </x:c>
      <x:c r="K354" s="16" t="n">
        <x:v>0.75</x:v>
      </x:c>
      <x:c r="L354" s="12" t="str">
        <x:v>LSA similarity cluster; human review pending</x:v>
      </x:c>
      <x:c r="M354" s="12" t="str">
        <x:v>Section: 6.6 New Actions and Recommendations; table row 10</x:v>
      </x:c>
      <x:c r="N354" s="12" t="str"/>
      <x:c r="O354" s="12" t="str">
        <x:v>No</x:v>
      </x:c>
      <x:c r="P354" s="12" t="str">
        <x:v>No</x:v>
      </x:c>
      <x:c r="Q354" s="12"/>
      <x:c r="R354" s="12"/>
    </x:row>
    <x:row r="355">
      <x:c r="A355" s="12" t="str">
        <x:v>EVD-00354</x:v>
      </x:c>
      <x:c r="B355" s="12" t="str">
        <x:v>NEED-0057</x:v>
      </x:c>
      <x:c r="C355" s="12" t="str">
        <x:v>SRC-0003</x:v>
      </x:c>
      <x:c r="D355" s="12" t="str">
        <x:v>Discovering additional information from the dataset landing page is still a challenge. For example, it's hard to navigate from the product landing page to the user resources in GitHub.</x:v>
      </x:c>
      <x:c r="E355" s="12" t="str">
        <x:v>Discovering additional information from the dataset landing page is still a challenge. For example, it's hard to navigate from the product landing page to the user resources in GitHub.</x:v>
      </x:c>
      <x:c r="F355" s="12" t="str">
        <x:v>Action</x:v>
      </x:c>
      <x:c r="G355" s="12" t="str">
        <x:v>GES DISC User Working Group</x:v>
      </x:c>
      <x:c r="H355" s="12" t="n">
        <x:v>2023</x:v>
      </x:c>
      <x:c r="I355" s="12" t="str">
        <x:v>Application developers</x:v>
      </x:c>
      <x:c r="J355" s="12" t="str">
        <x:v>Medium</x:v>
      </x:c>
      <x:c r="K355" s="16" t="n">
        <x:v>0.75</x:v>
      </x:c>
      <x:c r="L355" s="12" t="str">
        <x:v>LSA similarity cluster; human review pending</x:v>
      </x:c>
      <x:c r="M355" s="12" t="str">
        <x:v>Section: 6.6 New Actions and Recommendations; table row 11</x:v>
      </x:c>
      <x:c r="N355" s="12" t="str"/>
      <x:c r="O355" s="12" t="str">
        <x:v>No</x:v>
      </x:c>
      <x:c r="P355" s="12" t="str">
        <x:v>No</x:v>
      </x:c>
      <x:c r="Q355" s="12"/>
      <x:c r="R355" s="12"/>
    </x:row>
    <x:row r="356">
      <x:c r="A356" s="12" t="str">
        <x:v>EVD-00355</x:v>
      </x:c>
      <x:c r="B356" s="12" t="str">
        <x:v>NEED-0129</x:v>
      </x:c>
      <x:c r="C356" s="12" t="str">
        <x:v>SRC-0003</x:v>
      </x:c>
      <x:c r="D356" s="12" t="str">
        <x:v>DAACs maintain multiple versions of data. Users are confused about which version to use.</x:v>
      </x:c>
      <x:c r="E356" s="12" t="str">
        <x:v>DAACs maintain multiple versions of data. Users are confused about which version to use.</x:v>
      </x:c>
      <x:c r="F356" s="12" t="str">
        <x:v>Action</x:v>
      </x:c>
      <x:c r="G356" s="12" t="str">
        <x:v>GES DISC User Working Group</x:v>
      </x:c>
      <x:c r="H356" s="12" t="n">
        <x:v>2023</x:v>
      </x:c>
      <x:c r="I356" s="12" t="str">
        <x:v>Earthdata users</x:v>
      </x:c>
      <x:c r="J356" s="12" t="str">
        <x:v>High</x:v>
      </x:c>
      <x:c r="K356" s="16" t="n">
        <x:v>0.75</x:v>
      </x:c>
      <x:c r="L356" s="12" t="str">
        <x:v>LSA similarity cluster; human review pending</x:v>
      </x:c>
      <x:c r="M356" s="12" t="str">
        <x:v>Section: 6.6 New Actions and Recommendations; table row 13</x:v>
      </x:c>
      <x:c r="N356" s="12" t="str"/>
      <x:c r="O356" s="12" t="str">
        <x:v>No</x:v>
      </x:c>
      <x:c r="P356" s="12" t="str">
        <x:v>No</x:v>
      </x:c>
      <x:c r="Q356" s="12"/>
      <x:c r="R356" s="12"/>
    </x:row>
    <x:row r="357">
      <x:c r="A357" s="12" t="str">
        <x:v>EVD-00356</x:v>
      </x:c>
      <x:c r="B357" s="12" t="str">
        <x:v>NEED-0191</x:v>
      </x:c>
      <x:c r="C357" s="12" t="str">
        <x:v>SRC-0003</x:v>
      </x:c>
      <x:c r="D357" s="12" t="str">
        <x:v>Users have difficulty selecting the right data collection to fit their application needs.</x:v>
      </x:c>
      <x:c r="E357" s="12" t="str">
        <x:v>Users have difficulty selecting the right data collection to fit their application needs.</x:v>
      </x:c>
      <x:c r="F357" s="12" t="str">
        <x:v>Action</x:v>
      </x:c>
      <x:c r="G357" s="12" t="str">
        <x:v>GES DISC User Working Group</x:v>
      </x:c>
      <x:c r="H357" s="12" t="n">
        <x:v>2023</x:v>
      </x:c>
      <x:c r="I357" s="12" t="str">
        <x:v>Earthdata users</x:v>
      </x:c>
      <x:c r="J357" s="12" t="str">
        <x:v>Medium</x:v>
      </x:c>
      <x:c r="K357" s="16" t="n">
        <x:v>0.55</x:v>
      </x:c>
      <x:c r="L357" s="12" t="str">
        <x:v>LSA similarity cluster; human review pending</x:v>
      </x:c>
      <x:c r="M357" s="12" t="str">
        <x:v>Section: 6.6 New Actions and Recommendations; table row 14</x:v>
      </x:c>
      <x:c r="N357" s="12" t="str"/>
      <x:c r="O357" s="12" t="str">
        <x:v>No</x:v>
      </x:c>
      <x:c r="P357" s="12" t="str">
        <x:v>No</x:v>
      </x:c>
      <x:c r="Q357" s="12"/>
      <x:c r="R357" s="12"/>
    </x:row>
    <x:row r="358">
      <x:c r="A358" s="12" t="str">
        <x:v>EVD-00357</x:v>
      </x:c>
      <x:c r="B358" s="12" t="str">
        <x:v>NEED-0134</x:v>
      </x:c>
      <x:c r="C358" s="12" t="str">
        <x:v>SRC-0003</x:v>
      </x:c>
      <x:c r="D358" s="12" t="str">
        <x:v>A common platform where Principal Investigators and Subject Matter Experts can interact with each other and with the users. Earthdata Forum was suggested as a potential platform.</x:v>
      </x:c>
      <x:c r="E358" s="12" t="str">
        <x:v>A common platform where Principal Investigators and Subject Matter Experts can interact with each other and with the users. Earthdata Forum was suggested as a potential platform.</x:v>
      </x:c>
      <x:c r="F358" s="12" t="str">
        <x:v>Action</x:v>
      </x:c>
      <x:c r="G358" s="12" t="str">
        <x:v>GES DISC User Working Group</x:v>
      </x:c>
      <x:c r="H358" s="12" t="n">
        <x:v>2023</x:v>
      </x:c>
      <x:c r="I358" s="12" t="str">
        <x:v>Earthdata users</x:v>
      </x:c>
      <x:c r="J358" s="12" t="str">
        <x:v>Medium</x:v>
      </x:c>
      <x:c r="K358" s="16" t="n">
        <x:v>0.75</x:v>
      </x:c>
      <x:c r="L358" s="12" t="str">
        <x:v>LSA similarity cluster; human review pending</x:v>
      </x:c>
      <x:c r="M358" s="12" t="str">
        <x:v>Section: 6.6 New Actions and Recommendations; table row 17</x:v>
      </x:c>
      <x:c r="N358" s="12" t="str"/>
      <x:c r="O358" s="12" t="str">
        <x:v>No</x:v>
      </x:c>
      <x:c r="P358" s="12" t="str">
        <x:v>No</x:v>
      </x:c>
      <x:c r="Q358" s="12"/>
      <x:c r="R358" s="12"/>
    </x:row>
    <x:row r="359">
      <x:c r="A359" s="12" t="str">
        <x:v>EVD-00358</x:v>
      </x:c>
      <x:c r="B359" s="12" t="str">
        <x:v>NEED-0023</x:v>
      </x:c>
      <x:c r="C359" s="12" t="str">
        <x:v>SRC-0003</x:v>
      </x:c>
      <x:c r="D359" s="12" t="str">
        <x:v>GES DISC's mobile-friendly app mockup shows promise for improving data access to underserved communities.</x:v>
      </x:c>
      <x:c r="E359" s="12" t="str">
        <x:v>GES DISC's mobile-friendly app mockup shows promise for improving data access to underserved communities.</x:v>
      </x:c>
      <x:c r="F359" s="12" t="str">
        <x:v>Action</x:v>
      </x:c>
      <x:c r="G359" s="12" t="str">
        <x:v>GES DISC User Working Group</x:v>
      </x:c>
      <x:c r="H359" s="12" t="n">
        <x:v>2023</x:v>
      </x:c>
      <x:c r="I359" s="12" t="str">
        <x:v>Earthdata users</x:v>
      </x:c>
      <x:c r="J359" s="12" t="str">
        <x:v>Medium</x:v>
      </x:c>
      <x:c r="K359" s="16" t="n">
        <x:v>0.75</x:v>
      </x:c>
      <x:c r="L359" s="12" t="str">
        <x:v>LSA similarity cluster; human review pending</x:v>
      </x:c>
      <x:c r="M359" s="12" t="str">
        <x:v>Section: 6.6 New Actions and Recommendations; table row 22</x:v>
      </x:c>
      <x:c r="N359" s="12" t="str"/>
      <x:c r="O359" s="12" t="str">
        <x:v>No</x:v>
      </x:c>
      <x:c r="P359" s="12" t="str">
        <x:v>No</x:v>
      </x:c>
      <x:c r="Q359" s="12"/>
      <x:c r="R359" s="12"/>
    </x:row>
    <x:row r="360">
      <x:c r="A360" s="12" t="str">
        <x:v>EVD-00359</x:v>
      </x:c>
      <x:c r="B360" s="12" t="str">
        <x:v>NEED-0123</x:v>
      </x:c>
      <x:c r="C360" s="12" t="str">
        <x:v>SRC-0003</x:v>
      </x:c>
      <x:c r="D360" s="12" t="str">
        <x:v>Caution is needed to avoid oversimplifying complexities. UWG members expressed concern about solely using MERRA-2 to display ECV trends. Careful development before public release is vital.</x:v>
      </x:c>
      <x:c r="E360" s="12" t="str">
        <x:v>Caution is needed to avoid oversimplifying complexities. UWG members expressed concern about solely using MERRA-2 to display ECV trends. Careful development before public release is vital.</x:v>
      </x:c>
      <x:c r="F360" s="12" t="str">
        <x:v>Action</x:v>
      </x:c>
      <x:c r="G360" s="12" t="str">
        <x:v>GES DISC User Working Group</x:v>
      </x:c>
      <x:c r="H360" s="12" t="n">
        <x:v>2023</x:v>
      </x:c>
      <x:c r="I360" s="12" t="str">
        <x:v>Earthdata users</x:v>
      </x:c>
      <x:c r="J360" s="12" t="str">
        <x:v>Medium</x:v>
      </x:c>
      <x:c r="K360" s="16" t="n">
        <x:v>0.75</x:v>
      </x:c>
      <x:c r="L360" s="12" t="str">
        <x:v>LSA similarity cluster; human review pending</x:v>
      </x:c>
      <x:c r="M360" s="12" t="str">
        <x:v>Section: 6.6 New Actions and Recommendations; table row 23</x:v>
      </x:c>
      <x:c r="N360" s="12" t="str"/>
      <x:c r="O360" s="12" t="str">
        <x:v>No</x:v>
      </x:c>
      <x:c r="P360" s="12" t="str">
        <x:v>No</x:v>
      </x:c>
      <x:c r="Q360" s="12"/>
      <x:c r="R360" s="12"/>
    </x:row>
    <x:row r="361">
      <x:c r="A361" s="12" t="str">
        <x:v>EVD-00360</x:v>
      </x:c>
      <x:c r="B361" s="12" t="str">
        <x:v>NEED-0074</x:v>
      </x:c>
      <x:c r="C361" s="12" t="str">
        <x:v>SRC-0003</x:v>
      </x:c>
      <x:c r="D361" s="12" t="str">
        <x:v>Community data reviewers (UWG members) have the ability to view the data before approving the community products.</x:v>
      </x:c>
      <x:c r="E361" s="12" t="str">
        <x:v>Community data reviewers (UWG members) have the ability to view the data before approving the community products.</x:v>
      </x:c>
      <x:c r="F361" s="12" t="str">
        <x:v>Action</x:v>
      </x:c>
      <x:c r="G361" s="12" t="str">
        <x:v>GES DISC User Working Group</x:v>
      </x:c>
      <x:c r="H361" s="12" t="n">
        <x:v>2023</x:v>
      </x:c>
      <x:c r="I361" s="12" t="str">
        <x:v>Earthdata users</x:v>
      </x:c>
      <x:c r="J361" s="12" t="str">
        <x:v>Medium</x:v>
      </x:c>
      <x:c r="K361" s="16" t="n">
        <x:v>0.75</x:v>
      </x:c>
      <x:c r="L361" s="12" t="str">
        <x:v>LSA similarity cluster; human review pending</x:v>
      </x:c>
      <x:c r="M361" s="12" t="str">
        <x:v>Section: 6.6 New Actions and Recommendations; table row 25</x:v>
      </x:c>
      <x:c r="N361" s="12" t="str"/>
      <x:c r="O361" s="12" t="str">
        <x:v>No</x:v>
      </x:c>
      <x:c r="P361" s="12" t="str">
        <x:v>No</x:v>
      </x:c>
      <x:c r="Q361" s="12"/>
      <x:c r="R361" s="12"/>
    </x:row>
    <x:row r="362">
      <x:c r="A362" s="12" t="str">
        <x:v>EVD-00361</x:v>
      </x:c>
      <x:c r="B362" s="12" t="str">
        <x:v>NEED-0120</x:v>
      </x:c>
      <x:c r="C362" s="12" t="str">
        <x:v>SRC-0003</x:v>
      </x:c>
      <x:c r="D362" s="12" t="str">
        <x:v>UWG shared concerns about balancing open science vs licensed proprietary data and the issues with data ownership.</x:v>
      </x:c>
      <x:c r="E362" s="12" t="str">
        <x:v>UWG shared concerns about balancing open science vs licensed proprietary data and the issues with data ownership.</x:v>
      </x:c>
      <x:c r="F362" s="12" t="str">
        <x:v>Action</x:v>
      </x:c>
      <x:c r="G362" s="12" t="str">
        <x:v>GES DISC User Working Group</x:v>
      </x:c>
      <x:c r="H362" s="12" t="n">
        <x:v>2023</x:v>
      </x:c>
      <x:c r="I362" s="12" t="str">
        <x:v>Earthdata users</x:v>
      </x:c>
      <x:c r="J362" s="12" t="str">
        <x:v>Medium</x:v>
      </x:c>
      <x:c r="K362" s="16" t="n">
        <x:v>0.75</x:v>
      </x:c>
      <x:c r="L362" s="12" t="str">
        <x:v>LSA similarity cluster; human review pending</x:v>
      </x:c>
      <x:c r="M362" s="12" t="str">
        <x:v>Section: 6.6 New Actions and Recommendations; table row 27</x:v>
      </x:c>
      <x:c r="N362" s="12" t="str"/>
      <x:c r="O362" s="12" t="str">
        <x:v>No</x:v>
      </x:c>
      <x:c r="P362" s="12" t="str">
        <x:v>No</x:v>
      </x:c>
      <x:c r="Q362" s="12"/>
      <x:c r="R362" s="12"/>
    </x:row>
    <x:row r="363">
      <x:c r="A363" s="12" t="str">
        <x:v>EVD-00362</x:v>
      </x:c>
      <x:c r="B363" s="12" t="str">
        <x:v>NEED-0128</x:v>
      </x:c>
      <x:c r="C363" s="12" t="str">
        <x:v>SRC-0003</x:v>
      </x:c>
      <x:c r="D363" s="12" t="str">
        <x:v>The Geostationary Aerosol Enhancement Request is still pending and should be considered by NASA HQ in FY24.</x:v>
      </x:c>
      <x:c r="E363" s="12" t="str">
        <x:v>The Geostationary Aerosol Enhancement Request is still pending and should be considered by NASA HQ in FY24.</x:v>
      </x:c>
      <x:c r="F363" s="12" t="str">
        <x:v>Action</x:v>
      </x:c>
      <x:c r="G363" s="12" t="str">
        <x:v>LANCE User Working Group</x:v>
      </x:c>
      <x:c r="H363" s="12" t="n">
        <x:v>2023</x:v>
      </x:c>
      <x:c r="I363" s="12" t="str">
        <x:v>Earthdata users</x:v>
      </x:c>
      <x:c r="J363" s="12" t="str">
        <x:v>High</x:v>
      </x:c>
      <x:c r="K363" s="16" t="n">
        <x:v>0.75</x:v>
      </x:c>
      <x:c r="L363" s="12" t="str">
        <x:v>LSA similarity cluster; human review pending</x:v>
      </x:c>
      <x:c r="M363" s="12" t="str">
        <x:v>Section: 7.8 Actions and Recommendations</x:v>
      </x:c>
      <x:c r="N363" s="12" t="str"/>
      <x:c r="O363" s="12" t="str">
        <x:v>No</x:v>
      </x:c>
      <x:c r="P363" s="12" t="str">
        <x:v>No</x:v>
      </x:c>
      <x:c r="Q363" s="12"/>
      <x:c r="R363" s="12"/>
    </x:row>
    <x:row r="364">
      <x:c r="A364" s="12" t="str">
        <x:v>EVD-00363</x:v>
      </x:c>
      <x:c r="B364" s="12" t="str">
        <x:v>NEED-0089</x:v>
      </x:c>
      <x:c r="C364" s="12" t="str">
        <x:v>SRC-0003</x:v>
      </x:c>
      <x:c r="D364" s="12" t="str">
        <x:v>Minnie to forward request for VIIRS aerosol product polar projection to Jess to discuss with Liam Gumley.</x:v>
      </x:c>
      <x:c r="E364" s="12" t="str">
        <x:v>Minnie to forward request for VIIRS aerosol product polar projection to Jess to discuss with Liam Gumley.</x:v>
      </x:c>
      <x:c r="F364" s="12" t="str">
        <x:v>Action</x:v>
      </x:c>
      <x:c r="G364" s="12" t="str">
        <x:v>LANCE User Working Group</x:v>
      </x:c>
      <x:c r="H364" s="12" t="n">
        <x:v>2023</x:v>
      </x:c>
      <x:c r="I364" s="12" t="str">
        <x:v>Earthdata users</x:v>
      </x:c>
      <x:c r="J364" s="12" t="str">
        <x:v>High</x:v>
      </x:c>
      <x:c r="K364" s="16" t="n">
        <x:v>0.75</x:v>
      </x:c>
      <x:c r="L364" s="12" t="str">
        <x:v>LSA similarity cluster; human review pending</x:v>
      </x:c>
      <x:c r="M364" s="12" t="str">
        <x:v>Section: 7.8 Actions and Recommendations</x:v>
      </x:c>
      <x:c r="N364" s="12" t="str"/>
      <x:c r="O364" s="12" t="str">
        <x:v>No</x:v>
      </x:c>
      <x:c r="P364" s="12" t="str">
        <x:v>No</x:v>
      </x:c>
      <x:c r="Q364" s="12"/>
      <x:c r="R364" s="12"/>
    </x:row>
    <x:row r="365">
      <x:c r="A365" s="12" t="str">
        <x:v>EVD-00364</x:v>
      </x:c>
      <x:c r="B365" s="12" t="str">
        <x:v>NEED-0092</x:v>
      </x:c>
      <x:c r="C365" s="12" t="str">
        <x:v>SRC-0003</x:v>
      </x:c>
      <x:c r="D365" s="12" t="str">
        <x:v>Coordinate with PIs to generate brief summaries for the UWG regarding their plans for potential new NRT products resulting from ROSES 2020 A.33.</x:v>
      </x:c>
      <x:c r="E365" s="12" t="str">
        <x:v>Coordinate with PIs to generate brief summaries for the UWG regarding their plans for potential new NRT products resulting from ROSES 2020 A.33.</x:v>
      </x:c>
      <x:c r="F365" s="12" t="str">
        <x:v>Action</x:v>
      </x:c>
      <x:c r="G365" s="12" t="str">
        <x:v>LANCE User Working Group</x:v>
      </x:c>
      <x:c r="H365" s="12" t="n">
        <x:v>2023</x:v>
      </x:c>
      <x:c r="I365" s="12" t="str">
        <x:v>Operational and near-real-time users</x:v>
      </x:c>
      <x:c r="J365" s="12" t="str">
        <x:v>Medium</x:v>
      </x:c>
      <x:c r="K365" s="16" t="n">
        <x:v>0.75</x:v>
      </x:c>
      <x:c r="L365" s="12" t="str">
        <x:v>LSA similarity cluster; human review pending</x:v>
      </x:c>
      <x:c r="M365" s="12" t="str">
        <x:v>Section: 7.8 Actions and Recommendations</x:v>
      </x:c>
      <x:c r="N365" s="12" t="str"/>
      <x:c r="O365" s="12" t="str">
        <x:v>No</x:v>
      </x:c>
      <x:c r="P365" s="12" t="str">
        <x:v>No</x:v>
      </x:c>
      <x:c r="Q365" s="12"/>
      <x:c r="R365" s="12"/>
    </x:row>
    <x:row r="366">
      <x:c r="A366" s="12" t="str">
        <x:v>EVD-00365</x:v>
      </x:c>
      <x:c r="B366" s="12" t="str">
        <x:v>NEED-0092</x:v>
      </x:c>
      <x:c r="C366" s="12" t="str">
        <x:v>SRC-0003</x:v>
      </x:c>
      <x:c r="D366" s="12" t="str">
        <x:v>FIRMS should continue to explore a path to generate a VIIRS NRT Burned Area product.</x:v>
      </x:c>
      <x:c r="E366" s="12" t="str">
        <x:v>FIRMS should continue to explore a path to generate a VIIRS NRT Burned Area product.</x:v>
      </x:c>
      <x:c r="F366" s="12" t="str">
        <x:v>Action</x:v>
      </x:c>
      <x:c r="G366" s="12" t="str">
        <x:v>LANCE User Working Group</x:v>
      </x:c>
      <x:c r="H366" s="12" t="n">
        <x:v>2023</x:v>
      </x:c>
      <x:c r="I366" s="12" t="str">
        <x:v>Operational and near-real-time users</x:v>
      </x:c>
      <x:c r="J366" s="12" t="str">
        <x:v>High</x:v>
      </x:c>
      <x:c r="K366" s="16" t="n">
        <x:v>0.75</x:v>
      </x:c>
      <x:c r="L366" s="12" t="str">
        <x:v>LSA similarity cluster; human review pending</x:v>
      </x:c>
      <x:c r="M366" s="12" t="str">
        <x:v>Section: 7.8 Actions and Recommendations</x:v>
      </x:c>
      <x:c r="N366" s="12" t="str"/>
      <x:c r="O366" s="12" t="str">
        <x:v>No</x:v>
      </x:c>
      <x:c r="P366" s="12" t="str">
        <x:v>No</x:v>
      </x:c>
      <x:c r="Q366" s="12"/>
      <x:c r="R366" s="12"/>
    </x:row>
    <x:row r="367">
      <x:c r="A367" s="12" t="str">
        <x:v>EVD-00366</x:v>
      </x:c>
      <x:c r="B367" s="12" t="str">
        <x:v>NEED-0176</x:v>
      </x:c>
      <x:c r="C367" s="12" t="str">
        <x:v>SRC-0003</x:v>
      </x:c>
      <x:c r="D367" s="12" t="str">
        <x:v>Consider generating two TROPICS ‘applicability’ case studies, given the relevance particularly to underrepresented countries, with examples generated using: a) atmospheric rivers and b) early warning systems. Note: Ryan Boller thought visualization of atmospheric rivers would make a good Worldview Story Tour.</x:v>
      </x:c>
      <x:c r="E367" s="12" t="str">
        <x:v>Consider generating two TROPICS ‘applicability’ case studies, given the relevance particularly to underrepresented countries, with examples generated using: a) atmospheric rivers and b) early warning systems. Note: Ryan Boller thought visualization of atmospheric rivers would make a good Worldview Story Tour.</x:v>
      </x:c>
      <x:c r="F367" s="12" t="str">
        <x:v>Action</x:v>
      </x:c>
      <x:c r="G367" s="12" t="str">
        <x:v>LANCE User Working Group</x:v>
      </x:c>
      <x:c r="H367" s="12" t="n">
        <x:v>2023</x:v>
      </x:c>
      <x:c r="I367" s="12" t="str">
        <x:v>Indigenous and underrepresented communities</x:v>
      </x:c>
      <x:c r="J367" s="12" t="str">
        <x:v>High</x:v>
      </x:c>
      <x:c r="K367" s="16" t="n">
        <x:v>0.75</x:v>
      </x:c>
      <x:c r="L367" s="12" t="str">
        <x:v>LSA similarity cluster; human review pending</x:v>
      </x:c>
      <x:c r="M367" s="12" t="str">
        <x:v>Section: 7.8 Actions and Recommendations</x:v>
      </x:c>
      <x:c r="N367" s="12" t="str"/>
      <x:c r="O367" s="12" t="str">
        <x:v>No</x:v>
      </x:c>
      <x:c r="P367" s="12" t="str">
        <x:v>No</x:v>
      </x:c>
      <x:c r="Q367" s="12"/>
      <x:c r="R367" s="12"/>
    </x:row>
    <x:row r="368">
      <x:c r="A368" s="12" t="str">
        <x:v>EVD-00367</x:v>
      </x:c>
      <x:c r="B368" s="12" t="str">
        <x:v>NEED-0089</x:v>
      </x:c>
      <x:c r="C368" s="12" t="str">
        <x:v>SRC-0003</x:v>
      </x:c>
      <x:c r="D368" s="12" t="str">
        <x:v>Colin Seftor is encouraged to submit LANCE UWG enhancement request for NRT OMPS Limb Profiler aerosol products, with backing from at least two NASA HQ program managers.</x:v>
      </x:c>
      <x:c r="E368" s="12" t="str">
        <x:v>Colin Seftor is encouraged to submit LANCE UWG enhancement request for NRT OMPS Limb Profiler aerosol products, with backing from at least two NASA HQ program managers.</x:v>
      </x:c>
      <x:c r="F368" s="12" t="str">
        <x:v>Action</x:v>
      </x:c>
      <x:c r="G368" s="12" t="str">
        <x:v>LANCE User Working Group</x:v>
      </x:c>
      <x:c r="H368" s="12" t="n">
        <x:v>2023</x:v>
      </x:c>
      <x:c r="I368" s="12" t="str">
        <x:v>Operational and near-real-time users</x:v>
      </x:c>
      <x:c r="J368" s="12" t="str">
        <x:v>High</x:v>
      </x:c>
      <x:c r="K368" s="16" t="n">
        <x:v>0.75</x:v>
      </x:c>
      <x:c r="L368" s="12" t="str">
        <x:v>LSA similarity cluster; human review pending</x:v>
      </x:c>
      <x:c r="M368" s="12" t="str">
        <x:v>Section: 7.8 Actions and Recommendations</x:v>
      </x:c>
      <x:c r="N368" s="12" t="str"/>
      <x:c r="O368" s="12" t="str">
        <x:v>No</x:v>
      </x:c>
      <x:c r="P368" s="12" t="str">
        <x:v>No</x:v>
      </x:c>
      <x:c r="Q368" s="12"/>
      <x:c r="R368" s="12"/>
    </x:row>
    <x:row r="369">
      <x:c r="A369" s="12" t="str">
        <x:v>EVD-00368</x:v>
      </x:c>
      <x:c r="B369" s="12" t="str">
        <x:v>NEED-0074</x:v>
      </x:c>
      <x:c r="C369" s="12" t="str">
        <x:v>SRC-0003</x:v>
      </x:c>
      <x:c r="D369" s="12" t="str">
        <x:v>Miguel recommended a wide assessment/analysis of issues tied to continuity be undertaken, with a specific focus on the AI product from OMPS/OMI.</x:v>
      </x:c>
      <x:c r="E369" s="12" t="str">
        <x:v>Miguel recommended a wide assessment/analysis of issues tied to continuity be undertaken, with a specific focus on the AI product from OMPS/OMI.</x:v>
      </x:c>
      <x:c r="F369" s="12" t="str">
        <x:v>Action</x:v>
      </x:c>
      <x:c r="G369" s="12" t="str">
        <x:v>LANCE User Working Group</x:v>
      </x:c>
      <x:c r="H369" s="12" t="n">
        <x:v>2023</x:v>
      </x:c>
      <x:c r="I369" s="12" t="str">
        <x:v>Earth science researchers</x:v>
      </x:c>
      <x:c r="J369" s="12" t="str">
        <x:v>Low</x:v>
      </x:c>
      <x:c r="K369" s="16" t="n">
        <x:v>0.75</x:v>
      </x:c>
      <x:c r="L369" s="12" t="str">
        <x:v>LSA similarity cluster; human review pending</x:v>
      </x:c>
      <x:c r="M369" s="12" t="str">
        <x:v>Section: 7.8 Actions and Recommendations</x:v>
      </x:c>
      <x:c r="N369" s="12" t="str"/>
      <x:c r="O369" s="12" t="str">
        <x:v>No</x:v>
      </x:c>
      <x:c r="P369" s="12" t="str">
        <x:v>No</x:v>
      </x:c>
      <x:c r="Q369" s="12"/>
      <x:c r="R369" s="12"/>
    </x:row>
    <x:row r="370">
      <x:c r="A370" s="12" t="str">
        <x:v>EVD-00369</x:v>
      </x:c>
      <x:c r="B370" s="12" t="str">
        <x:v>NEED-0086</x:v>
      </x:c>
      <x:c r="C370" s="12" t="str">
        <x:v>SRC-0003</x:v>
      </x:c>
      <x:c r="D370" s="12" t="str">
        <x:v>Consider archiving the historic flood product as an interim solution in addition to the NRT archive at LAADS/the LANCE MODIS-VIIRS element.</x:v>
      </x:c>
      <x:c r="E370" s="12" t="str">
        <x:v>Consider archiving the historic flood product as an interim solution in addition to the NRT archive at LAADS/the LANCE MODIS-VIIRS element.</x:v>
      </x:c>
      <x:c r="F370" s="12" t="str">
        <x:v>Action</x:v>
      </x:c>
      <x:c r="G370" s="12" t="str">
        <x:v>LANCE User Working Group</x:v>
      </x:c>
      <x:c r="H370" s="12" t="n">
        <x:v>2023</x:v>
      </x:c>
      <x:c r="I370" s="12" t="str">
        <x:v>Operational and near-real-time users; Data producers and mission teams</x:v>
      </x:c>
      <x:c r="J370" s="12" t="str">
        <x:v>High</x:v>
      </x:c>
      <x:c r="K370" s="16" t="n">
        <x:v>0.75</x:v>
      </x:c>
      <x:c r="L370" s="12" t="str">
        <x:v>LSA similarity cluster; human review pending</x:v>
      </x:c>
      <x:c r="M370" s="12" t="str">
        <x:v>Section: 7.8 Actions and Recommendations</x:v>
      </x:c>
      <x:c r="N370" s="12" t="str"/>
      <x:c r="O370" s="12" t="str">
        <x:v>No</x:v>
      </x:c>
      <x:c r="P370" s="12" t="str">
        <x:v>No</x:v>
      </x:c>
      <x:c r="Q370" s="12"/>
      <x:c r="R370" s="12"/>
    </x:row>
    <x:row r="371">
      <x:c r="A371" s="12" t="str">
        <x:v>EVD-00370</x:v>
      </x:c>
      <x:c r="B371" s="12" t="str">
        <x:v>NEED-0086</x:v>
      </x:c>
      <x:c r="C371" s="12" t="str">
        <x:v>SRC-0003</x:v>
      </x:c>
      <x:c r="D371" s="12" t="str">
        <x:v>Miguel recommended the NISAR project be contacted to articulate the need for a Flood validated standard product.</x:v>
      </x:c>
      <x:c r="E371" s="12" t="str">
        <x:v>Miguel recommended the NISAR project be contacted to articulate the need for a Flood validated standard product.</x:v>
      </x:c>
      <x:c r="F371" s="12" t="str">
        <x:v>Action</x:v>
      </x:c>
      <x:c r="G371" s="12" t="str">
        <x:v>LANCE User Working Group</x:v>
      </x:c>
      <x:c r="H371" s="12" t="n">
        <x:v>2023</x:v>
      </x:c>
      <x:c r="I371" s="12" t="str">
        <x:v>Earthdata users</x:v>
      </x:c>
      <x:c r="J371" s="12" t="str">
        <x:v>High</x:v>
      </x:c>
      <x:c r="K371" s="16" t="n">
        <x:v>0.75</x:v>
      </x:c>
      <x:c r="L371" s="12" t="str">
        <x:v>LSA similarity cluster; human review pending</x:v>
      </x:c>
      <x:c r="M371" s="12" t="str">
        <x:v>Section: 7.8 Actions and Recommendations</x:v>
      </x:c>
      <x:c r="N371" s="12" t="str"/>
      <x:c r="O371" s="12" t="str">
        <x:v>No</x:v>
      </x:c>
      <x:c r="P371" s="12" t="str">
        <x:v>No</x:v>
      </x:c>
      <x:c r="Q371" s="12"/>
      <x:c r="R371" s="12"/>
    </x:row>
    <x:row r="372">
      <x:c r="A372" s="12" t="str">
        <x:v>EVD-00371</x:v>
      </x:c>
      <x:c r="B372" s="12" t="str">
        <x:v>NEED-0086</x:v>
      </x:c>
      <x:c r="C372" s="12" t="str">
        <x:v>SRC-0003</x:v>
      </x:c>
      <x:c r="D372" s="12" t="str">
        <x:v>Contact Sean Helfrich about NOAA plans regarding Flood product archive.</x:v>
      </x:c>
      <x:c r="E372" s="12" t="str">
        <x:v>Contact Sean Helfrich about NOAA plans regarding Flood product archive.</x:v>
      </x:c>
      <x:c r="F372" s="12" t="str">
        <x:v>Action</x:v>
      </x:c>
      <x:c r="G372" s="12" t="str">
        <x:v>LANCE User Working Group</x:v>
      </x:c>
      <x:c r="H372" s="12" t="n">
        <x:v>2023</x:v>
      </x:c>
      <x:c r="I372" s="12" t="str">
        <x:v>Data producers and mission teams</x:v>
      </x:c>
      <x:c r="J372" s="12" t="str">
        <x:v>Medium</x:v>
      </x:c>
      <x:c r="K372" s="16" t="n">
        <x:v>0.75</x:v>
      </x:c>
      <x:c r="L372" s="12" t="str">
        <x:v>LSA similarity cluster; human review pending</x:v>
      </x:c>
      <x:c r="M372" s="12" t="str">
        <x:v>Section: 7.8 Actions and Recommendations</x:v>
      </x:c>
      <x:c r="N372" s="12" t="str"/>
      <x:c r="O372" s="12" t="str">
        <x:v>No</x:v>
      </x:c>
      <x:c r="P372" s="12" t="str">
        <x:v>No</x:v>
      </x:c>
      <x:c r="Q372" s="12"/>
      <x:c r="R372" s="12"/>
    </x:row>
    <x:row r="373">
      <x:c r="A373" s="12" t="str">
        <x:v>EVD-00372</x:v>
      </x:c>
      <x:c r="B373" s="12" t="str">
        <x:v>NEED-0086</x:v>
      </x:c>
      <x:c r="C373" s="12" t="str">
        <x:v>SRC-0003</x:v>
      </x:c>
      <x:c r="D373" s="12" t="str">
        <x:v>Explore with NISAR project the need for a Flood validated standard product.</x:v>
      </x:c>
      <x:c r="E373" s="12" t="str">
        <x:v>Explore with NISAR project the need for a Flood validated standard product.</x:v>
      </x:c>
      <x:c r="F373" s="12" t="str">
        <x:v>Action</x:v>
      </x:c>
      <x:c r="G373" s="12" t="str">
        <x:v>LANCE User Working Group</x:v>
      </x:c>
      <x:c r="H373" s="12" t="n">
        <x:v>2023</x:v>
      </x:c>
      <x:c r="I373" s="12" t="str">
        <x:v>Earthdata users</x:v>
      </x:c>
      <x:c r="J373" s="12" t="str">
        <x:v>High</x:v>
      </x:c>
      <x:c r="K373" s="16" t="n">
        <x:v>0.75</x:v>
      </x:c>
      <x:c r="L373" s="12" t="str">
        <x:v>LSA similarity cluster; human review pending</x:v>
      </x:c>
      <x:c r="M373" s="12" t="str">
        <x:v>Section: 7.8 Actions and Recommendations</x:v>
      </x:c>
      <x:c r="N373" s="12" t="str"/>
      <x:c r="O373" s="12" t="str">
        <x:v>No</x:v>
      </x:c>
      <x:c r="P373" s="12" t="str">
        <x:v>No</x:v>
      </x:c>
      <x:c r="Q373" s="12"/>
      <x:c r="R373" s="12"/>
    </x:row>
    <x:row r="374">
      <x:c r="A374" s="12" t="str">
        <x:v>EVD-00373</x:v>
      </x:c>
      <x:c r="B374" s="12" t="str">
        <x:v>NEED-0086</x:v>
      </x:c>
      <x:c r="C374" s="12" t="str">
        <x:v>SRC-0003</x:v>
      </x:c>
      <x:c r="D374" s="12" t="str">
        <x:v>Consider documenting/writing a paper on what should be included with a standard Flood Product (i.e. not just a count but a contribution to a more nuanced understanding the legacy of flood conditions).</x:v>
      </x:c>
      <x:c r="E374" s="12" t="str">
        <x:v>Consider documenting/writing a paper on what should be included with a standard Flood Product (i.e. not just a count but a contribution to a more nuanced understanding the legacy of flood conditions).</x:v>
      </x:c>
      <x:c r="F374" s="12" t="str">
        <x:v>Action</x:v>
      </x:c>
      <x:c r="G374" s="12" t="str">
        <x:v>LANCE User Working Group</x:v>
      </x:c>
      <x:c r="H374" s="12" t="n">
        <x:v>2023</x:v>
      </x:c>
      <x:c r="I374" s="12" t="str">
        <x:v>Earthdata users</x:v>
      </x:c>
      <x:c r="J374" s="12" t="str">
        <x:v>High</x:v>
      </x:c>
      <x:c r="K374" s="16" t="n">
        <x:v>0.75</x:v>
      </x:c>
      <x:c r="L374" s="12" t="str">
        <x:v>LSA similarity cluster; human review pending</x:v>
      </x:c>
      <x:c r="M374" s="12" t="str">
        <x:v>Section: 7.8 Actions and Recommendations</x:v>
      </x:c>
      <x:c r="N374" s="12" t="str"/>
      <x:c r="O374" s="12" t="str">
        <x:v>No</x:v>
      </x:c>
      <x:c r="P374" s="12" t="str">
        <x:v>No</x:v>
      </x:c>
      <x:c r="Q374" s="12"/>
      <x:c r="R374" s="12"/>
    </x:row>
    <x:row r="375">
      <x:c r="A375" s="12" t="str">
        <x:v>EVD-00374</x:v>
      </x:c>
      <x:c r="B375" s="12" t="str">
        <x:v>NEED-0182</x:v>
      </x:c>
      <x:c r="C375" s="12" t="str">
        <x:v>SRC-0003</x:v>
      </x:c>
      <x:c r="D375" s="12" t="str">
        <x:v>Follow-up with EIC Project Management, LANCE/Worldview leadership, and other parties (Data Visualization Lab?) to ensure the dependencies of the EIC on LANCE data are well understood.</x:v>
      </x:c>
      <x:c r="E375" s="12" t="str">
        <x:v>Follow-up with EIC Project Management, LANCE/Worldview leadership, and other parties (Data Visualization Lab?) to ensure the dependencies of the EIC on LANCE data are well understood.</x:v>
      </x:c>
      <x:c r="F375" s="12" t="str">
        <x:v>Action</x:v>
      </x:c>
      <x:c r="G375" s="12" t="str">
        <x:v>LANCE User Working Group</x:v>
      </x:c>
      <x:c r="H375" s="12" t="n">
        <x:v>2023</x:v>
      </x:c>
      <x:c r="I375" s="12" t="str">
        <x:v>Operational and near-real-time users</x:v>
      </x:c>
      <x:c r="J375" s="12" t="str">
        <x:v>High</x:v>
      </x:c>
      <x:c r="K375" s="16" t="n">
        <x:v>0.75</x:v>
      </x:c>
      <x:c r="L375" s="12" t="str">
        <x:v>LSA similarity cluster; human review pending</x:v>
      </x:c>
      <x:c r="M375" s="12" t="str">
        <x:v>Section: 7.8 Actions and Recommendations</x:v>
      </x:c>
      <x:c r="N375" s="12" t="str"/>
      <x:c r="O375" s="12" t="str">
        <x:v>No</x:v>
      </x:c>
      <x:c r="P375" s="12" t="str">
        <x:v>No</x:v>
      </x:c>
      <x:c r="Q375" s="12"/>
      <x:c r="R375" s="12"/>
    </x:row>
    <x:row r="376">
      <x:c r="A376" s="12" t="str">
        <x:v>EVD-00375</x:v>
      </x:c>
      <x:c r="B376" s="12" t="str">
        <x:v>NEED-0176</x:v>
      </x:c>
      <x:c r="C376" s="12" t="str">
        <x:v>SRC-0003</x:v>
      </x:c>
      <x:c r="D376" s="12" t="str">
        <x:v>Gather requirements on what QA flags should/could be available in Worldview in both NRT and standard products (action for GIBS/Worldview, MODAPS and key science team members).</x:v>
      </x:c>
      <x:c r="E376" s="12" t="str">
        <x:v>Gather requirements on what QA flags should/could be available in Worldview in both NRT and standard products (action for GIBS/Worldview, MODAPS and key science team members).</x:v>
      </x:c>
      <x:c r="F376" s="12" t="str">
        <x:v>Action</x:v>
      </x:c>
      <x:c r="G376" s="12" t="str">
        <x:v>LANCE User Working Group</x:v>
      </x:c>
      <x:c r="H376" s="12" t="n">
        <x:v>2023</x:v>
      </x:c>
      <x:c r="I376" s="12" t="str">
        <x:v>Operational and near-real-time users</x:v>
      </x:c>
      <x:c r="J376" s="12" t="str">
        <x:v>High</x:v>
      </x:c>
      <x:c r="K376" s="16" t="n">
        <x:v>0.75</x:v>
      </x:c>
      <x:c r="L376" s="12" t="str">
        <x:v>LSA similarity cluster; human review pending</x:v>
      </x:c>
      <x:c r="M376" s="12" t="str">
        <x:v>Section: 7.8 Actions and Recommendations</x:v>
      </x:c>
      <x:c r="N376" s="12" t="str"/>
      <x:c r="O376" s="12" t="str">
        <x:v>No</x:v>
      </x:c>
      <x:c r="P376" s="12" t="str">
        <x:v>No</x:v>
      </x:c>
      <x:c r="Q376" s="12"/>
      <x:c r="R376" s="12"/>
    </x:row>
    <x:row r="377">
      <x:c r="A377" s="12" t="str">
        <x:v>EVD-00376</x:v>
      </x:c>
      <x:c r="B377" s="12" t="str">
        <x:v>NEED-0118</x:v>
      </x:c>
      <x:c r="C377" s="12" t="str">
        <x:v>SRC-0003</x:v>
      </x:c>
      <x:c r="D377" s="12" t="str">
        <x:v>Nima Pahlevan is encouraged to submit a LANCE UWG enhancement Request.</x:v>
      </x:c>
      <x:c r="E377" s="12" t="str">
        <x:v>Nima Pahlevan is encouraged to submit a LANCE UWG enhancement Request.</x:v>
      </x:c>
      <x:c r="F377" s="12" t="str">
        <x:v>Action</x:v>
      </x:c>
      <x:c r="G377" s="12" t="str">
        <x:v>LANCE User Working Group</x:v>
      </x:c>
      <x:c r="H377" s="12" t="n">
        <x:v>2023</x:v>
      </x:c>
      <x:c r="I377" s="12" t="str">
        <x:v>Operational and near-real-time users</x:v>
      </x:c>
      <x:c r="J377" s="12" t="str">
        <x:v>High</x:v>
      </x:c>
      <x:c r="K377" s="16" t="n">
        <x:v>0.55</x:v>
      </x:c>
      <x:c r="L377" s="12" t="str">
        <x:v>LSA similarity cluster; human review pending</x:v>
      </x:c>
      <x:c r="M377" s="12" t="str">
        <x:v>Section: 7.8 Actions and Recommendations</x:v>
      </x:c>
      <x:c r="N377" s="12" t="str"/>
      <x:c r="O377" s="12" t="str">
        <x:v>No</x:v>
      </x:c>
      <x:c r="P377" s="12" t="str">
        <x:v>No</x:v>
      </x:c>
      <x:c r="Q377" s="12"/>
      <x:c r="R377" s="12"/>
    </x:row>
    <x:row r="378">
      <x:c r="A378" s="12" t="str">
        <x:v>EVD-00377</x:v>
      </x:c>
      <x:c r="B378" s="12" t="str">
        <x:v>NEED-0124</x:v>
      </x:c>
      <x:c r="C378" s="12" t="str">
        <x:v>SRC-0003</x:v>
      </x:c>
      <x:c r="D378" s="12" t="str">
        <x:v>LP DAAC is planning an in-person Joint UWG Meeting with ORNL DAAC in Sep-Oct 2023.</x:v>
      </x:c>
      <x:c r="E378" s="12" t="str">
        <x:v>LP DAAC is planning an in-person Joint UWG Meeting with ORNL DAAC in Sep-Oct 2023.</x:v>
      </x:c>
      <x:c r="F378" s="12" t="str">
        <x:v>Key Takeaway</x:v>
      </x:c>
      <x:c r="G378" s="12" t="str">
        <x:v>LP DAAC User Working Group</x:v>
      </x:c>
      <x:c r="H378" s="12" t="n">
        <x:v>2023</x:v>
      </x:c>
      <x:c r="I378" s="12" t="str">
        <x:v>Earthdata users</x:v>
      </x:c>
      <x:c r="J378" s="12" t="str">
        <x:v>Medium</x:v>
      </x:c>
      <x:c r="K378" s="16" t="n">
        <x:v>0.75</x:v>
      </x:c>
      <x:c r="L378" s="12" t="str">
        <x:v>LSA similarity cluster; human review pending</x:v>
      </x:c>
      <x:c r="M378" s="12" t="str">
        <x:v>Section: 8.4.3 LP DAAC Mid-Year Update Virtual Meeting Key Takeaways</x:v>
      </x:c>
      <x:c r="N378" s="12" t="str"/>
      <x:c r="O378" s="12" t="str">
        <x:v>No</x:v>
      </x:c>
      <x:c r="P378" s="12" t="str">
        <x:v>No</x:v>
      </x:c>
      <x:c r="Q378" s="12"/>
      <x:c r="R378" s="12"/>
    </x:row>
    <x:row r="379">
      <x:c r="A379" s="12" t="str">
        <x:v>EVD-00378</x:v>
      </x:c>
      <x:c r="B379" s="12" t="str">
        <x:v>NEED-0190</x:v>
      </x:c>
      <x:c r="C379" s="12" t="str">
        <x:v>SRC-0003</x:v>
      </x:c>
      <x:c r="D379" s="12" t="str">
        <x:v>The LP DAAC should include a NASA Worldview (and other Enterprise tools) presentation at a future UWG Meeting.</x:v>
      </x:c>
      <x:c r="E379" s="12" t="str">
        <x:v>The LP DAAC should include a NASA Worldview (and other Enterprise tools) presentation at a future UWG Meeting.</x:v>
      </x:c>
      <x:c r="F379" s="12" t="str">
        <x:v>Key Takeaway</x:v>
      </x:c>
      <x:c r="G379" s="12" t="str">
        <x:v>LP DAAC User Working Group</x:v>
      </x:c>
      <x:c r="H379" s="12" t="n">
        <x:v>2023</x:v>
      </x:c>
      <x:c r="I379" s="12" t="str">
        <x:v>Earthdata users</x:v>
      </x:c>
      <x:c r="J379" s="12" t="str">
        <x:v>High</x:v>
      </x:c>
      <x:c r="K379" s="16" t="n">
        <x:v>0.75</x:v>
      </x:c>
      <x:c r="L379" s="12" t="str">
        <x:v>LSA similarity cluster; human review pending</x:v>
      </x:c>
      <x:c r="M379" s="12" t="str">
        <x:v>Section: 8.4.3 LP DAAC Mid-Year Update Virtual Meeting Key Takeaways</x:v>
      </x:c>
      <x:c r="N379" s="12" t="str"/>
      <x:c r="O379" s="12" t="str">
        <x:v>No</x:v>
      </x:c>
      <x:c r="P379" s="12" t="str">
        <x:v>No</x:v>
      </x:c>
      <x:c r="Q379" s="12"/>
      <x:c r="R379" s="12"/>
    </x:row>
    <x:row r="380">
      <x:c r="A380" s="12" t="str">
        <x:v>EVD-00379</x:v>
      </x:c>
      <x:c r="B380" s="12" t="str">
        <x:v>NEED-0012</x:v>
      </x:c>
      <x:c r="C380" s="12" t="str">
        <x:v>SRC-0003</x:v>
      </x:c>
      <x:c r="D380" s="12" t="str">
        <x:v>The LP DAAC should consider a presentation on the tradeoffs for scientists looking for on-prem vs. cloud-based solutions.</x:v>
      </x:c>
      <x:c r="E380" s="12" t="str">
        <x:v>The LP DAAC should consider a presentation on the tradeoffs for scientists looking for on-prem vs. cloud-based solutions.</x:v>
      </x:c>
      <x:c r="F380" s="12" t="str">
        <x:v>Key Takeaway</x:v>
      </x:c>
      <x:c r="G380" s="12" t="str">
        <x:v>LP DAAC User Working Group</x:v>
      </x:c>
      <x:c r="H380" s="12" t="n">
        <x:v>2023</x:v>
      </x:c>
      <x:c r="I380" s="12" t="str">
        <x:v>Cloud-native researchers; Earth science researchers</x:v>
      </x:c>
      <x:c r="J380" s="12" t="str">
        <x:v>High</x:v>
      </x:c>
      <x:c r="K380" s="16" t="n">
        <x:v>0.75</x:v>
      </x:c>
      <x:c r="L380" s="12" t="str">
        <x:v>LSA similarity cluster; human review pending</x:v>
      </x:c>
      <x:c r="M380" s="12" t="str">
        <x:v>Section: 8.4.3 LP DAAC Mid-Year Update Virtual Meeting Key Takeaways</x:v>
      </x:c>
      <x:c r="N380" s="12" t="str"/>
      <x:c r="O380" s="12" t="str">
        <x:v>No</x:v>
      </x:c>
      <x:c r="P380" s="12" t="str">
        <x:v>No</x:v>
      </x:c>
      <x:c r="Q380" s="12"/>
      <x:c r="R380" s="12"/>
    </x:row>
    <x:row r="381">
      <x:c r="A381" s="12" t="str">
        <x:v>EVD-00380</x:v>
      </x:c>
      <x:c r="B381" s="12" t="str">
        <x:v>NEED-0050</x:v>
      </x:c>
      <x:c r="C381" s="12" t="str">
        <x:v>SRC-0003</x:v>
      </x:c>
      <x:c r="D381" s="12" t="str">
        <x:v>The LP DAAC needs an Open Science Data Management Plan for how to archive and distribute future mission data, metadata, algorithms, workflows, documentation, and publications.</x:v>
      </x:c>
      <x:c r="E381" s="12" t="str">
        <x:v>The LP DAAC needs an Open Science Data Management Plan for how to archive and distribute future mission data, metadata, algorithms, workflows, documentation, and publications.</x:v>
      </x:c>
      <x:c r="F381" s="12" t="str">
        <x:v>Key Takeaway</x:v>
      </x:c>
      <x:c r="G381" s="12" t="str">
        <x:v>LP DAAC User Working Group</x:v>
      </x:c>
      <x:c r="H381" s="12" t="n">
        <x:v>2023</x:v>
      </x:c>
      <x:c r="I381" s="12" t="str">
        <x:v>Data producers and mission teams</x:v>
      </x:c>
      <x:c r="J381" s="12" t="str">
        <x:v>Medium</x:v>
      </x:c>
      <x:c r="K381" s="16" t="n">
        <x:v>0.75</x:v>
      </x:c>
      <x:c r="L381" s="12" t="str">
        <x:v>LSA similarity cluster; human review pending</x:v>
      </x:c>
      <x:c r="M381" s="12" t="str">
        <x:v>Section: 8.4.3 LP DAAC Mid-Year Update Virtual Meeting Key Takeaways</x:v>
      </x:c>
      <x:c r="N381" s="12" t="str"/>
      <x:c r="O381" s="12" t="str">
        <x:v>No</x:v>
      </x:c>
      <x:c r="P381" s="12" t="str">
        <x:v>No</x:v>
      </x:c>
      <x:c r="Q381" s="12"/>
      <x:c r="R381" s="12"/>
    </x:row>
    <x:row r="382">
      <x:c r="A382" s="12" t="str">
        <x:v>EVD-00381</x:v>
      </x:c>
      <x:c r="B382" s="12" t="str">
        <x:v>NEED-0143</x:v>
      </x:c>
      <x:c r="C382" s="12" t="str">
        <x:v>SRC-0003</x:v>
      </x:c>
      <x:c r="D382" s="12" t="str">
        <x:v>Early Archive DAAC engagement is important for incoming ESO Missions. As the SBG Archive DAAC, LP DAAC needs to continue planning for the SBG I&amp;A architecture, how to support SPD-41a (see point above), and participate in early engagement and outreach activities.</x:v>
      </x:c>
      <x:c r="E382" s="12" t="str">
        <x:v>Early Archive DAAC engagement is important for incoming ESO Missions. As the SBG Archive DAAC, LP DAAC needs to continue planning for the SBG I&amp;A architecture, how to support SPD-41a (see point above), and participate in early engagement and outreach activities.</x:v>
      </x:c>
      <x:c r="F382" s="12" t="str">
        <x:v>Key Takeaway</x:v>
      </x:c>
      <x:c r="G382" s="12" t="str">
        <x:v>LP DAAC User Working Group</x:v>
      </x:c>
      <x:c r="H382" s="12" t="n">
        <x:v>2023</x:v>
      </x:c>
      <x:c r="I382" s="12" t="str">
        <x:v>Data producers and mission teams</x:v>
      </x:c>
      <x:c r="J382" s="12" t="str">
        <x:v>High</x:v>
      </x:c>
      <x:c r="K382" s="16" t="n">
        <x:v>0.75</x:v>
      </x:c>
      <x:c r="L382" s="12" t="str">
        <x:v>LSA similarity cluster; human review pending</x:v>
      </x:c>
      <x:c r="M382" s="12" t="str">
        <x:v>Section: 8.4.3 LP DAAC Mid-Year Update Virtual Meeting Key Takeaways</x:v>
      </x:c>
      <x:c r="N382" s="12" t="str"/>
      <x:c r="O382" s="12" t="str">
        <x:v>No</x:v>
      </x:c>
      <x:c r="P382" s="12" t="str">
        <x:v>No</x:v>
      </x:c>
      <x:c r="Q382" s="12"/>
      <x:c r="R382" s="12"/>
    </x:row>
    <x:row r="383">
      <x:c r="A383" s="12" t="str">
        <x:v>EVD-00382</x:v>
      </x:c>
      <x:c r="B383" s="12" t="str">
        <x:v>NEED-0033</x:v>
      </x:c>
      <x:c r="C383" s="12" t="str">
        <x:v>SRC-0003</x:v>
      </x:c>
      <x:c r="D383" s="12" t="str">
        <x:v>LP DAAC should also take a leading role in coordinating cross-mission and interdisciplinary efforts and work with secondary DAACs to ensure a broad range of user communities can access SBG data.</x:v>
      </x:c>
      <x:c r="E383" s="12" t="str">
        <x:v>LP DAAC should also take a leading role in coordinating cross-mission and interdisciplinary efforts and work with secondary DAACs to ensure a broad range of user communities can access SBG data.</x:v>
      </x:c>
      <x:c r="F383" s="12" t="str">
        <x:v>Key Takeaway</x:v>
      </x:c>
      <x:c r="G383" s="12" t="str">
        <x:v>LP DAAC User Working Group</x:v>
      </x:c>
      <x:c r="H383" s="12" t="n">
        <x:v>2023</x:v>
      </x:c>
      <x:c r="I383" s="12" t="str">
        <x:v>Data producers and mission teams</x:v>
      </x:c>
      <x:c r="J383" s="12" t="str">
        <x:v>High</x:v>
      </x:c>
      <x:c r="K383" s="16" t="n">
        <x:v>0.75</x:v>
      </x:c>
      <x:c r="L383" s="12" t="str">
        <x:v>LSA similarity cluster; human review pending</x:v>
      </x:c>
      <x:c r="M383" s="12" t="str">
        <x:v>Section: 8.4.3 LP DAAC Mid-Year Update Virtual Meeting Key Takeaways</x:v>
      </x:c>
      <x:c r="N383" s="12" t="str"/>
      <x:c r="O383" s="12" t="str">
        <x:v>No</x:v>
      </x:c>
      <x:c r="P383" s="12" t="str">
        <x:v>No</x:v>
      </x:c>
      <x:c r="Q383" s="12"/>
      <x:c r="R383" s="12"/>
    </x:row>
    <x:row r="384">
      <x:c r="A384" s="12" t="str">
        <x:v>EVD-00383</x:v>
      </x:c>
      <x:c r="B384" s="12" t="str">
        <x:v>NEED-0026</x:v>
      </x:c>
      <x:c r="C384" s="12" t="str">
        <x:v>SRC-0003</x:v>
      </x:c>
      <x:c r="D384" s="12" t="str">
        <x:v>The LP DAAC UWG recommends that the LP DAAC moves forward with the Accession process to support the LPJ-PROSAIL Global Simulated Dynamic Surface Reflectance and ASTER Global Surface Mineralogy Products.</x:v>
      </x:c>
      <x:c r="E384" s="12" t="str">
        <x:v>The LP DAAC UWG recommends that the LP DAAC moves forward with the Accession process to support the LPJ-PROSAIL Global Simulated Dynamic Surface Reflectance and ASTER Global Surface Mineralogy Products.</x:v>
      </x:c>
      <x:c r="F384" s="12" t="str">
        <x:v>Recommendation</x:v>
      </x:c>
      <x:c r="G384" s="12" t="str">
        <x:v>LP DAAC User Working Group</x:v>
      </x:c>
      <x:c r="H384" s="12" t="n">
        <x:v>2023</x:v>
      </x:c>
      <x:c r="I384" s="12" t="str">
        <x:v>Earthdata users</x:v>
      </x:c>
      <x:c r="J384" s="12" t="str">
        <x:v>High</x:v>
      </x:c>
      <x:c r="K384" s="16" t="n">
        <x:v>0.75</x:v>
      </x:c>
      <x:c r="L384" s="12" t="str">
        <x:v>LSA similarity cluster; human review pending</x:v>
      </x:c>
      <x:c r="M384" s="12" t="str">
        <x:v>Section: 8.4.3 LP DAAC Mid-Year Update Virtual Meeting Key Takeaways</x:v>
      </x:c>
      <x:c r="N384" s="12" t="str"/>
      <x:c r="O384" s="12" t="str">
        <x:v>No</x:v>
      </x:c>
      <x:c r="P384" s="12" t="str">
        <x:v>No</x:v>
      </x:c>
      <x:c r="Q384" s="12"/>
      <x:c r="R384" s="12"/>
    </x:row>
    <x:row r="385">
      <x:c r="A385" s="12" t="str">
        <x:v>EVD-00384</x:v>
      </x:c>
      <x:c r="B385" s="12" t="str">
        <x:v>NEED-0088</x:v>
      </x:c>
      <x:c r="C385" s="12" t="str">
        <x:v>SRC-0003</x:v>
      </x:c>
      <x:c r="D385" s="12" t="str">
        <x:v>Reasoning includes heritage as the ASTER DAAC and both products will help users prepare for SBG and other global thermal and imaging spectroscopy missions.</x:v>
      </x:c>
      <x:c r="E385" s="12" t="str">
        <x:v>Reasoning includes heritage as the ASTER DAAC and both products will help users prepare for SBG and other global thermal and imaging spectroscopy missions.</x:v>
      </x:c>
      <x:c r="F385" s="12" t="str">
        <x:v>Key Takeaway</x:v>
      </x:c>
      <x:c r="G385" s="12" t="str">
        <x:v>LP DAAC User Working Group</x:v>
      </x:c>
      <x:c r="H385" s="12" t="n">
        <x:v>2023</x:v>
      </x:c>
      <x:c r="I385" s="12" t="str">
        <x:v>Data producers and mission teams</x:v>
      </x:c>
      <x:c r="J385" s="12" t="str">
        <x:v>Medium</x:v>
      </x:c>
      <x:c r="K385" s="16" t="n">
        <x:v>0.75</x:v>
      </x:c>
      <x:c r="L385" s="12" t="str">
        <x:v>LSA similarity cluster; human review pending</x:v>
      </x:c>
      <x:c r="M385" s="12" t="str">
        <x:v>Section: 8.4.3 LP DAAC Mid-Year Update Virtual Meeting Key Takeaways</x:v>
      </x:c>
      <x:c r="N385" s="12" t="str"/>
      <x:c r="O385" s="12" t="str">
        <x:v>No</x:v>
      </x:c>
      <x:c r="P385" s="12" t="str">
        <x:v>No</x:v>
      </x:c>
      <x:c r="Q385" s="12"/>
      <x:c r="R385" s="12"/>
    </x:row>
    <x:row r="386">
      <x:c r="A386" s="12" t="str">
        <x:v>EVD-00385</x:v>
      </x:c>
      <x:c r="B386" s="12" t="str">
        <x:v>NEED-0081</x:v>
      </x:c>
      <x:c r="C386" s="12" t="str">
        <x:v>SRC-0003</x:v>
      </x:c>
      <x:c r="D386" s="12" t="str">
        <x:v>Detailed information can be found on the 2023 Mid-Year Meeting Community Dataset Candidate Review Responses Earthdata Wiki page.</x:v>
      </x:c>
      <x:c r="E386" s="12" t="str">
        <x:v>Detailed information can be found on the 2023 Mid-Year Meeting Community Dataset Candidate Review Responses Earthdata Wiki page.</x:v>
      </x:c>
      <x:c r="F386" s="12" t="str">
        <x:v>Key Takeaway</x:v>
      </x:c>
      <x:c r="G386" s="12" t="str">
        <x:v>LP DAAC User Working Group</x:v>
      </x:c>
      <x:c r="H386" s="12" t="n">
        <x:v>2023</x:v>
      </x:c>
      <x:c r="I386" s="12" t="str">
        <x:v>Earthdata users</x:v>
      </x:c>
      <x:c r="J386" s="12" t="str">
        <x:v>Medium</x:v>
      </x:c>
      <x:c r="K386" s="16" t="n">
        <x:v>0.75</x:v>
      </x:c>
      <x:c r="L386" s="12" t="str">
        <x:v>LSA similarity cluster; human review pending</x:v>
      </x:c>
      <x:c r="M386" s="12" t="str">
        <x:v>Section: 8.4.3 LP DAAC Mid-Year Update Virtual Meeting Key Takeaways</x:v>
      </x:c>
      <x:c r="N386" s="12" t="str"/>
      <x:c r="O386" s="12" t="str">
        <x:v>No</x:v>
      </x:c>
      <x:c r="P386" s="12" t="str">
        <x:v>No</x:v>
      </x:c>
      <x:c r="Q386" s="12"/>
      <x:c r="R386" s="12"/>
    </x:row>
    <x:row r="387">
      <x:c r="A387" s="12" t="str">
        <x:v>EVD-00386</x:v>
      </x:c>
      <x:c r="B387" s="12" t="str">
        <x:v>NEED-0080</x:v>
      </x:c>
      <x:c r="C387" s="12" t="str">
        <x:v>SRC-0003</x:v>
      </x:c>
      <x:c r="D387" s="12" t="str">
        <x:v>The LP DAAC UWG suggests that the LP DAAC continues to incorporate new datasets into AppEEARS, including products from EMIT, Landsat, and VIIRS Version 2.</x:v>
      </x:c>
      <x:c r="E387" s="12" t="str">
        <x:v>The LP DAAC UWG suggests that the LP DAAC continues to incorporate new datasets into AppEEARS, including products from EMIT, Landsat, and VIIRS Version 2.</x:v>
      </x:c>
      <x:c r="F387" s="12" t="str">
        <x:v>Suggestion</x:v>
      </x:c>
      <x:c r="G387" s="12" t="str">
        <x:v>LP DAAC User Working Group</x:v>
      </x:c>
      <x:c r="H387" s="12" t="n">
        <x:v>2023</x:v>
      </x:c>
      <x:c r="I387" s="12" t="str">
        <x:v>Earthdata users</x:v>
      </x:c>
      <x:c r="J387" s="12" t="str">
        <x:v>Medium</x:v>
      </x:c>
      <x:c r="K387" s="16" t="n">
        <x:v>0.75</x:v>
      </x:c>
      <x:c r="L387" s="12" t="str">
        <x:v>LSA similarity cluster; human review pending</x:v>
      </x:c>
      <x:c r="M387" s="12" t="str">
        <x:v>Section: 8.4.3 LP DAAC Mid-Year Update Virtual Meeting Key Takeaways</x:v>
      </x:c>
      <x:c r="N387" s="12" t="str"/>
      <x:c r="O387" s="12" t="str">
        <x:v>No</x:v>
      </x:c>
      <x:c r="P387" s="12" t="str">
        <x:v>No</x:v>
      </x:c>
      <x:c r="Q387" s="12"/>
      <x:c r="R387" s="12"/>
    </x:row>
    <x:row r="388">
      <x:c r="A388" s="12" t="str">
        <x:v>EVD-00387</x:v>
      </x:c>
      <x:c r="B388" s="12" t="str">
        <x:v>NEED-0018</x:v>
      </x:c>
      <x:c r="C388" s="12" t="str">
        <x:v>SRC-0003</x:v>
      </x:c>
      <x:c r="D388" s="12" t="str">
        <x:v>Getting AppEEARS into the Cloud.</x:v>
      </x:c>
      <x:c r="E388" s="12" t="str">
        <x:v>Getting AppEEARS into the Cloud.</x:v>
      </x:c>
      <x:c r="F388" s="12" t="str">
        <x:v>Key Takeaway</x:v>
      </x:c>
      <x:c r="G388" s="12" t="str">
        <x:v>LP DAAC User Working Group</x:v>
      </x:c>
      <x:c r="H388" s="12" t="n">
        <x:v>2023</x:v>
      </x:c>
      <x:c r="I388" s="12" t="str">
        <x:v>Cloud-native researchers</x:v>
      </x:c>
      <x:c r="J388" s="12" t="str">
        <x:v>Medium</x:v>
      </x:c>
      <x:c r="K388" s="16" t="n">
        <x:v>0.75</x:v>
      </x:c>
      <x:c r="L388" s="12" t="str">
        <x:v>LSA similarity cluster; human review pending</x:v>
      </x:c>
      <x:c r="M388" s="12" t="str">
        <x:v>Section: 8.4.3 LP DAAC Mid-Year Update Virtual Meeting Key Takeaways</x:v>
      </x:c>
      <x:c r="N388" s="12" t="str"/>
      <x:c r="O388" s="12" t="str">
        <x:v>No</x:v>
      </x:c>
      <x:c r="P388" s="12" t="str">
        <x:v>No</x:v>
      </x:c>
      <x:c r="Q388" s="12"/>
      <x:c r="R388" s="12"/>
    </x:row>
    <x:row r="389">
      <x:c r="A389" s="12" t="str">
        <x:v>EVD-00388</x:v>
      </x:c>
      <x:c r="B389" s="12" t="str">
        <x:v>NEED-0080</x:v>
      </x:c>
      <x:c r="C389" s="12" t="str">
        <x:v>SRC-0003</x:v>
      </x:c>
      <x:c r="D389" s="12" t="str">
        <x:v>Getting the NPS Water Balance Products added into AppEEARS.</x:v>
      </x:c>
      <x:c r="E389" s="12" t="str">
        <x:v>Getting the NPS Water Balance Products added into AppEEARS.</x:v>
      </x:c>
      <x:c r="F389" s="12" t="str">
        <x:v>Key Takeaway</x:v>
      </x:c>
      <x:c r="G389" s="12" t="str">
        <x:v>LP DAAC User Working Group</x:v>
      </x:c>
      <x:c r="H389" s="12" t="n">
        <x:v>2023</x:v>
      </x:c>
      <x:c r="I389" s="12" t="str">
        <x:v>Operational and near-real-time users</x:v>
      </x:c>
      <x:c r="J389" s="12" t="str">
        <x:v>Medium</x:v>
      </x:c>
      <x:c r="K389" s="16" t="n">
        <x:v>0.75</x:v>
      </x:c>
      <x:c r="L389" s="12" t="str">
        <x:v>LSA similarity cluster; human review pending</x:v>
      </x:c>
      <x:c r="M389" s="12" t="str">
        <x:v>Section: 8.4.3 LP DAAC Mid-Year Update Virtual Meeting Key Takeaways</x:v>
      </x:c>
      <x:c r="N389" s="12" t="str"/>
      <x:c r="O389" s="12" t="str">
        <x:v>No</x:v>
      </x:c>
      <x:c r="P389" s="12" t="str">
        <x:v>No</x:v>
      </x:c>
      <x:c r="Q389" s="12"/>
      <x:c r="R389" s="12"/>
    </x:row>
    <x:row r="390">
      <x:c r="A390" s="12" t="str">
        <x:v>EVD-00389</x:v>
      </x:c>
      <x:c r="B390" s="12" t="str">
        <x:v>NEED-0017</x:v>
      </x:c>
      <x:c r="C390" s="12" t="str">
        <x:v>SRC-0003</x:v>
      </x:c>
      <x:c r="D390" s="12" t="str">
        <x:v>Helping create the Earthdata Cloud Cookbook.</x:v>
      </x:c>
      <x:c r="E390" s="12" t="str">
        <x:v>Helping create the Earthdata Cloud Cookbook.</x:v>
      </x:c>
      <x:c r="F390" s="12" t="str">
        <x:v>Key Takeaway</x:v>
      </x:c>
      <x:c r="G390" s="12" t="str">
        <x:v>LP DAAC User Working Group</x:v>
      </x:c>
      <x:c r="H390" s="12" t="n">
        <x:v>2023</x:v>
      </x:c>
      <x:c r="I390" s="12" t="str">
        <x:v>Cloud-native researchers</x:v>
      </x:c>
      <x:c r="J390" s="12" t="str">
        <x:v>High</x:v>
      </x:c>
      <x:c r="K390" s="16" t="n">
        <x:v>0.75</x:v>
      </x:c>
      <x:c r="L390" s="12" t="str">
        <x:v>LSA similarity cluster; human review pending</x:v>
      </x:c>
      <x:c r="M390" s="12" t="str">
        <x:v>Section: 8.4.3 LP DAAC Mid-Year Update Virtual Meeting Key Takeaways</x:v>
      </x:c>
      <x:c r="N390" s="12" t="str"/>
      <x:c r="O390" s="12" t="str">
        <x:v>No</x:v>
      </x:c>
      <x:c r="P390" s="12" t="str">
        <x:v>No</x:v>
      </x:c>
      <x:c r="Q390" s="12"/>
      <x:c r="R390" s="12"/>
    </x:row>
    <x:row r="391">
      <x:c r="A391" s="12" t="str">
        <x:v>EVD-00390</x:v>
      </x:c>
      <x:c r="B391" s="12" t="str">
        <x:v>NEED-0039</x:v>
      </x:c>
      <x:c r="C391" s="12" t="str">
        <x:v>SRC-0003</x:v>
      </x:c>
      <x:c r="D391" s="12" t="str">
        <x:v>Links to documentation that are easy to find when accessing products.</x:v>
      </x:c>
      <x:c r="E391" s="12" t="str">
        <x:v>Links to documentation that are easy to find when accessing products.</x:v>
      </x:c>
      <x:c r="F391" s="12" t="str">
        <x:v>Key Takeaway</x:v>
      </x:c>
      <x:c r="G391" s="12" t="str">
        <x:v>LP DAAC User Working Group</x:v>
      </x:c>
      <x:c r="H391" s="12" t="n">
        <x:v>2023</x:v>
      </x:c>
      <x:c r="I391" s="12" t="str">
        <x:v>Earthdata users</x:v>
      </x:c>
      <x:c r="J391" s="12" t="str">
        <x:v>Medium</x:v>
      </x:c>
      <x:c r="K391" s="16" t="n">
        <x:v>0.75</x:v>
      </x:c>
      <x:c r="L391" s="12" t="str">
        <x:v>LSA similarity cluster; human review pending</x:v>
      </x:c>
      <x:c r="M391" s="12" t="str">
        <x:v>Section: 8.4.3 LP DAAC Mid-Year Update Virtual Meeting Key Takeaways</x:v>
      </x:c>
      <x:c r="N391" s="12" t="str"/>
      <x:c r="O391" s="12" t="str">
        <x:v>No</x:v>
      </x:c>
      <x:c r="P391" s="12" t="str">
        <x:v>No</x:v>
      </x:c>
      <x:c r="Q391" s="12"/>
      <x:c r="R391" s="12"/>
    </x:row>
    <x:row r="392">
      <x:c r="A392" s="12" t="str">
        <x:v>EVD-00391</x:v>
      </x:c>
      <x:c r="B392" s="12" t="str">
        <x:v>NEED-0133</x:v>
      </x:c>
      <x:c r="C392" s="12" t="str">
        <x:v>SRC-0003</x:v>
      </x:c>
      <x:c r="D392" s="12" t="str">
        <x:v>The LP DAAC UWG suggests checking out the resources produced by the EnMAP project to look at how those can be used and integrated by EMIT and for future pre-SBG resources.</x:v>
      </x:c>
      <x:c r="E392" s="12" t="str">
        <x:v>The LP DAAC UWG suggests checking out the resources produced by the EnMAP project to look at how those can be used and integrated by EMIT and for future pre-SBG resources.</x:v>
      </x:c>
      <x:c r="F392" s="12" t="str">
        <x:v>Suggestion</x:v>
      </x:c>
      <x:c r="G392" s="12" t="str">
        <x:v>LP DAAC User Working Group</x:v>
      </x:c>
      <x:c r="H392" s="12" t="n">
        <x:v>2023</x:v>
      </x:c>
      <x:c r="I392" s="12" t="str">
        <x:v>Earthdata users</x:v>
      </x:c>
      <x:c r="J392" s="12" t="str">
        <x:v>Medium</x:v>
      </x:c>
      <x:c r="K392" s="16" t="n">
        <x:v>0.75</x:v>
      </x:c>
      <x:c r="L392" s="12" t="str">
        <x:v>LSA similarity cluster; human review pending</x:v>
      </x:c>
      <x:c r="M392" s="12" t="str">
        <x:v>Section: 8.4.3 LP DAAC Mid-Year Update Virtual Meeting Key Takeaways</x:v>
      </x:c>
      <x:c r="N392" s="12" t="str"/>
      <x:c r="O392" s="12" t="str">
        <x:v>No</x:v>
      </x:c>
      <x:c r="P392" s="12" t="str">
        <x:v>No</x:v>
      </x:c>
      <x:c r="Q392" s="12"/>
      <x:c r="R392" s="12"/>
    </x:row>
    <x:row r="393">
      <x:c r="A393" s="12" t="str">
        <x:v>EVD-00392</x:v>
      </x:c>
      <x:c r="B393" s="12" t="str">
        <x:v>NEED-0123</x:v>
      </x:c>
      <x:c r="C393" s="12" t="str">
        <x:v>SRC-0003</x:v>
      </x:c>
      <x:c r="D393" s="12" t="str">
        <x:v>The LP DAAC has three UWG Members who will complete their final year of their second term in 2023, including the UWG co-chair. There are also three UWG members who will need to decide if they want to renew their membership for a second term.</x:v>
      </x:c>
      <x:c r="E393" s="12" t="str">
        <x:v>The LP DAAC has three UWG Members who will complete their final year of their second term in 2023, including the UWG co-chair. There are also three UWG members who will need to decide if they want to renew their membership for a second term.</x:v>
      </x:c>
      <x:c r="F393" s="12" t="str">
        <x:v>Key Takeaway</x:v>
      </x:c>
      <x:c r="G393" s="12" t="str">
        <x:v>LP DAAC User Working Group</x:v>
      </x:c>
      <x:c r="H393" s="12" t="n">
        <x:v>2023</x:v>
      </x:c>
      <x:c r="I393" s="12" t="str">
        <x:v>Earthdata users</x:v>
      </x:c>
      <x:c r="J393" s="12" t="str">
        <x:v>High</x:v>
      </x:c>
      <x:c r="K393" s="16" t="n">
        <x:v>0.75</x:v>
      </x:c>
      <x:c r="L393" s="12" t="str">
        <x:v>LSA similarity cluster; human review pending</x:v>
      </x:c>
      <x:c r="M393" s="12" t="str">
        <x:v>Section: 8.4.3 LP DAAC Mid-Year Update Virtual Meeting Key Takeaways</x:v>
      </x:c>
      <x:c r="N393" s="12" t="str"/>
      <x:c r="O393" s="12" t="str">
        <x:v>No</x:v>
      </x:c>
      <x:c r="P393" s="12" t="str">
        <x:v>No</x:v>
      </x:c>
      <x:c r="Q393" s="12"/>
      <x:c r="R393" s="12"/>
    </x:row>
    <x:row r="394">
      <x:c r="A394" s="12" t="str">
        <x:v>EVD-00393</x:v>
      </x:c>
      <x:c r="B394" s="12" t="str">
        <x:v>NEED-0137</x:v>
      </x:c>
      <x:c r="C394" s="12" t="str">
        <x:v>SRC-0003</x:v>
      </x:c>
      <x:c r="D394" s="12" t="str">
        <x:v>The LP DAAC UWG has identified a need for the LP DAAC to improve their imaging spectroscopy and AI/ML expertise to prepare for current and future missions and activities.</x:v>
      </x:c>
      <x:c r="E394" s="12" t="str">
        <x:v>The LP DAAC UWG has identified a need for the LP DAAC to improve their imaging spectroscopy and AI/ML expertise to prepare for current and future missions and activities.</x:v>
      </x:c>
      <x:c r="F394" s="12" t="str">
        <x:v>Key Takeaway</x:v>
      </x:c>
      <x:c r="G394" s="12" t="str">
        <x:v>LP DAAC User Working Group</x:v>
      </x:c>
      <x:c r="H394" s="12" t="n">
        <x:v>2023</x:v>
      </x:c>
      <x:c r="I394" s="12" t="str">
        <x:v>Data producers and mission teams</x:v>
      </x:c>
      <x:c r="J394" s="12" t="str">
        <x:v>High</x:v>
      </x:c>
      <x:c r="K394" s="16" t="n">
        <x:v>0.75</x:v>
      </x:c>
      <x:c r="L394" s="12" t="str">
        <x:v>LSA similarity cluster; human review pending</x:v>
      </x:c>
      <x:c r="M394" s="12" t="str">
        <x:v>Section: 8.4.3 LP DAAC Mid-Year Update Virtual Meeting Key Takeaways</x:v>
      </x:c>
      <x:c r="N394" s="12" t="str"/>
      <x:c r="O394" s="12" t="str">
        <x:v>No</x:v>
      </x:c>
      <x:c r="P394" s="12" t="str">
        <x:v>No</x:v>
      </x:c>
      <x:c r="Q394" s="12"/>
      <x:c r="R394" s="12"/>
    </x:row>
    <x:row r="395">
      <x:c r="A395" s="12" t="str">
        <x:v>EVD-00394</x:v>
      </x:c>
      <x:c r="B395" s="12" t="str">
        <x:v>NEED-0047</x:v>
      </x:c>
      <x:c r="C395" s="12" t="str">
        <x:v>SRC-0003</x:v>
      </x:c>
      <x:c r="D395" s="12" t="str">
        <x:v>The LP DAAC UWG recommends that the LP DAAC continues to work on resources that promote and demonstrate the use of ECOSTRESS and EMIT synergistic research and applications to help prepare users for SBG.</x:v>
      </x:c>
      <x:c r="E395" s="12" t="str">
        <x:v>The LP DAAC UWG recommends that the LP DAAC continues to work on resources that promote and demonstrate the use of ECOSTRESS and EMIT synergistic research and applications to help prepare users for SBG.</x:v>
      </x:c>
      <x:c r="F395" s="12" t="str">
        <x:v>Recommendation</x:v>
      </x:c>
      <x:c r="G395" s="12" t="str">
        <x:v>LP DAAC User Working Group</x:v>
      </x:c>
      <x:c r="H395" s="12" t="n">
        <x:v>2023</x:v>
      </x:c>
      <x:c r="I395" s="12" t="str">
        <x:v>GIS users; Earth science researchers</x:v>
      </x:c>
      <x:c r="J395" s="12" t="str">
        <x:v>Low</x:v>
      </x:c>
      <x:c r="K395" s="16" t="n">
        <x:v>0.75</x:v>
      </x:c>
      <x:c r="L395" s="12" t="str">
        <x:v>LSA similarity cluster; human review pending</x:v>
      </x:c>
      <x:c r="M395" s="12" t="str">
        <x:v>Section: 8.4.3 LP DAAC Mid-Year Update Virtual Meeting Key Takeaways</x:v>
      </x:c>
      <x:c r="N395" s="12" t="str"/>
      <x:c r="O395" s="12" t="str">
        <x:v>No</x:v>
      </x:c>
      <x:c r="P395" s="12" t="str">
        <x:v>No</x:v>
      </x:c>
      <x:c r="Q395" s="12"/>
      <x:c r="R395" s="12"/>
    </x:row>
    <x:row r="396">
      <x:c r="A396" s="12" t="str">
        <x:v>EVD-00395</x:v>
      </x:c>
      <x:c r="B396" s="12" t="str">
        <x:v>NEED-0010</x:v>
      </x:c>
      <x:c r="C396" s="12" t="str">
        <x:v>SRC-0003</x:v>
      </x:c>
      <x:c r="D396" s="12" t="str">
        <x:v>The LP DAAC UWG recommends continuing to work on enabling user access to cloud computing and capacity building for new users.</x:v>
      </x:c>
      <x:c r="E396" s="12" t="str">
        <x:v>The LP DAAC UWG recommends continuing to work on enabling user access to cloud computing and capacity building for new users.</x:v>
      </x:c>
      <x:c r="F396" s="12" t="str">
        <x:v>Recommendation</x:v>
      </x:c>
      <x:c r="G396" s="12" t="str">
        <x:v>LP DAAC User Working Group</x:v>
      </x:c>
      <x:c r="H396" s="12" t="n">
        <x:v>2023</x:v>
      </x:c>
      <x:c r="I396" s="12" t="str">
        <x:v>Cloud-native researchers; New and occasional users</x:v>
      </x:c>
      <x:c r="J396" s="12" t="str">
        <x:v>Low</x:v>
      </x:c>
      <x:c r="K396" s="16" t="n">
        <x:v>0.75</x:v>
      </x:c>
      <x:c r="L396" s="12" t="str">
        <x:v>LSA similarity cluster; human review pending</x:v>
      </x:c>
      <x:c r="M396" s="12" t="str">
        <x:v>Section: 8.4.3 LP DAAC Mid-Year Update Virtual Meeting Key Takeaways</x:v>
      </x:c>
      <x:c r="N396" s="12" t="str"/>
      <x:c r="O396" s="12" t="str">
        <x:v>No</x:v>
      </x:c>
      <x:c r="P396" s="12" t="str">
        <x:v>No</x:v>
      </x:c>
      <x:c r="Q396" s="12"/>
      <x:c r="R396" s="12"/>
    </x:row>
    <x:row r="397">
      <x:c r="A397" s="12" t="str">
        <x:v>EVD-00396</x:v>
      </x:c>
      <x:c r="B397" s="12" t="str">
        <x:v>NEED-0010</x:v>
      </x:c>
      <x:c r="C397" s="12" t="str">
        <x:v>SRC-0003</x:v>
      </x:c>
      <x:c r="D397" s="12" t="str">
        <x:v>The LP DAAC UWG has identified a need to enable user access to cloud computing and training for new users.</x:v>
      </x:c>
      <x:c r="E397" s="12" t="str">
        <x:v>The LP DAAC UWG has identified a need to enable user access to cloud computing and training for new users.</x:v>
      </x:c>
      <x:c r="F397" s="12" t="str">
        <x:v>Key Takeaway</x:v>
      </x:c>
      <x:c r="G397" s="12" t="str">
        <x:v>LP DAAC User Working Group</x:v>
      </x:c>
      <x:c r="H397" s="12" t="n">
        <x:v>2023</x:v>
      </x:c>
      <x:c r="I397" s="12" t="str">
        <x:v>Cloud-native researchers; Educators and trainers; New and occasional users</x:v>
      </x:c>
      <x:c r="J397" s="12" t="str">
        <x:v>High</x:v>
      </x:c>
      <x:c r="K397" s="16" t="n">
        <x:v>0.75</x:v>
      </x:c>
      <x:c r="L397" s="12" t="str">
        <x:v>LSA similarity cluster; human review pending</x:v>
      </x:c>
      <x:c r="M397" s="12" t="str">
        <x:v>Section: 8.4.3 LP DAAC Mid-Year Update Virtual Meeting Key Takeaways</x:v>
      </x:c>
      <x:c r="N397" s="12" t="str"/>
      <x:c r="O397" s="12" t="str">
        <x:v>No</x:v>
      </x:c>
      <x:c r="P397" s="12" t="str">
        <x:v>No</x:v>
      </x:c>
      <x:c r="Q397" s="12"/>
      <x:c r="R397" s="12"/>
    </x:row>
    <x:row r="398">
      <x:c r="A398" s="12" t="str">
        <x:v>EVD-00397</x:v>
      </x:c>
      <x:c r="B398" s="12" t="str">
        <x:v>NEED-0137</x:v>
      </x:c>
      <x:c r="C398" s="12" t="str">
        <x:v>SRC-0003</x:v>
      </x:c>
      <x:c r="D398" s="12" t="str">
        <x:v>The LP DAAC needs to recruit up to five new UWG members. There is a need to diversify areas of expertise for the LP DAAC UWG (Academia has been identified as being overly represented), including potentially increasing commercial sector perspectives, and continuing participation from federal land management agencies.</x:v>
      </x:c>
      <x:c r="E398" s="12" t="str">
        <x:v>The LP DAAC needs to recruit up to five new UWG members. There is a need to diversify areas of expertise for the LP DAAC UWG (Academia has been identified as being overly represented), including potentially increasing commercial sector perspectives, and continuing participation from federal land management agencies.</x:v>
      </x:c>
      <x:c r="F398" s="12" t="str">
        <x:v>Key Takeaway</x:v>
      </x:c>
      <x:c r="G398" s="12" t="str">
        <x:v>LP DAAC User Working Group</x:v>
      </x:c>
      <x:c r="H398" s="12" t="n">
        <x:v>2023</x:v>
      </x:c>
      <x:c r="I398" s="12" t="str">
        <x:v>Earthdata users</x:v>
      </x:c>
      <x:c r="J398" s="12" t="str">
        <x:v>High</x:v>
      </x:c>
      <x:c r="K398" s="16" t="n">
        <x:v>0.75</x:v>
      </x:c>
      <x:c r="L398" s="12" t="str">
        <x:v>LSA similarity cluster; human review pending</x:v>
      </x:c>
      <x:c r="M398" s="12" t="str">
        <x:v>Section: 8.4.3 LP DAAC Mid-Year Update Virtual Meeting Key Takeaways</x:v>
      </x:c>
      <x:c r="N398" s="12" t="str"/>
      <x:c r="O398" s="12" t="str">
        <x:v>No</x:v>
      </x:c>
      <x:c r="P398" s="12" t="str">
        <x:v>No</x:v>
      </x:c>
      <x:c r="Q398" s="12"/>
      <x:c r="R398" s="12"/>
    </x:row>
    <x:row r="399">
      <x:c r="A399" s="12" t="str">
        <x:v>EVD-00398</x:v>
      </x:c>
      <x:c r="B399" s="12" t="str">
        <x:v>NEED-0033</x:v>
      </x:c>
      <x:c r="C399" s="12" t="str">
        <x:v>SRC-0003</x:v>
      </x:c>
      <x:c r="D399" s="12" t="str">
        <x:v>Get access to the recording and presentation from the 8th SBG Community Workshop and provide to UWG members for additional information on SBG.</x:v>
      </x:c>
      <x:c r="E399" s="12" t="str">
        <x:v>Get access to the recording and presentation from the 8th SBG Community Workshop and provide to UWG members for additional information on SBG.</x:v>
      </x:c>
      <x:c r="F399" s="12" t="str">
        <x:v>Action</x:v>
      </x:c>
      <x:c r="G399" s="12" t="str">
        <x:v>LP DAAC User Working Group</x:v>
      </x:c>
      <x:c r="H399" s="12" t="n">
        <x:v>2023</x:v>
      </x:c>
      <x:c r="I399" s="12" t="str">
        <x:v>Educators and trainers</x:v>
      </x:c>
      <x:c r="J399" s="12" t="str">
        <x:v>High</x:v>
      </x:c>
      <x:c r="K399" s="16" t="n">
        <x:v>0.75</x:v>
      </x:c>
      <x:c r="L399" s="12" t="str">
        <x:v>LSA similarity cluster; human review pending</x:v>
      </x:c>
      <x:c r="M399" s="12" t="str">
        <x:v>Section: 8.4.4 LP DAAC Mid-Year Update Virtual Meeting Action Items</x:v>
      </x:c>
      <x:c r="N399" s="12" t="str"/>
      <x:c r="O399" s="12" t="str">
        <x:v>No</x:v>
      </x:c>
      <x:c r="P399" s="12" t="str">
        <x:v>No</x:v>
      </x:c>
      <x:c r="Q399" s="12"/>
      <x:c r="R399" s="12"/>
    </x:row>
    <x:row r="400">
      <x:c r="A400" s="12" t="str">
        <x:v>EVD-00399</x:v>
      </x:c>
      <x:c r="B400" s="12" t="str">
        <x:v>NEED-0128</x:v>
      </x:c>
      <x:c r="C400" s="12" t="str">
        <x:v>SRC-0003</x:v>
      </x:c>
      <x:c r="D400" s="12" t="str">
        <x:v>Revisit AppEEARS request size limits.</x:v>
      </x:c>
      <x:c r="E400" s="12" t="str">
        <x:v>Revisit AppEEARS request size limits.</x:v>
      </x:c>
      <x:c r="F400" s="12" t="str">
        <x:v>Action</x:v>
      </x:c>
      <x:c r="G400" s="12" t="str">
        <x:v>LP DAAC User Working Group</x:v>
      </x:c>
      <x:c r="H400" s="12" t="n">
        <x:v>2023</x:v>
      </x:c>
      <x:c r="I400" s="12" t="str">
        <x:v>Earthdata users</x:v>
      </x:c>
      <x:c r="J400" s="12" t="str">
        <x:v>High</x:v>
      </x:c>
      <x:c r="K400" s="16" t="n">
        <x:v>0.75</x:v>
      </x:c>
      <x:c r="L400" s="12" t="str">
        <x:v>LSA similarity cluster; human review pending</x:v>
      </x:c>
      <x:c r="M400" s="12" t="str">
        <x:v>Section: 8.4.4 LP DAAC Mid-Year Update Virtual Meeting Action Items</x:v>
      </x:c>
      <x:c r="N400" s="12" t="str"/>
      <x:c r="O400" s="12" t="str">
        <x:v>No</x:v>
      </x:c>
      <x:c r="P400" s="12" t="str">
        <x:v>No</x:v>
      </x:c>
      <x:c r="Q400" s="12"/>
      <x:c r="R400" s="12"/>
    </x:row>
    <x:row r="401">
      <x:c r="A401" s="12" t="str">
        <x:v>EVD-00400</x:v>
      </x:c>
      <x:c r="B401" s="12" t="str">
        <x:v>NEED-0123</x:v>
      </x:c>
      <x:c r="C401" s="12" t="str">
        <x:v>SRC-0003</x:v>
      </x:c>
      <x:c r="D401" s="12" t="str">
        <x:v>Confirm interest in a second term for three UWG members at the end of their 1st term.</x:v>
      </x:c>
      <x:c r="E401" s="12" t="str">
        <x:v>Confirm interest in a second term for three UWG members at the end of their 1st term.</x:v>
      </x:c>
      <x:c r="F401" s="12" t="str">
        <x:v>Action</x:v>
      </x:c>
      <x:c r="G401" s="12" t="str">
        <x:v>LP DAAC User Working Group</x:v>
      </x:c>
      <x:c r="H401" s="12" t="n">
        <x:v>2023</x:v>
      </x:c>
      <x:c r="I401" s="12" t="str">
        <x:v>Earthdata users</x:v>
      </x:c>
      <x:c r="J401" s="12" t="str">
        <x:v>Medium</x:v>
      </x:c>
      <x:c r="K401" s="16" t="n">
        <x:v>0.75</x:v>
      </x:c>
      <x:c r="L401" s="12" t="str">
        <x:v>LSA similarity cluster; human review pending</x:v>
      </x:c>
      <x:c r="M401" s="12" t="str">
        <x:v>Section: 8.4.4 LP DAAC Mid-Year Update Virtual Meeting Action Items</x:v>
      </x:c>
      <x:c r="N401" s="12" t="str"/>
      <x:c r="O401" s="12" t="str">
        <x:v>No</x:v>
      </x:c>
      <x:c r="P401" s="12" t="str">
        <x:v>No</x:v>
      </x:c>
      <x:c r="Q401" s="12"/>
      <x:c r="R401" s="12"/>
    </x:row>
    <x:row r="402">
      <x:c r="A402" s="12" t="str">
        <x:v>EVD-00401</x:v>
      </x:c>
      <x:c r="B402" s="12" t="str">
        <x:v>NEED-0121</x:v>
      </x:c>
      <x:c r="C402" s="12" t="str">
        <x:v>SRC-0003</x:v>
      </x:c>
      <x:c r="D402" s="12" t="str">
        <x:v>Solicit up to five new UWG member candidates.</x:v>
      </x:c>
      <x:c r="E402" s="12" t="str">
        <x:v>Solicit up to five new UWG member candidates.</x:v>
      </x:c>
      <x:c r="F402" s="12" t="str">
        <x:v>Action</x:v>
      </x:c>
      <x:c r="G402" s="12" t="str">
        <x:v>LP DAAC User Working Group</x:v>
      </x:c>
      <x:c r="H402" s="12" t="n">
        <x:v>2023</x:v>
      </x:c>
      <x:c r="I402" s="12" t="str">
        <x:v>Earthdata users</x:v>
      </x:c>
      <x:c r="J402" s="12" t="str">
        <x:v>Medium</x:v>
      </x:c>
      <x:c r="K402" s="16" t="n">
        <x:v>0.75</x:v>
      </x:c>
      <x:c r="L402" s="12" t="str">
        <x:v>LSA similarity cluster; human review pending</x:v>
      </x:c>
      <x:c r="M402" s="12" t="str">
        <x:v>Section: 8.4.4 LP DAAC Mid-Year Update Virtual Meeting Action Items</x:v>
      </x:c>
      <x:c r="N402" s="12" t="str"/>
      <x:c r="O402" s="12" t="str">
        <x:v>No</x:v>
      </x:c>
      <x:c r="P402" s="12" t="str">
        <x:v>No</x:v>
      </x:c>
      <x:c r="Q402" s="12"/>
      <x:c r="R402" s="12"/>
    </x:row>
    <x:row r="403">
      <x:c r="A403" s="12" t="str">
        <x:v>EVD-00402</x:v>
      </x:c>
      <x:c r="B403" s="12" t="str">
        <x:v>NEED-0124</x:v>
      </x:c>
      <x:c r="C403" s="12" t="str">
        <x:v>SRC-0003</x:v>
      </x:c>
      <x:c r="D403" s="12" t="str">
        <x:v>Identify new UWG co-chair for 2024.</x:v>
      </x:c>
      <x:c r="E403" s="12" t="str">
        <x:v>Identify new UWG co-chair for 2024.</x:v>
      </x:c>
      <x:c r="F403" s="12" t="str">
        <x:v>Action</x:v>
      </x:c>
      <x:c r="G403" s="12" t="str">
        <x:v>LP DAAC User Working Group</x:v>
      </x:c>
      <x:c r="H403" s="12" t="n">
        <x:v>2023</x:v>
      </x:c>
      <x:c r="I403" s="12" t="str">
        <x:v>Earthdata users</x:v>
      </x:c>
      <x:c r="J403" s="12" t="str">
        <x:v>Medium</x:v>
      </x:c>
      <x:c r="K403" s="16" t="n">
        <x:v>0.75</x:v>
      </x:c>
      <x:c r="L403" s="12" t="str">
        <x:v>LSA similarity cluster; human review pending</x:v>
      </x:c>
      <x:c r="M403" s="12" t="str">
        <x:v>Section: 8.4.4 LP DAAC Mid-Year Update Virtual Meeting Action Items</x:v>
      </x:c>
      <x:c r="N403" s="12" t="str"/>
      <x:c r="O403" s="12" t="str">
        <x:v>No</x:v>
      </x:c>
      <x:c r="P403" s="12" t="str">
        <x:v>No</x:v>
      </x:c>
      <x:c r="Q403" s="12"/>
      <x:c r="R403" s="12"/>
    </x:row>
    <x:row r="404">
      <x:c r="A404" s="12" t="str">
        <x:v>EVD-00403</x:v>
      </x:c>
      <x:c r="B404" s="12" t="str">
        <x:v>NEED-0124</x:v>
      </x:c>
      <x:c r="C404" s="12" t="str">
        <x:v>SRC-0003</x:v>
      </x:c>
      <x:c r="D404" s="12" t="str">
        <x:v>Co-host Joint in-person UWG Meeting with ORNL DAAC in Fall 2023.</x:v>
      </x:c>
      <x:c r="E404" s="12" t="str">
        <x:v>Co-host Joint in-person UWG Meeting with ORNL DAAC in Fall 2023.</x:v>
      </x:c>
      <x:c r="F404" s="12" t="str">
        <x:v>Action</x:v>
      </x:c>
      <x:c r="G404" s="12" t="str">
        <x:v>LP DAAC User Working Group</x:v>
      </x:c>
      <x:c r="H404" s="12" t="n">
        <x:v>2023</x:v>
      </x:c>
      <x:c r="I404" s="12" t="str">
        <x:v>Earthdata users</x:v>
      </x:c>
      <x:c r="J404" s="12" t="str">
        <x:v>Medium</x:v>
      </x:c>
      <x:c r="K404" s="16" t="n">
        <x:v>0.75</x:v>
      </x:c>
      <x:c r="L404" s="12" t="str">
        <x:v>LSA similarity cluster; human review pending</x:v>
      </x:c>
      <x:c r="M404" s="12" t="str">
        <x:v>Section: 8.4.4 LP DAAC Mid-Year Update Virtual Meeting Action Items</x:v>
      </x:c>
      <x:c r="N404" s="12" t="str"/>
      <x:c r="O404" s="12" t="str">
        <x:v>No</x:v>
      </x:c>
      <x:c r="P404" s="12" t="str">
        <x:v>No</x:v>
      </x:c>
      <x:c r="Q404" s="12"/>
      <x:c r="R404" s="12"/>
    </x:row>
    <x:row r="405">
      <x:c r="A405" s="12" t="str">
        <x:v>EVD-00404</x:v>
      </x:c>
      <x:c r="B405" s="12" t="str">
        <x:v>NEED-0190</x:v>
      </x:c>
      <x:c r="C405" s="12" t="str">
        <x:v>SRC-0003</x:v>
      </x:c>
      <x:c r="D405" s="12" t="str">
        <x:v>Include presentation on Enterprise Tools and Services.</x:v>
      </x:c>
      <x:c r="E405" s="12" t="str">
        <x:v>Include presentation on Enterprise Tools and Services.</x:v>
      </x:c>
      <x:c r="F405" s="12" t="str">
        <x:v>Action</x:v>
      </x:c>
      <x:c r="G405" s="12" t="str">
        <x:v>LP DAAC User Working Group</x:v>
      </x:c>
      <x:c r="H405" s="12" t="n">
        <x:v>2023</x:v>
      </x:c>
      <x:c r="I405" s="12" t="str">
        <x:v>Earthdata users</x:v>
      </x:c>
      <x:c r="J405" s="12" t="str">
        <x:v>Medium</x:v>
      </x:c>
      <x:c r="K405" s="16" t="n">
        <x:v>0.75</x:v>
      </x:c>
      <x:c r="L405" s="12" t="str">
        <x:v>LSA similarity cluster; human review pending</x:v>
      </x:c>
      <x:c r="M405" s="12" t="str">
        <x:v>Section: 8.4.4 LP DAAC Mid-Year Update Virtual Meeting Action Items</x:v>
      </x:c>
      <x:c r="N405" s="12" t="str"/>
      <x:c r="O405" s="12" t="str">
        <x:v>No</x:v>
      </x:c>
      <x:c r="P405" s="12" t="str">
        <x:v>No</x:v>
      </x:c>
      <x:c r="Q405" s="12"/>
      <x:c r="R405" s="12"/>
    </x:row>
    <x:row r="406">
      <x:c r="A406" s="12" t="str">
        <x:v>EVD-00405</x:v>
      </x:c>
      <x:c r="B406" s="12" t="str">
        <x:v>NEED-0137</x:v>
      </x:c>
      <x:c r="C406" s="12" t="str">
        <x:v>SRC-0003</x:v>
      </x:c>
      <x:c r="D406" s="12" t="str">
        <x:v>Identify themes/interests/areas where the UWG is lacking expertise.</x:v>
      </x:c>
      <x:c r="E406" s="12" t="str">
        <x:v>Identify themes/interests/areas where the UWG is lacking expertise.</x:v>
      </x:c>
      <x:c r="F406" s="12" t="str">
        <x:v>Action</x:v>
      </x:c>
      <x:c r="G406" s="12" t="str">
        <x:v>LP DAAC User Working Group</x:v>
      </x:c>
      <x:c r="H406" s="12" t="n">
        <x:v>2023</x:v>
      </x:c>
      <x:c r="I406" s="12" t="str">
        <x:v>Earthdata users</x:v>
      </x:c>
      <x:c r="J406" s="12" t="str">
        <x:v>Medium</x:v>
      </x:c>
      <x:c r="K406" s="16" t="n">
        <x:v>0.75</x:v>
      </x:c>
      <x:c r="L406" s="12" t="str">
        <x:v>LSA similarity cluster; human review pending</x:v>
      </x:c>
      <x:c r="M406" s="12" t="str">
        <x:v>Section: 8.4.4 LP DAAC Mid-Year Update Virtual Meeting Action Items</x:v>
      </x:c>
      <x:c r="N406" s="12" t="str"/>
      <x:c r="O406" s="12" t="str">
        <x:v>No</x:v>
      </x:c>
      <x:c r="P406" s="12" t="str">
        <x:v>No</x:v>
      </x:c>
      <x:c r="Q406" s="12"/>
      <x:c r="R406" s="12"/>
    </x:row>
    <x:row r="407">
      <x:c r="A407" s="12" t="str">
        <x:v>EVD-00406</x:v>
      </x:c>
      <x:c r="B407" s="12" t="str">
        <x:v>NEED-0128</x:v>
      </x:c>
      <x:c r="C407" s="12" t="str">
        <x:v>SRC-0003</x:v>
      </x:c>
      <x:c r="D407" s="12" t="str">
        <x:v>Set up annual one on one virtual (or opportunistically in-person) meetings with each UWG member.</x:v>
      </x:c>
      <x:c r="E407" s="12" t="str">
        <x:v>Set up annual one on one virtual (or opportunistically in-person) meetings with each UWG member.</x:v>
      </x:c>
      <x:c r="F407" s="12" t="str">
        <x:v>Action</x:v>
      </x:c>
      <x:c r="G407" s="12" t="str">
        <x:v>LP DAAC User Working Group</x:v>
      </x:c>
      <x:c r="H407" s="12" t="n">
        <x:v>2023</x:v>
      </x:c>
      <x:c r="I407" s="12" t="str">
        <x:v>Earthdata users</x:v>
      </x:c>
      <x:c r="J407" s="12" t="str">
        <x:v>Medium</x:v>
      </x:c>
      <x:c r="K407" s="16" t="n">
        <x:v>0.75</x:v>
      </x:c>
      <x:c r="L407" s="12" t="str">
        <x:v>LSA similarity cluster; human review pending</x:v>
      </x:c>
      <x:c r="M407" s="12" t="str">
        <x:v>Section: 8.4.4 LP DAAC Mid-Year Update Virtual Meeting Action Items</x:v>
      </x:c>
      <x:c r="N407" s="12" t="str"/>
      <x:c r="O407" s="12" t="str">
        <x:v>No</x:v>
      </x:c>
      <x:c r="P407" s="12" t="str">
        <x:v>No</x:v>
      </x:c>
      <x:c r="Q407" s="12"/>
      <x:c r="R407" s="12"/>
    </x:row>
    <x:row r="408">
      <x:c r="A408" s="12" t="str">
        <x:v>EVD-00407</x:v>
      </x:c>
      <x:c r="B408" s="12" t="str">
        <x:v>NEED-0121</x:v>
      </x:c>
      <x:c r="C408" s="12" t="str">
        <x:v>SRC-0003</x:v>
      </x:c>
      <x:c r="D408" s="12" t="str">
        <x:v>Update the LP DAAC UWG Charter.</x:v>
      </x:c>
      <x:c r="E408" s="12" t="str">
        <x:v>Update the LP DAAC UWG Charter.</x:v>
      </x:c>
      <x:c r="F408" s="12" t="str">
        <x:v>Action</x:v>
      </x:c>
      <x:c r="G408" s="12" t="str">
        <x:v>LP DAAC User Working Group</x:v>
      </x:c>
      <x:c r="H408" s="12" t="n">
        <x:v>2023</x:v>
      </x:c>
      <x:c r="I408" s="12" t="str">
        <x:v>Earthdata users</x:v>
      </x:c>
      <x:c r="J408" s="12" t="str">
        <x:v>Medium</x:v>
      </x:c>
      <x:c r="K408" s="16" t="n">
        <x:v>0.75</x:v>
      </x:c>
      <x:c r="L408" s="12" t="str">
        <x:v>LSA similarity cluster; human review pending</x:v>
      </x:c>
      <x:c r="M408" s="12" t="str">
        <x:v>Section: 8.4.4 LP DAAC Mid-Year Update Virtual Meeting Action Items</x:v>
      </x:c>
      <x:c r="N408" s="12" t="str"/>
      <x:c r="O408" s="12" t="str">
        <x:v>No</x:v>
      </x:c>
      <x:c r="P408" s="12" t="str">
        <x:v>No</x:v>
      </x:c>
      <x:c r="Q408" s="12"/>
      <x:c r="R408" s="12"/>
    </x:row>
    <x:row r="409">
      <x:c r="A409" s="12" t="str">
        <x:v>EVD-00408</x:v>
      </x:c>
      <x:c r="B409" s="12" t="str">
        <x:v>NEED-0026</x:v>
      </x:c>
      <x:c r="C409" s="12" t="str">
        <x:v>SRC-0003</x:v>
      </x:c>
      <x:c r="D409" s="12" t="str">
        <x:v>Submit Accession Proposal to NASA ESDIS/ESDS for approval to support LPJ-PROSAIL Global Simulated Dynamic Surface Reflectance and ASTER Global Surface Mineralogy datasets.</x:v>
      </x:c>
      <x:c r="E409" s="12" t="str">
        <x:v>Submit Accession Proposal to NASA ESDIS/ESDS for approval to support LPJ-PROSAIL Global Simulated Dynamic Surface Reflectance and ASTER Global Surface Mineralogy datasets.</x:v>
      </x:c>
      <x:c r="F409" s="12" t="str">
        <x:v>Action</x:v>
      </x:c>
      <x:c r="G409" s="12" t="str">
        <x:v>LP DAAC User Working Group</x:v>
      </x:c>
      <x:c r="H409" s="12" t="n">
        <x:v>2023</x:v>
      </x:c>
      <x:c r="I409" s="12" t="str">
        <x:v>Earthdata users</x:v>
      </x:c>
      <x:c r="J409" s="12" t="str">
        <x:v>High</x:v>
      </x:c>
      <x:c r="K409" s="16" t="n">
        <x:v>0.75</x:v>
      </x:c>
      <x:c r="L409" s="12" t="str">
        <x:v>LSA similarity cluster; human review pending</x:v>
      </x:c>
      <x:c r="M409" s="12" t="str">
        <x:v>Section: 8.4.4 LP DAAC Mid-Year Update Virtual Meeting Action Items</x:v>
      </x:c>
      <x:c r="N409" s="12" t="str"/>
      <x:c r="O409" s="12" t="str">
        <x:v>No</x:v>
      </x:c>
      <x:c r="P409" s="12" t="str">
        <x:v>No</x:v>
      </x:c>
      <x:c r="Q409" s="12"/>
      <x:c r="R409" s="12"/>
    </x:row>
    <x:row r="410">
      <x:c r="A410" s="12" t="str">
        <x:v>EVD-00409</x:v>
      </x:c>
      <x:c r="B410" s="12" t="str">
        <x:v>NEED-0080</x:v>
      </x:c>
      <x:c r="C410" s="12" t="str">
        <x:v>SRC-0003</x:v>
      </x:c>
      <x:c r="D410" s="12" t="str">
        <x:v>Add EMIT, Landsat, and VIIRS Version 2 products to the AppEEARS Roadmap for discussion on future inclusion into AppEEARS.</x:v>
      </x:c>
      <x:c r="E410" s="12" t="str">
        <x:v>Add EMIT, Landsat, and VIIRS Version 2 products to the AppEEARS Roadmap for discussion on future inclusion into AppEEARS.</x:v>
      </x:c>
      <x:c r="F410" s="12" t="str">
        <x:v>Action</x:v>
      </x:c>
      <x:c r="G410" s="12" t="str">
        <x:v>LP DAAC User Working Group</x:v>
      </x:c>
      <x:c r="H410" s="12" t="n">
        <x:v>2023</x:v>
      </x:c>
      <x:c r="I410" s="12" t="str">
        <x:v>Earthdata users</x:v>
      </x:c>
      <x:c r="J410" s="12" t="str">
        <x:v>Medium</x:v>
      </x:c>
      <x:c r="K410" s="16" t="n">
        <x:v>0.75</x:v>
      </x:c>
      <x:c r="L410" s="12" t="str">
        <x:v>LSA similarity cluster; human review pending</x:v>
      </x:c>
      <x:c r="M410" s="12" t="str">
        <x:v>Section: 8.4.4 LP DAAC Mid-Year Update Virtual Meeting Action Items</x:v>
      </x:c>
      <x:c r="N410" s="12" t="str"/>
      <x:c r="O410" s="12" t="str">
        <x:v>No</x:v>
      </x:c>
      <x:c r="P410" s="12" t="str">
        <x:v>No</x:v>
      </x:c>
      <x:c r="Q410" s="12"/>
      <x:c r="R410" s="12"/>
    </x:row>
    <x:row r="411">
      <x:c r="A411" s="12" t="str">
        <x:v>EVD-00410</x:v>
      </x:c>
      <x:c r="B411" s="12" t="str">
        <x:v>NEED-0133</x:v>
      </x:c>
      <x:c r="C411" s="12" t="str">
        <x:v>SRC-0003</x:v>
      </x:c>
      <x:c r="D411" s="12" t="str">
        <x:v>Review EnMAP project resources, identify uses for EMIT and other future pre-SBG mission resources and report back to UWG.</x:v>
      </x:c>
      <x:c r="E411" s="12" t="str">
        <x:v>Review EnMAP project resources, identify uses for EMIT and other future pre-SBG mission resources and report back to UWG.</x:v>
      </x:c>
      <x:c r="F411" s="12" t="str">
        <x:v>Action</x:v>
      </x:c>
      <x:c r="G411" s="12" t="str">
        <x:v>LP DAAC User Working Group</x:v>
      </x:c>
      <x:c r="H411" s="12" t="n">
        <x:v>2023</x:v>
      </x:c>
      <x:c r="I411" s="12" t="str">
        <x:v>Data producers and mission teams</x:v>
      </x:c>
      <x:c r="J411" s="12" t="str">
        <x:v>Medium</x:v>
      </x:c>
      <x:c r="K411" s="16" t="n">
        <x:v>0.75</x:v>
      </x:c>
      <x:c r="L411" s="12" t="str">
        <x:v>LSA similarity cluster; human review pending</x:v>
      </x:c>
      <x:c r="M411" s="12" t="str">
        <x:v>Section: 8.4.4 LP DAAC Mid-Year Update Virtual Meeting Action Items</x:v>
      </x:c>
      <x:c r="N411" s="12" t="str"/>
      <x:c r="O411" s="12" t="str">
        <x:v>No</x:v>
      </x:c>
      <x:c r="P411" s="12" t="str">
        <x:v>No</x:v>
      </x:c>
      <x:c r="Q411" s="12"/>
      <x:c r="R411" s="12"/>
    </x:row>
    <x:row r="412">
      <x:c r="A412" s="12" t="str">
        <x:v>EVD-00411</x:v>
      </x:c>
      <x:c r="B412" s="12" t="str">
        <x:v>NEED-0197</x:v>
      </x:c>
      <x:c r="C412" s="12" t="str">
        <x:v>SRC-0003</x:v>
      </x:c>
      <x:c r="D412" s="12" t="str">
        <x:v>Co-lead an EMIT-ECOSTRESS Workshop alongside the respective Science Teams</x:v>
      </x:c>
      <x:c r="E412" s="12" t="str">
        <x:v>Co-lead an EMIT-ECOSTRESS Workshop alongside the respective Science Teams</x:v>
      </x:c>
      <x:c r="F412" s="12" t="str">
        <x:v>Action</x:v>
      </x:c>
      <x:c r="G412" s="12" t="str">
        <x:v>LP DAAC User Working Group</x:v>
      </x:c>
      <x:c r="H412" s="12" t="n">
        <x:v>2023</x:v>
      </x:c>
      <x:c r="I412" s="12" t="str">
        <x:v>Educators and trainers</x:v>
      </x:c>
      <x:c r="J412" s="12" t="str">
        <x:v>Medium</x:v>
      </x:c>
      <x:c r="K412" s="16" t="n">
        <x:v>0.75</x:v>
      </x:c>
      <x:c r="L412" s="12" t="str">
        <x:v>LSA similarity cluster; human review pending</x:v>
      </x:c>
      <x:c r="M412" s="12" t="str">
        <x:v>Section: 8.4.4 LP DAAC Mid-Year Update Virtual Meeting Action Items</x:v>
      </x:c>
      <x:c r="N412" s="12" t="str"/>
      <x:c r="O412" s="12" t="str">
        <x:v>No</x:v>
      </x:c>
      <x:c r="P412" s="12" t="str">
        <x:v>No</x:v>
      </x:c>
      <x:c r="Q412" s="12"/>
      <x:c r="R412" s="12"/>
    </x:row>
    <x:row r="413">
      <x:c r="A413" s="12" t="str">
        <x:v>EVD-00412</x:v>
      </x:c>
      <x:c r="B413" s="12" t="str">
        <x:v>NEED-0212</x:v>
      </x:c>
      <x:c r="C413" s="12" t="str">
        <x:v>SRC-0003</x:v>
      </x:c>
      <x:c r="D413" s="12" t="str">
        <x:v>The Strengths-Weaknesses-Opportunities-Threats (SWOT) exercise split into LP DAAC – ORNL DAAC – ESDIS was useful for eliciting feedback from all meeting participants.</x:v>
      </x:c>
      <x:c r="E413" s="12" t="str">
        <x:v>The Strengths-Weaknesses-Opportunities-Threats (SWOT) exercise split into LP DAAC – ORNL DAAC – ESDIS was useful for eliciting feedback from all meeting participants.</x:v>
      </x:c>
      <x:c r="F413" s="12" t="str">
        <x:v>Key Takeaway</x:v>
      </x:c>
      <x:c r="G413" s="12" t="str">
        <x:v>LP DAAC User Working Group</x:v>
      </x:c>
      <x:c r="H413" s="12" t="n">
        <x:v>2023</x:v>
      </x:c>
      <x:c r="I413" s="12" t="str">
        <x:v>Earthdata users</x:v>
      </x:c>
      <x:c r="J413" s="12" t="str">
        <x:v>Medium</x:v>
      </x:c>
      <x:c r="K413" s="16" t="n">
        <x:v>0.75</x:v>
      </x:c>
      <x:c r="L413" s="12" t="str">
        <x:v>LSA similarity cluster; human review pending</x:v>
      </x:c>
      <x:c r="M413" s="12" t="str">
        <x:v>Section: 8.5.2 Joint LP DAAC – ORNL DAAC Annual UWG Meeting Key Takeaways</x:v>
      </x:c>
      <x:c r="N413" s="12" t="str"/>
      <x:c r="O413" s="12" t="str">
        <x:v>No</x:v>
      </x:c>
      <x:c r="P413" s="12" t="str">
        <x:v>No</x:v>
      </x:c>
      <x:c r="Q413" s="12"/>
      <x:c r="R413" s="12"/>
    </x:row>
    <x:row r="414">
      <x:c r="A414" s="12" t="str">
        <x:v>EVD-00413</x:v>
      </x:c>
      <x:c r="B414" s="12" t="str">
        <x:v>NEED-0124</x:v>
      </x:c>
      <x:c r="C414" s="12" t="str">
        <x:v>SRC-0003</x:v>
      </x:c>
      <x:c r="D414" s="12" t="str">
        <x:v>The pre-meeting homework assignments were not completed by participants and thus were not useful.</x:v>
      </x:c>
      <x:c r="E414" s="12" t="str">
        <x:v>The pre-meeting homework assignments were not completed by participants and thus were not useful.</x:v>
      </x:c>
      <x:c r="F414" s="12" t="str">
        <x:v>Key Takeaway</x:v>
      </x:c>
      <x:c r="G414" s="12" t="str">
        <x:v>LP DAAC User Working Group</x:v>
      </x:c>
      <x:c r="H414" s="12" t="n">
        <x:v>2023</x:v>
      </x:c>
      <x:c r="I414" s="12" t="str">
        <x:v>Earthdata users</x:v>
      </x:c>
      <x:c r="J414" s="12" t="str">
        <x:v>Medium</x:v>
      </x:c>
      <x:c r="K414" s="16" t="n">
        <x:v>0.75</x:v>
      </x:c>
      <x:c r="L414" s="12" t="str">
        <x:v>LSA similarity cluster; human review pending</x:v>
      </x:c>
      <x:c r="M414" s="12" t="str">
        <x:v>Section: 8.5.2 Joint LP DAAC – ORNL DAAC Annual UWG Meeting Key Takeaways</x:v>
      </x:c>
      <x:c r="N414" s="12" t="str"/>
      <x:c r="O414" s="12" t="str">
        <x:v>No</x:v>
      </x:c>
      <x:c r="P414" s="12" t="str">
        <x:v>No</x:v>
      </x:c>
      <x:c r="Q414" s="12"/>
      <x:c r="R414" s="12"/>
    </x:row>
    <x:row r="415">
      <x:c r="A415" s="12" t="str">
        <x:v>EVD-00414</x:v>
      </x:c>
      <x:c r="B415" s="12" t="str">
        <x:v>NEED-0212</x:v>
      </x:c>
      <x:c r="C415" s="12" t="str">
        <x:v>SRC-0003</x:v>
      </x:c>
      <x:c r="D415" s="12" t="str">
        <x:v>Allowing meeting participants the venue to pre-record presentations (see Table 4, 10 total presentations) is a useful strategy to support an open and inclusive meeting while also keeping the in-person meeting agenda reasonable in length.</x:v>
      </x:c>
      <x:c r="E415" s="12" t="str">
        <x:v>Allowing meeting participants the venue to pre-record presentations (see Table 4, 10 total presentations) is a useful strategy to support an open and inclusive meeting while also keeping the in-person meeting agenda reasonable in length.</x:v>
      </x:c>
      <x:c r="F415" s="12" t="str">
        <x:v>Key Takeaway</x:v>
      </x:c>
      <x:c r="G415" s="12" t="str">
        <x:v>LP DAAC User Working Group</x:v>
      </x:c>
      <x:c r="H415" s="12" t="n">
        <x:v>2023</x:v>
      </x:c>
      <x:c r="I415" s="12" t="str">
        <x:v>Earthdata users</x:v>
      </x:c>
      <x:c r="J415" s="12" t="str">
        <x:v>High</x:v>
      </x:c>
      <x:c r="K415" s="16" t="n">
        <x:v>0.75</x:v>
      </x:c>
      <x:c r="L415" s="12" t="str">
        <x:v>LSA similarity cluster; human review pending</x:v>
      </x:c>
      <x:c r="M415" s="12" t="str">
        <x:v>Section: 8.5.2 Joint LP DAAC – ORNL DAAC Annual UWG Meeting Key Takeaways</x:v>
      </x:c>
      <x:c r="N415" s="12" t="str"/>
      <x:c r="O415" s="12" t="str">
        <x:v>No</x:v>
      </x:c>
      <x:c r="P415" s="12" t="str">
        <x:v>No</x:v>
      </x:c>
      <x:c r="Q415" s="12"/>
      <x:c r="R415" s="12"/>
    </x:row>
    <x:row r="416">
      <x:c r="A416" s="12" t="str">
        <x:v>EVD-00415</x:v>
      </x:c>
      <x:c r="B416" s="12" t="str">
        <x:v>NEED-0208</x:v>
      </x:c>
      <x:c r="C416" s="12" t="str">
        <x:v>SRC-0003</x:v>
      </x:c>
      <x:c r="D416" s="12" t="str">
        <x:v>Hosting a Joint UWG Meeting with ORNL DAAC was a great opportunity to gain better insights into our user community by doubling the amount of users present, and also surfaced issues users face when dealing with and differentiating between multiple DAACs.</x:v>
      </x:c>
      <x:c r="E416" s="12" t="str">
        <x:v>Hosting a Joint UWG Meeting with ORNL DAAC was a great opportunity to gain better insights into our user community by doubling the amount of users present, and also surfaced issues users face when dealing with and differentiating between multiple DAACs.</x:v>
      </x:c>
      <x:c r="F416" s="12" t="str">
        <x:v>Issue/Concern</x:v>
      </x:c>
      <x:c r="G416" s="12" t="str">
        <x:v>LP DAAC User Working Group</x:v>
      </x:c>
      <x:c r="H416" s="12" t="n">
        <x:v>2023</x:v>
      </x:c>
      <x:c r="I416" s="12" t="str">
        <x:v>Earthdata users</x:v>
      </x:c>
      <x:c r="J416" s="12" t="str">
        <x:v>Medium</x:v>
      </x:c>
      <x:c r="K416" s="16" t="n">
        <x:v>0.75</x:v>
      </x:c>
      <x:c r="L416" s="12" t="str">
        <x:v>LSA similarity cluster; human review pending</x:v>
      </x:c>
      <x:c r="M416" s="12" t="str">
        <x:v>Section: 8.5.2 Joint LP DAAC – ORNL DAAC Annual UWG Meeting Key Takeaways</x:v>
      </x:c>
      <x:c r="N416" s="12" t="str"/>
      <x:c r="O416" s="12" t="str">
        <x:v>No</x:v>
      </x:c>
      <x:c r="P416" s="12" t="str">
        <x:v>No</x:v>
      </x:c>
      <x:c r="Q416" s="12"/>
      <x:c r="R416" s="12"/>
    </x:row>
    <x:row r="417">
      <x:c r="A417" s="12" t="str">
        <x:v>EVD-00416</x:v>
      </x:c>
      <x:c r="B417" s="12" t="str">
        <x:v>NEED-0127</x:v>
      </x:c>
      <x:c r="C417" s="12" t="str">
        <x:v>SRC-0003</x:v>
      </x:c>
      <x:c r="D417" s="12" t="str">
        <x:v>In-person participation for presenters is preferred to alleviate technical difficulties with virtual presenters.</x:v>
      </x:c>
      <x:c r="E417" s="12" t="str">
        <x:v>In-person participation for presenters is preferred to alleviate technical difficulties with virtual presenters.</x:v>
      </x:c>
      <x:c r="F417" s="12" t="str">
        <x:v>Key Takeaway</x:v>
      </x:c>
      <x:c r="G417" s="12" t="str">
        <x:v>LP DAAC User Working Group</x:v>
      </x:c>
      <x:c r="H417" s="12" t="n">
        <x:v>2023</x:v>
      </x:c>
      <x:c r="I417" s="12" t="str">
        <x:v>Earthdata users</x:v>
      </x:c>
      <x:c r="J417" s="12" t="str">
        <x:v>Medium</x:v>
      </x:c>
      <x:c r="K417" s="16" t="n">
        <x:v>0.75</x:v>
      </x:c>
      <x:c r="L417" s="12" t="str">
        <x:v>LSA similarity cluster; human review pending</x:v>
      </x:c>
      <x:c r="M417" s="12" t="str">
        <x:v>Section: 8.5.2 Joint LP DAAC – ORNL DAAC Annual UWG Meeting Key Takeaways</x:v>
      </x:c>
      <x:c r="N417" s="12" t="str"/>
      <x:c r="O417" s="12" t="str">
        <x:v>No</x:v>
      </x:c>
      <x:c r="P417" s="12" t="str">
        <x:v>No</x:v>
      </x:c>
      <x:c r="Q417" s="12"/>
      <x:c r="R417" s="12"/>
    </x:row>
    <x:row r="418">
      <x:c r="A418" s="12" t="str">
        <x:v>EVD-00417</x:v>
      </x:c>
      <x:c r="B418" s="12" t="str">
        <x:v>NEED-0213</x:v>
      </x:c>
      <x:c r="C418" s="12" t="str">
        <x:v>SRC-0003</x:v>
      </x:c>
      <x:c r="D418" s="12" t="str">
        <x:v>The LP DAAC UWG recommended a session at the 2024 Annual UWG Meeting to review and provide feedback on LP DAAC priorities, level of effort (LOE), and provide input.</x:v>
      </x:c>
      <x:c r="E418" s="12" t="str">
        <x:v>The LP DAAC UWG recommended a session at the 2024 Annual UWG Meeting to review and provide feedback on LP DAAC priorities, level of effort (LOE), and provide input.</x:v>
      </x:c>
      <x:c r="F418" s="12" t="str">
        <x:v>Recommendation</x:v>
      </x:c>
      <x:c r="G418" s="12" t="str">
        <x:v>LP DAAC User Working Group</x:v>
      </x:c>
      <x:c r="H418" s="12" t="n">
        <x:v>2023</x:v>
      </x:c>
      <x:c r="I418" s="12" t="str">
        <x:v>Earthdata users</x:v>
      </x:c>
      <x:c r="J418" s="12" t="str">
        <x:v>High</x:v>
      </x:c>
      <x:c r="K418" s="16" t="n">
        <x:v>0.75</x:v>
      </x:c>
      <x:c r="L418" s="12" t="str">
        <x:v>LSA similarity cluster; human review pending</x:v>
      </x:c>
      <x:c r="M418" s="12" t="str">
        <x:v>Section: 8.5.2 Joint LP DAAC – ORNL DAAC Annual UWG Meeting Key Takeaways</x:v>
      </x:c>
      <x:c r="N418" s="12" t="str"/>
      <x:c r="O418" s="12" t="str">
        <x:v>No</x:v>
      </x:c>
      <x:c r="P418" s="12" t="str">
        <x:v>No</x:v>
      </x:c>
      <x:c r="Q418" s="12"/>
      <x:c r="R418" s="12"/>
    </x:row>
    <x:row r="419">
      <x:c r="A419" s="12" t="str">
        <x:v>EVD-00418</x:v>
      </x:c>
      <x:c r="B419" s="12" t="str">
        <x:v>NEED-0112</x:v>
      </x:c>
      <x:c r="C419" s="12" t="str">
        <x:v>SRC-0003</x:v>
      </x:c>
      <x:c r="D419" s="12" t="str">
        <x:v>The LP DAAC should resume the standard virtual mid-year update (winter) and in-person Annual UWG Meeting (summer) cadence in 2024.</x:v>
      </x:c>
      <x:c r="E419" s="12" t="str">
        <x:v>The LP DAAC should resume the standard virtual mid-year update (winter) and in-person Annual UWG Meeting (summer) cadence in 2024.</x:v>
      </x:c>
      <x:c r="F419" s="12" t="str">
        <x:v>Key Takeaway</x:v>
      </x:c>
      <x:c r="G419" s="12" t="str">
        <x:v>LP DAAC User Working Group</x:v>
      </x:c>
      <x:c r="H419" s="12" t="n">
        <x:v>2023</x:v>
      </x:c>
      <x:c r="I419" s="12" t="str">
        <x:v>Earthdata users</x:v>
      </x:c>
      <x:c r="J419" s="12" t="str">
        <x:v>High</x:v>
      </x:c>
      <x:c r="K419" s="16" t="n">
        <x:v>0.55</x:v>
      </x:c>
      <x:c r="L419" s="12" t="str">
        <x:v>LSA similarity cluster; human review pending</x:v>
      </x:c>
      <x:c r="M419" s="12" t="str">
        <x:v>Section: 8.5.2 Joint LP DAAC – ORNL DAAC Annual UWG Meeting Key Takeaways</x:v>
      </x:c>
      <x:c r="N419" s="12" t="str"/>
      <x:c r="O419" s="12" t="str">
        <x:v>No</x:v>
      </x:c>
      <x:c r="P419" s="12" t="str">
        <x:v>No</x:v>
      </x:c>
      <x:c r="Q419" s="12"/>
      <x:c r="R419" s="12"/>
    </x:row>
    <x:row r="420">
      <x:c r="A420" s="12" t="str">
        <x:v>EVD-00419</x:v>
      </x:c>
      <x:c r="B420" s="12" t="str">
        <x:v>NEED-0137</x:v>
      </x:c>
      <x:c r="C420" s="12" t="str">
        <x:v>SRC-0003</x:v>
      </x:c>
      <x:c r="D420" s="12" t="str">
        <x:v>The LP DAAC needs to identify gaps in current UWG representation and recruit diverse candidates including but not limited to:</x:v>
      </x:c>
      <x:c r="E420" s="12" t="str">
        <x:v>The LP DAAC needs to identify gaps in current UWG representation and recruit diverse candidates including but not limited to:</x:v>
      </x:c>
      <x:c r="F420" s="12" t="str">
        <x:v>Key Takeaway</x:v>
      </x:c>
      <x:c r="G420" s="12" t="str">
        <x:v>LP DAAC User Working Group</x:v>
      </x:c>
      <x:c r="H420" s="12" t="n">
        <x:v>2023</x:v>
      </x:c>
      <x:c r="I420" s="12" t="str">
        <x:v>Earthdata users</x:v>
      </x:c>
      <x:c r="J420" s="12" t="str">
        <x:v>Medium</x:v>
      </x:c>
      <x:c r="K420" s="16" t="n">
        <x:v>0.75</x:v>
      </x:c>
      <x:c r="L420" s="12" t="str">
        <x:v>LSA similarity cluster; human review pending</x:v>
      </x:c>
      <x:c r="M420" s="12" t="str">
        <x:v>Section: 8.5.2 Joint LP DAAC – ORNL DAAC Annual UWG Meeting Key Takeaways</x:v>
      </x:c>
      <x:c r="N420" s="12" t="str"/>
      <x:c r="O420" s="12" t="str">
        <x:v>No</x:v>
      </x:c>
      <x:c r="P420" s="12" t="str">
        <x:v>No</x:v>
      </x:c>
      <x:c r="Q420" s="12"/>
      <x:c r="R420" s="12"/>
    </x:row>
    <x:row r="421">
      <x:c r="A421" s="12" t="str">
        <x:v>EVD-00420</x:v>
      </x:c>
      <x:c r="B421" s="12" t="str">
        <x:v>NEED-0047</x:v>
      </x:c>
      <x:c r="C421" s="12" t="str">
        <x:v>SRC-0003</x:v>
      </x:c>
      <x:c r="D421" s="12" t="str">
        <x:v>Representatives from research, applications, technology, and data.</x:v>
      </x:c>
      <x:c r="E421" s="12" t="str">
        <x:v>Representatives from research, applications, technology, and data.</x:v>
      </x:c>
      <x:c r="F421" s="12" t="str">
        <x:v>Key Takeaway</x:v>
      </x:c>
      <x:c r="G421" s="12" t="str">
        <x:v>LP DAAC User Working Group</x:v>
      </x:c>
      <x:c r="H421" s="12" t="n">
        <x:v>2023</x:v>
      </x:c>
      <x:c r="I421" s="12" t="str">
        <x:v>Earth science researchers</x:v>
      </x:c>
      <x:c r="J421" s="12" t="str">
        <x:v>Medium</x:v>
      </x:c>
      <x:c r="K421" s="16" t="n">
        <x:v>0.75</x:v>
      </x:c>
      <x:c r="L421" s="12" t="str">
        <x:v>LSA similarity cluster; human review pending</x:v>
      </x:c>
      <x:c r="M421" s="12" t="str">
        <x:v>Section: 8.5.2 Joint LP DAAC – ORNL DAAC Annual UWG Meeting Key Takeaways</x:v>
      </x:c>
      <x:c r="N421" s="12" t="str"/>
      <x:c r="O421" s="12" t="str">
        <x:v>No</x:v>
      </x:c>
      <x:c r="P421" s="12" t="str">
        <x:v>No</x:v>
      </x:c>
      <x:c r="Q421" s="12"/>
      <x:c r="R421" s="12"/>
    </x:row>
    <x:row r="422">
      <x:c r="A422" s="12" t="str">
        <x:v>EVD-00421</x:v>
      </x:c>
      <x:c r="B422" s="12" t="str">
        <x:v>NEED-0141</x:v>
      </x:c>
      <x:c r="C422" s="12" t="str">
        <x:v>SRC-0003</x:v>
      </x:c>
      <x:c r="D422" s="12" t="str">
        <x:v>Representatives from federal agencies, private industry, and non-profits.</x:v>
      </x:c>
      <x:c r="E422" s="12" t="str">
        <x:v>Representatives from federal agencies, private industry, and non-profits.</x:v>
      </x:c>
      <x:c r="F422" s="12" t="str">
        <x:v>Key Takeaway</x:v>
      </x:c>
      <x:c r="G422" s="12" t="str">
        <x:v>LP DAAC User Working Group</x:v>
      </x:c>
      <x:c r="H422" s="12" t="n">
        <x:v>2023</x:v>
      </x:c>
      <x:c r="I422" s="12" t="str">
        <x:v>Earthdata users</x:v>
      </x:c>
      <x:c r="J422" s="12" t="str">
        <x:v>Medium</x:v>
      </x:c>
      <x:c r="K422" s="16" t="n">
        <x:v>0.75</x:v>
      </x:c>
      <x:c r="L422" s="12" t="str">
        <x:v>LSA similarity cluster; human review pending</x:v>
      </x:c>
      <x:c r="M422" s="12" t="str">
        <x:v>Section: 8.5.2 Joint LP DAAC – ORNL DAAC Annual UWG Meeting Key Takeaways</x:v>
      </x:c>
      <x:c r="N422" s="12" t="str"/>
      <x:c r="O422" s="12" t="str">
        <x:v>No</x:v>
      </x:c>
      <x:c r="P422" s="12" t="str">
        <x:v>No</x:v>
      </x:c>
      <x:c r="Q422" s="12"/>
      <x:c r="R422" s="12"/>
    </x:row>
    <x:row r="423">
      <x:c r="A423" s="12" t="str">
        <x:v>EVD-00422</x:v>
      </x:c>
      <x:c r="B423" s="12" t="str">
        <x:v>NEED-0095</x:v>
      </x:c>
      <x:c r="C423" s="12" t="str">
        <x:v>SRC-0003</x:v>
      </x:c>
      <x:c r="D423" s="12" t="str">
        <x:v>Representatives from underserved and underrepresented communities.</x:v>
      </x:c>
      <x:c r="E423" s="12" t="str">
        <x:v>Representatives from underserved and underrepresented communities.</x:v>
      </x:c>
      <x:c r="F423" s="12" t="str">
        <x:v>Key Takeaway</x:v>
      </x:c>
      <x:c r="G423" s="12" t="str">
        <x:v>LP DAAC User Working Group</x:v>
      </x:c>
      <x:c r="H423" s="12" t="n">
        <x:v>2023</x:v>
      </x:c>
      <x:c r="I423" s="12" t="str">
        <x:v>Indigenous and underrepresented communities</x:v>
      </x:c>
      <x:c r="J423" s="12" t="str">
        <x:v>Medium</x:v>
      </x:c>
      <x:c r="K423" s="16" t="n">
        <x:v>0.75</x:v>
      </x:c>
      <x:c r="L423" s="12" t="str">
        <x:v>LSA similarity cluster; human review pending</x:v>
      </x:c>
      <x:c r="M423" s="12" t="str">
        <x:v>Section: 8.5.2 Joint LP DAAC – ORNL DAAC Annual UWG Meeting Key Takeaways</x:v>
      </x:c>
      <x:c r="N423" s="12" t="str"/>
      <x:c r="O423" s="12" t="str">
        <x:v>No</x:v>
      </x:c>
      <x:c r="P423" s="12" t="str">
        <x:v>No</x:v>
      </x:c>
      <x:c r="Q423" s="12"/>
      <x:c r="R423" s="12"/>
    </x:row>
    <x:row r="424">
      <x:c r="A424" s="12" t="str">
        <x:v>EVD-00423</x:v>
      </x:c>
      <x:c r="B424" s="12" t="str">
        <x:v>NEED-0119</x:v>
      </x:c>
      <x:c r="C424" s="12" t="str">
        <x:v>SRC-0003</x:v>
      </x:c>
      <x:c r="D424" s="12" t="str">
        <x:v>Representatives with varying levels of remote sensing expertise and career stages.</x:v>
      </x:c>
      <x:c r="E424" s="12" t="str">
        <x:v>Representatives with varying levels of remote sensing expertise and career stages.</x:v>
      </x:c>
      <x:c r="F424" s="12" t="str">
        <x:v>Key Takeaway</x:v>
      </x:c>
      <x:c r="G424" s="12" t="str">
        <x:v>LP DAAC User Working Group</x:v>
      </x:c>
      <x:c r="H424" s="12" t="n">
        <x:v>2023</x:v>
      </x:c>
      <x:c r="I424" s="12" t="str">
        <x:v>Earthdata users</x:v>
      </x:c>
      <x:c r="J424" s="12" t="str">
        <x:v>Medium</x:v>
      </x:c>
      <x:c r="K424" s="16" t="n">
        <x:v>0.75</x:v>
      </x:c>
      <x:c r="L424" s="12" t="str">
        <x:v>LSA similarity cluster; human review pending</x:v>
      </x:c>
      <x:c r="M424" s="12" t="str">
        <x:v>Section: 8.5.2 Joint LP DAAC – ORNL DAAC Annual UWG Meeting Key Takeaways</x:v>
      </x:c>
      <x:c r="N424" s="12" t="str"/>
      <x:c r="O424" s="12" t="str">
        <x:v>No</x:v>
      </x:c>
      <x:c r="P424" s="12" t="str">
        <x:v>No</x:v>
      </x:c>
      <x:c r="Q424" s="12"/>
      <x:c r="R424" s="12"/>
    </x:row>
    <x:row r="425">
      <x:c r="A425" s="12" t="str">
        <x:v>EVD-00424</x:v>
      </x:c>
      <x:c r="B425" s="12" t="str">
        <x:v>NEED-0012</x:v>
      </x:c>
      <x:c r="C425" s="12" t="str">
        <x:v>SRC-0003</x:v>
      </x:c>
      <x:c r="D425" s="12" t="str">
        <x:v>The LP DAAC is a trusted, definitive archive of NASA land remote sensing products. This is our core mission and data curation and stewardship need to continue to be our first priority as an archive. This is as important as ever as DAACs are managing mixed on-prem and cloud archives.</x:v>
      </x:c>
      <x:c r="E425" s="12" t="str">
        <x:v>The LP DAAC is a trusted, definitive archive of NASA land remote sensing products. This is our core mission and data curation and stewardship need to continue to be our first priority as an archive. This is as important as ever as DAACs are managing mixed on-prem and cloud archives.</x:v>
      </x:c>
      <x:c r="F425" s="12" t="str">
        <x:v>Key Takeaway</x:v>
      </x:c>
      <x:c r="G425" s="12" t="str">
        <x:v>LP DAAC User Working Group</x:v>
      </x:c>
      <x:c r="H425" s="12" t="n">
        <x:v>2023</x:v>
      </x:c>
      <x:c r="I425" s="12" t="str">
        <x:v>Cloud-native researchers; Data producers and mission teams</x:v>
      </x:c>
      <x:c r="J425" s="12" t="str">
        <x:v>High</x:v>
      </x:c>
      <x:c r="K425" s="16" t="n">
        <x:v>0.75</x:v>
      </x:c>
      <x:c r="L425" s="12" t="str">
        <x:v>LSA similarity cluster; human review pending</x:v>
      </x:c>
      <x:c r="M425" s="12" t="str">
        <x:v>Section: 8.5.2 Joint LP DAAC – ORNL DAAC Annual UWG Meeting Key Takeaways</x:v>
      </x:c>
      <x:c r="N425" s="12" t="str"/>
      <x:c r="O425" s="12" t="str">
        <x:v>No</x:v>
      </x:c>
      <x:c r="P425" s="12" t="str">
        <x:v>No</x:v>
      </x:c>
      <x:c r="Q425" s="12"/>
      <x:c r="R425" s="12"/>
    </x:row>
    <x:row r="426">
      <x:c r="A426" s="12" t="str">
        <x:v>EVD-00425</x:v>
      </x:c>
      <x:c r="B426" s="12" t="str">
        <x:v>NEED-0103</x:v>
      </x:c>
      <x:c r="C426" s="12" t="str">
        <x:v>SRC-0003</x:v>
      </x:c>
      <x:c r="D426" s="12" t="str">
        <x:v>Working with ORNL DAAC and across EOSDIS DAACs, there is a need to identify solutions for standard practices for sharing data that are experimental, preliminary, or not intended for scientific use and to ensure that label is evident wherever those data are made available.</x:v>
      </x:c>
      <x:c r="E426" s="12" t="str">
        <x:v>Working with ORNL DAAC and across EOSDIS DAACs, there is a need to identify solutions for standard practices for sharing data that are experimental, preliminary, or not intended for scientific use and to ensure that label is evident wherever those data are made available.</x:v>
      </x:c>
      <x:c r="F426" s="12" t="str">
        <x:v>Key Takeaway</x:v>
      </x:c>
      <x:c r="G426" s="12" t="str">
        <x:v>LP DAAC User Working Group</x:v>
      </x:c>
      <x:c r="H426" s="12" t="n">
        <x:v>2023</x:v>
      </x:c>
      <x:c r="I426" s="12" t="str">
        <x:v>Earthdata users</x:v>
      </x:c>
      <x:c r="J426" s="12" t="str">
        <x:v>High</x:v>
      </x:c>
      <x:c r="K426" s="16" t="n">
        <x:v>0.75</x:v>
      </x:c>
      <x:c r="L426" s="12" t="str">
        <x:v>LSA similarity cluster; human review pending</x:v>
      </x:c>
      <x:c r="M426" s="12" t="str">
        <x:v>Section: 8.5.2 Joint LP DAAC – ORNL DAAC Annual UWG Meeting Key Takeaways</x:v>
      </x:c>
      <x:c r="N426" s="12" t="str"/>
      <x:c r="O426" s="12" t="str">
        <x:v>No</x:v>
      </x:c>
      <x:c r="P426" s="12" t="str">
        <x:v>No</x:v>
      </x:c>
      <x:c r="Q426" s="12"/>
      <x:c r="R426" s="12"/>
    </x:row>
    <x:row r="427">
      <x:c r="A427" s="12" t="str">
        <x:v>EVD-00426</x:v>
      </x:c>
      <x:c r="B427" s="12" t="str">
        <x:v>NEED-0070</x:v>
      </x:c>
      <x:c r="C427" s="12" t="str">
        <x:v>SRC-0003</x:v>
      </x:c>
      <x:c r="D427" s="12" t="str">
        <x:v>There is a need to identify better strategies for versioning within products as it relates to promoting the discoverability and use of the most recent version of products wherever those products are made available.</x:v>
      </x:c>
      <x:c r="E427" s="12" t="str">
        <x:v>There is a need to identify better strategies for versioning within products as it relates to promoting the discoverability and use of the most recent version of products wherever those products are made available.</x:v>
      </x:c>
      <x:c r="F427" s="12" t="str">
        <x:v>Key Takeaway</x:v>
      </x:c>
      <x:c r="G427" s="12" t="str">
        <x:v>LP DAAC User Working Group</x:v>
      </x:c>
      <x:c r="H427" s="12" t="n">
        <x:v>2023</x:v>
      </x:c>
      <x:c r="I427" s="12" t="str">
        <x:v>Earthdata users</x:v>
      </x:c>
      <x:c r="J427" s="12" t="str">
        <x:v>High</x:v>
      </x:c>
      <x:c r="K427" s="16" t="n">
        <x:v>0.75</x:v>
      </x:c>
      <x:c r="L427" s="12" t="str">
        <x:v>LSA similarity cluster; human review pending</x:v>
      </x:c>
      <x:c r="M427" s="12" t="str">
        <x:v>Section: 8.5.2 Joint LP DAAC – ORNL DAAC Annual UWG Meeting Key Takeaways</x:v>
      </x:c>
      <x:c r="N427" s="12" t="str"/>
      <x:c r="O427" s="12" t="str">
        <x:v>No</x:v>
      </x:c>
      <x:c r="P427" s="12" t="str">
        <x:v>No</x:v>
      </x:c>
      <x:c r="Q427" s="12"/>
      <x:c r="R427" s="12"/>
    </x:row>
    <x:row r="428">
      <x:c r="A428" s="12" t="str">
        <x:v>EVD-00427</x:v>
      </x:c>
      <x:c r="B428" s="12" t="str">
        <x:v>NEED-0002</x:v>
      </x:c>
      <x:c r="C428" s="12" t="str">
        <x:v>SRC-0003</x:v>
      </x:c>
      <x:c r="D428" s="12" t="str">
        <x:v>There is a desire by the user community (and the DAACs) for all NASA Earthdata to reside inside a single, unified Earthdata Cloud “data lake” and to remove the need for separate cloud instances (ex: LPCLOUD, ORNLCLOUD, POCLOUD, etc.)</x:v>
      </x:c>
      <x:c r="E428" s="12" t="str">
        <x:v>There is a desire by the user community (and the DAACs) for all NASA Earthdata to reside inside a single, unified Earthdata Cloud “data lake” and to remove the need for separate cloud instances (ex: LPCLOUD, ORNLCLOUD, POCLOUD, etc.)</x:v>
      </x:c>
      <x:c r="F428" s="12" t="str">
        <x:v>Key Takeaway</x:v>
      </x:c>
      <x:c r="G428" s="12" t="str">
        <x:v>LP DAAC User Working Group</x:v>
      </x:c>
      <x:c r="H428" s="12" t="n">
        <x:v>2023</x:v>
      </x:c>
      <x:c r="I428" s="12" t="str">
        <x:v>Cloud-native researchers</x:v>
      </x:c>
      <x:c r="J428" s="12" t="str">
        <x:v>High</x:v>
      </x:c>
      <x:c r="K428" s="16" t="n">
        <x:v>0.75</x:v>
      </x:c>
      <x:c r="L428" s="12" t="str">
        <x:v>LSA similarity cluster; human review pending</x:v>
      </x:c>
      <x:c r="M428" s="12" t="str">
        <x:v>Section: 8.5.2 Joint LP DAAC – ORNL DAAC Annual UWG Meeting Key Takeaways</x:v>
      </x:c>
      <x:c r="N428" s="12" t="str"/>
      <x:c r="O428" s="12" t="str">
        <x:v>No</x:v>
      </x:c>
      <x:c r="P428" s="12" t="str">
        <x:v>No</x:v>
      </x:c>
      <x:c r="Q428" s="12"/>
      <x:c r="R428" s="12"/>
    </x:row>
    <x:row r="429">
      <x:c r="A429" s="12" t="str">
        <x:v>EVD-00428</x:v>
      </x:c>
      <x:c r="B429" s="12" t="str">
        <x:v>NEED-0049</x:v>
      </x:c>
      <x:c r="C429" s="12" t="str">
        <x:v>SRC-0003</x:v>
      </x:c>
      <x:c r="D429" s="12" t="str">
        <x:v>There is a desire by the user community for all NASA Earthdata to conform to common data formats and provide common metadata no matter which DAAC is the official archive.</x:v>
      </x:c>
      <x:c r="E429" s="12" t="str">
        <x:v>There is a desire by the user community for all NASA Earthdata to conform to common data formats and provide common metadata no matter which DAAC is the official archive.</x:v>
      </x:c>
      <x:c r="F429" s="12" t="str">
        <x:v>Key Takeaway</x:v>
      </x:c>
      <x:c r="G429" s="12" t="str">
        <x:v>LP DAAC User Working Group</x:v>
      </x:c>
      <x:c r="H429" s="12" t="n">
        <x:v>2023</x:v>
      </x:c>
      <x:c r="I429" s="12" t="str">
        <x:v>Data producers and mission teams</x:v>
      </x:c>
      <x:c r="J429" s="12" t="str">
        <x:v>High</x:v>
      </x:c>
      <x:c r="K429" s="16" t="n">
        <x:v>0.75</x:v>
      </x:c>
      <x:c r="L429" s="12" t="str">
        <x:v>LSA similarity cluster; human review pending</x:v>
      </x:c>
      <x:c r="M429" s="12" t="str">
        <x:v>Section: 8.5.2 Joint LP DAAC – ORNL DAAC Annual UWG Meeting Key Takeaways</x:v>
      </x:c>
      <x:c r="N429" s="12" t="str"/>
      <x:c r="O429" s="12" t="str">
        <x:v>No</x:v>
      </x:c>
      <x:c r="P429" s="12" t="str">
        <x:v>No</x:v>
      </x:c>
      <x:c r="Q429" s="12"/>
      <x:c r="R429" s="12"/>
    </x:row>
    <x:row r="430">
      <x:c r="A430" s="12" t="str">
        <x:v>EVD-00429</x:v>
      </x:c>
      <x:c r="B430" s="12" t="str">
        <x:v>NEED-0071</x:v>
      </x:c>
      <x:c r="C430" s="12" t="str">
        <x:v>SRC-0003</x:v>
      </x:c>
      <x:c r="D430" s="12" t="str">
        <x:v>There is a need to continue to promote dataset citation across our user communities.</x:v>
      </x:c>
      <x:c r="E430" s="12" t="str">
        <x:v>There is a need to continue to promote dataset citation across our user communities.</x:v>
      </x:c>
      <x:c r="F430" s="12" t="str">
        <x:v>Key Takeaway</x:v>
      </x:c>
      <x:c r="G430" s="12" t="str">
        <x:v>LP DAAC User Working Group</x:v>
      </x:c>
      <x:c r="H430" s="12" t="n">
        <x:v>2023</x:v>
      </x:c>
      <x:c r="I430" s="12" t="str">
        <x:v>Earthdata users</x:v>
      </x:c>
      <x:c r="J430" s="12" t="str">
        <x:v>High</x:v>
      </x:c>
      <x:c r="K430" s="16" t="n">
        <x:v>0.75</x:v>
      </x:c>
      <x:c r="L430" s="12" t="str">
        <x:v>LSA similarity cluster; human review pending</x:v>
      </x:c>
      <x:c r="M430" s="12" t="str">
        <x:v>Section: 8.5.2 Joint LP DAAC – ORNL DAAC Annual UWG Meeting Key Takeaways</x:v>
      </x:c>
      <x:c r="N430" s="12" t="str"/>
      <x:c r="O430" s="12" t="str">
        <x:v>No</x:v>
      </x:c>
      <x:c r="P430" s="12" t="str">
        <x:v>No</x:v>
      </x:c>
      <x:c r="Q430" s="12"/>
      <x:c r="R430" s="12"/>
    </x:row>
    <x:row r="431">
      <x:c r="A431" s="12" t="str">
        <x:v>EVD-00430</x:v>
      </x:c>
      <x:c r="B431" s="12" t="str">
        <x:v>NEED-0026</x:v>
      </x:c>
      <x:c r="C431" s="12" t="str">
        <x:v>SRC-0003</x:v>
      </x:c>
      <x:c r="D431" s="12" t="str">
        <x:v>LP DAAC UWG Members were inconclusive in providing a recommendation on whether the LP DAAC should support the LPJ-R2O Simulated Global Greenhouse Gas Emissions Products or not, but do agree that the data should be supported by NASA EOSDIS, and so the LP DAAC will move forward with the Accession process so the right DAAC can be identified.</x:v>
      </x:c>
      <x:c r="E431" s="12" t="str">
        <x:v>LP DAAC UWG Members were inconclusive in providing a recommendation on whether the LP DAAC should support the LPJ-R2O Simulated Global Greenhouse Gas Emissions Products or not, but do agree that the data should be supported by NASA EOSDIS, and so the LP DAAC will move forward with the Accession process so the right DAAC can be identified.</x:v>
      </x:c>
      <x:c r="F431" s="12" t="str">
        <x:v>Recommendation</x:v>
      </x:c>
      <x:c r="G431" s="12" t="str">
        <x:v>LP DAAC User Working Group</x:v>
      </x:c>
      <x:c r="H431" s="12" t="n">
        <x:v>2023</x:v>
      </x:c>
      <x:c r="I431" s="12" t="str">
        <x:v>Data producers and mission teams</x:v>
      </x:c>
      <x:c r="J431" s="12" t="str">
        <x:v>High</x:v>
      </x:c>
      <x:c r="K431" s="16" t="n">
        <x:v>0.75</x:v>
      </x:c>
      <x:c r="L431" s="12" t="str">
        <x:v>LSA similarity cluster; human review pending</x:v>
      </x:c>
      <x:c r="M431" s="12" t="str">
        <x:v>Section: 8.5.2 Joint LP DAAC – ORNL DAAC Annual UWG Meeting Key Takeaways</x:v>
      </x:c>
      <x:c r="N431" s="12" t="str"/>
      <x:c r="O431" s="12" t="str">
        <x:v>No</x:v>
      </x:c>
      <x:c r="P431" s="12" t="str">
        <x:v>No</x:v>
      </x:c>
      <x:c r="Q431" s="12"/>
      <x:c r="R431" s="12"/>
    </x:row>
    <x:row r="432">
      <x:c r="A432" s="12" t="str">
        <x:v>EVD-00431</x:v>
      </x:c>
      <x:c r="B432" s="12" t="str">
        <x:v>NEED-0081</x:v>
      </x:c>
      <x:c r="C432" s="12" t="str">
        <x:v>SRC-0003</x:v>
      </x:c>
      <x:c r="D432" s="12" t="str">
        <x:v>The LP DAAC should integrate with Earthdata Pub and use that avenue for all future community-offered product submissions.</x:v>
      </x:c>
      <x:c r="E432" s="12" t="str">
        <x:v>The LP DAAC should integrate with Earthdata Pub and use that avenue for all future community-offered product submissions.</x:v>
      </x:c>
      <x:c r="F432" s="12" t="str">
        <x:v>Key Takeaway</x:v>
      </x:c>
      <x:c r="G432" s="12" t="str">
        <x:v>LP DAAC User Working Group</x:v>
      </x:c>
      <x:c r="H432" s="12" t="n">
        <x:v>2023</x:v>
      </x:c>
      <x:c r="I432" s="12" t="str">
        <x:v>Data producers and mission teams</x:v>
      </x:c>
      <x:c r="J432" s="12" t="str">
        <x:v>High</x:v>
      </x:c>
      <x:c r="K432" s="16" t="n">
        <x:v>0.75</x:v>
      </x:c>
      <x:c r="L432" s="12" t="str">
        <x:v>LSA similarity cluster; human review pending</x:v>
      </x:c>
      <x:c r="M432" s="12" t="str">
        <x:v>Section: 8.5.2 Joint LP DAAC – ORNL DAAC Annual UWG Meeting Key Takeaways</x:v>
      </x:c>
      <x:c r="N432" s="12" t="str"/>
      <x:c r="O432" s="12" t="str">
        <x:v>No</x:v>
      </x:c>
      <x:c r="P432" s="12" t="str">
        <x:v>No</x:v>
      </x:c>
      <x:c r="Q432" s="12"/>
      <x:c r="R432" s="12"/>
    </x:row>
    <x:row r="433">
      <x:c r="A433" s="12" t="str">
        <x:v>EVD-00432</x:v>
      </x:c>
      <x:c r="B433" s="12" t="str">
        <x:v>NEED-0026</x:v>
      </x:c>
      <x:c r="C433" s="12" t="str">
        <x:v>SRC-0003</x:v>
      </x:c>
      <x:c r="D433" s="12" t="str">
        <x:v>The UWG (and DAACs) have identified a need for information and transparency in the community offered product submission (Accession) process.</x:v>
      </x:c>
      <x:c r="E433" s="12" t="str">
        <x:v>The UWG (and DAACs) have identified a need for information and transparency in the community offered product submission (Accession) process.</x:v>
      </x:c>
      <x:c r="F433" s="12" t="str">
        <x:v>Key Takeaway</x:v>
      </x:c>
      <x:c r="G433" s="12" t="str">
        <x:v>LP DAAC User Working Group</x:v>
      </x:c>
      <x:c r="H433" s="12" t="n">
        <x:v>2023</x:v>
      </x:c>
      <x:c r="I433" s="12" t="str">
        <x:v>Data producers and mission teams</x:v>
      </x:c>
      <x:c r="J433" s="12" t="str">
        <x:v>High</x:v>
      </x:c>
      <x:c r="K433" s="16" t="n">
        <x:v>0.75</x:v>
      </x:c>
      <x:c r="L433" s="12" t="str">
        <x:v>LSA similarity cluster; human review pending</x:v>
      </x:c>
      <x:c r="M433" s="12" t="str">
        <x:v>Section: 8.5.2 Joint LP DAAC – ORNL DAAC Annual UWG Meeting Key Takeaways</x:v>
      </x:c>
      <x:c r="N433" s="12" t="str"/>
      <x:c r="O433" s="12" t="str">
        <x:v>No</x:v>
      </x:c>
      <x:c r="P433" s="12" t="str">
        <x:v>No</x:v>
      </x:c>
      <x:c r="Q433" s="12"/>
      <x:c r="R433" s="12"/>
    </x:row>
    <x:row r="434">
      <x:c r="A434" s="12" t="str">
        <x:v>EVD-00433</x:v>
      </x:c>
      <x:c r="B434" s="12" t="str">
        <x:v>NEED-0050</x:v>
      </x:c>
      <x:c r="C434" s="12" t="str">
        <x:v>SRC-0003</x:v>
      </x:c>
      <x:c r="D434" s="12" t="str">
        <x:v>In order to fully comply with NASA’s SPD-41a Policy, the LP DAAC (and all of EOSDIS) needs to develop an Open-Source Science Data Management Plan that covers standard practices for archiving and distributing data, ancillary data, metadata, simulated data, software, workflows, algorithms, publications, and documentation.</x:v>
      </x:c>
      <x:c r="E434" s="12" t="str">
        <x:v>In order to fully comply with NASA’s SPD-41a Policy, the LP DAAC (and all of EOSDIS) needs to develop an Open-Source Science Data Management Plan that covers standard practices for archiving and distributing data, ancillary data, metadata, simulated data, software, workflows, algorithms, publications, and documentation.</x:v>
      </x:c>
      <x:c r="F434" s="12" t="str">
        <x:v>Key Takeaway</x:v>
      </x:c>
      <x:c r="G434" s="12" t="str">
        <x:v>LP DAAC User Working Group</x:v>
      </x:c>
      <x:c r="H434" s="12" t="n">
        <x:v>2023</x:v>
      </x:c>
      <x:c r="I434" s="12" t="str">
        <x:v>Application developers; Data producers and mission teams</x:v>
      </x:c>
      <x:c r="J434" s="12" t="str">
        <x:v>High</x:v>
      </x:c>
      <x:c r="K434" s="16" t="n">
        <x:v>0.75</x:v>
      </x:c>
      <x:c r="L434" s="12" t="str">
        <x:v>LSA similarity cluster; human review pending</x:v>
      </x:c>
      <x:c r="M434" s="12" t="str">
        <x:v>Section: 8.5.2 Joint LP DAAC – ORNL DAAC Annual UWG Meeting Key Takeaways</x:v>
      </x:c>
      <x:c r="N434" s="12" t="str"/>
      <x:c r="O434" s="12" t="str">
        <x:v>No</x:v>
      </x:c>
      <x:c r="P434" s="12" t="str">
        <x:v>No</x:v>
      </x:c>
      <x:c r="Q434" s="12"/>
      <x:c r="R434" s="12"/>
    </x:row>
    <x:row r="435">
      <x:c r="A435" s="12" t="str">
        <x:v>EVD-00434</x:v>
      </x:c>
      <x:c r="B435" s="12" t="str">
        <x:v>NEED-0120</x:v>
      </x:c>
      <x:c r="C435" s="12" t="str">
        <x:v>SRC-0003</x:v>
      </x:c>
      <x:c r="D435" s="12" t="str">
        <x:v>Kudos were given to the EMIT and HLS teams for open sourcing their respective processing software and algorithms.</x:v>
      </x:c>
      <x:c r="E435" s="12" t="str">
        <x:v>Kudos were given to the EMIT and HLS teams for open sourcing their respective processing software and algorithms.</x:v>
      </x:c>
      <x:c r="F435" s="12" t="str">
        <x:v>Key Takeaway</x:v>
      </x:c>
      <x:c r="G435" s="12" t="str">
        <x:v>LP DAAC User Working Group</x:v>
      </x:c>
      <x:c r="H435" s="12" t="n">
        <x:v>2023</x:v>
      </x:c>
      <x:c r="I435" s="12" t="str">
        <x:v>Application developers</x:v>
      </x:c>
      <x:c r="J435" s="12" t="str">
        <x:v>Medium</x:v>
      </x:c>
      <x:c r="K435" s="16" t="n">
        <x:v>0.75</x:v>
      </x:c>
      <x:c r="L435" s="12" t="str">
        <x:v>LSA similarity cluster; human review pending</x:v>
      </x:c>
      <x:c r="M435" s="12" t="str">
        <x:v>Section: 8.5.2 Joint LP DAAC – ORNL DAAC Annual UWG Meeting Key Takeaways</x:v>
      </x:c>
      <x:c r="N435" s="12" t="str"/>
      <x:c r="O435" s="12" t="str">
        <x:v>No</x:v>
      </x:c>
      <x:c r="P435" s="12" t="str">
        <x:v>No</x:v>
      </x:c>
      <x:c r="Q435" s="12"/>
      <x:c r="R435" s="12"/>
    </x:row>
    <x:row r="436">
      <x:c r="A436" s="12" t="str">
        <x:v>EVD-00435</x:v>
      </x:c>
      <x:c r="B436" s="12" t="str">
        <x:v>NEED-0217</x:v>
      </x:c>
      <x:c r="C436" s="12" t="str">
        <x:v>SRC-0003</x:v>
      </x:c>
      <x:c r="D436" s="12" t="str">
        <x:v>Mission support is a core responsibility of the DAAC and ultimately ends up also providing better support for our end users.</x:v>
      </x:c>
      <x:c r="E436" s="12" t="str">
        <x:v>Mission support is a core responsibility of the DAAC and ultimately ends up also providing better support for our end users.</x:v>
      </x:c>
      <x:c r="F436" s="12" t="str">
        <x:v>Key Takeaway</x:v>
      </x:c>
      <x:c r="G436" s="12" t="str">
        <x:v>LP DAAC User Working Group</x:v>
      </x:c>
      <x:c r="H436" s="12" t="n">
        <x:v>2023</x:v>
      </x:c>
      <x:c r="I436" s="12" t="str">
        <x:v>Data producers and mission teams</x:v>
      </x:c>
      <x:c r="J436" s="12" t="str">
        <x:v>High</x:v>
      </x:c>
      <x:c r="K436" s="16" t="n">
        <x:v>0.75</x:v>
      </x:c>
      <x:c r="L436" s="12" t="str">
        <x:v>LSA similarity cluster; human review pending</x:v>
      </x:c>
      <x:c r="M436" s="12" t="str">
        <x:v>Section: 8.5.2 Joint LP DAAC – ORNL DAAC Annual UWG Meeting Key Takeaways</x:v>
      </x:c>
      <x:c r="N436" s="12" t="str"/>
      <x:c r="O436" s="12" t="str">
        <x:v>No</x:v>
      </x:c>
      <x:c r="P436" s="12" t="str">
        <x:v>No</x:v>
      </x:c>
      <x:c r="Q436" s="12"/>
      <x:c r="R436" s="12"/>
    </x:row>
    <x:row r="437">
      <x:c r="A437" s="12" t="str">
        <x:v>EVD-00436</x:v>
      </x:c>
      <x:c r="B437" s="12" t="str">
        <x:v>NEED-0207</x:v>
      </x:c>
      <x:c r="C437" s="12" t="str">
        <x:v>SRC-0003</x:v>
      </x:c>
      <x:c r="D437" s="12" t="str">
        <x:v>The LP DAAC has been very successful in collaborative activities with mission science teams over the past year and should continue to support those activities as new opportunities arise.</x:v>
      </x:c>
      <x:c r="E437" s="12" t="str">
        <x:v>The LP DAAC has been very successful in collaborative activities with mission science teams over the past year and should continue to support those activities as new opportunities arise.</x:v>
      </x:c>
      <x:c r="F437" s="12" t="str">
        <x:v>Key Takeaway</x:v>
      </x:c>
      <x:c r="G437" s="12" t="str">
        <x:v>LP DAAC User Working Group</x:v>
      </x:c>
      <x:c r="H437" s="12" t="n">
        <x:v>2023</x:v>
      </x:c>
      <x:c r="I437" s="12" t="str">
        <x:v>Data producers and mission teams</x:v>
      </x:c>
      <x:c r="J437" s="12" t="str">
        <x:v>High</x:v>
      </x:c>
      <x:c r="K437" s="16" t="n">
        <x:v>0.75</x:v>
      </x:c>
      <x:c r="L437" s="12" t="str">
        <x:v>LSA similarity cluster; human review pending</x:v>
      </x:c>
      <x:c r="M437" s="12" t="str">
        <x:v>Section: 8.5.2 Joint LP DAAC – ORNL DAAC Annual UWG Meeting Key Takeaways</x:v>
      </x:c>
      <x:c r="N437" s="12" t="str"/>
      <x:c r="O437" s="12" t="str">
        <x:v>No</x:v>
      </x:c>
      <x:c r="P437" s="12" t="str">
        <x:v>No</x:v>
      </x:c>
      <x:c r="Q437" s="12"/>
      <x:c r="R437" s="12"/>
    </x:row>
    <x:row r="438">
      <x:c r="A438" s="12" t="str">
        <x:v>EVD-00437</x:v>
      </x:c>
      <x:c r="B438" s="12" t="str">
        <x:v>NEED-0137</x:v>
      </x:c>
      <x:c r="C438" s="12" t="str">
        <x:v>SRC-0003</x:v>
      </x:c>
      <x:c r="D438" s="12" t="str">
        <x:v>As the SBG Archive DAAC, the LP DAAC needs to continue planning for the SBG Ingest and Archive (I&amp;A) architecture and how to fully comply with SPD-41a.</x:v>
      </x:c>
      <x:c r="E438" s="12" t="str">
        <x:v>As the SBG Archive DAAC, the LP DAAC needs to continue planning for the SBG Ingest and Archive (I&amp;A) architecture and how to fully comply with SPD-41a.</x:v>
      </x:c>
      <x:c r="F438" s="12" t="str">
        <x:v>Key Takeaway</x:v>
      </x:c>
      <x:c r="G438" s="12" t="str">
        <x:v>LP DAAC User Working Group</x:v>
      </x:c>
      <x:c r="H438" s="12" t="n">
        <x:v>2023</x:v>
      </x:c>
      <x:c r="I438" s="12" t="str">
        <x:v>Data producers and mission teams</x:v>
      </x:c>
      <x:c r="J438" s="12" t="str">
        <x:v>High</x:v>
      </x:c>
      <x:c r="K438" s="16" t="n">
        <x:v>0.75</x:v>
      </x:c>
      <x:c r="L438" s="12" t="str">
        <x:v>LSA similarity cluster; human review pending</x:v>
      </x:c>
      <x:c r="M438" s="12" t="str">
        <x:v>Section: 8.5.2 Joint LP DAAC – ORNL DAAC Annual UWG Meeting Key Takeaways</x:v>
      </x:c>
      <x:c r="N438" s="12" t="str"/>
      <x:c r="O438" s="12" t="str">
        <x:v>No</x:v>
      </x:c>
      <x:c r="P438" s="12" t="str">
        <x:v>No</x:v>
      </x:c>
      <x:c r="Q438" s="12"/>
      <x:c r="R438" s="12"/>
    </x:row>
    <x:row r="439">
      <x:c r="A439" s="12" t="str">
        <x:v>EVD-00438</x:v>
      </x:c>
      <x:c r="B439" s="12" t="str">
        <x:v>NEED-0143</x:v>
      </x:c>
      <x:c r="C439" s="12" t="str">
        <x:v>SRC-0003</x:v>
      </x:c>
      <x:c r="D439" s="12" t="str">
        <x:v>All participants seemed to agree that the LP DAAC should continue early engagement and support of SBG.</x:v>
      </x:c>
      <x:c r="E439" s="12" t="str">
        <x:v>All participants seemed to agree that the LP DAAC should continue early engagement and support of SBG.</x:v>
      </x:c>
      <x:c r="F439" s="12" t="str">
        <x:v>Key Takeaway</x:v>
      </x:c>
      <x:c r="G439" s="12" t="str">
        <x:v>LP DAAC User Working Group</x:v>
      </x:c>
      <x:c r="H439" s="12" t="n">
        <x:v>2023</x:v>
      </x:c>
      <x:c r="I439" s="12" t="str">
        <x:v>Earthdata users</x:v>
      </x:c>
      <x:c r="J439" s="12" t="str">
        <x:v>High</x:v>
      </x:c>
      <x:c r="K439" s="16" t="n">
        <x:v>0.75</x:v>
      </x:c>
      <x:c r="L439" s="12" t="str">
        <x:v>LSA similarity cluster; human review pending</x:v>
      </x:c>
      <x:c r="M439" s="12" t="str">
        <x:v>Section: 8.5.2 Joint LP DAAC – ORNL DAAC Annual UWG Meeting Key Takeaways</x:v>
      </x:c>
      <x:c r="N439" s="12" t="str"/>
      <x:c r="O439" s="12" t="str">
        <x:v>No</x:v>
      </x:c>
      <x:c r="P439" s="12" t="str">
        <x:v>No</x:v>
      </x:c>
      <x:c r="Q439" s="12"/>
      <x:c r="R439" s="12"/>
    </x:row>
    <x:row r="440">
      <x:c r="A440" s="12" t="str">
        <x:v>EVD-00439</x:v>
      </x:c>
      <x:c r="B440" s="12" t="str">
        <x:v>NEED-0137</x:v>
      </x:c>
      <x:c r="C440" s="12" t="str">
        <x:v>SRC-0003</x:v>
      </x:c>
      <x:c r="D440" s="12" t="str">
        <x:v>Cross-mission data harmonization is crucial in the ESO era, and NASA and the DAACs have a role to play. The LP DAAC needs to begin engaging with other missions (relevant to SBG).</x:v>
      </x:c>
      <x:c r="E440" s="12" t="str">
        <x:v>Cross-mission data harmonization is crucial in the ESO era, and NASA and the DAACs have a role to play. The LP DAAC needs to begin engaging with other missions (relevant to SBG).</x:v>
      </x:c>
      <x:c r="F440" s="12" t="str">
        <x:v>Key Takeaway</x:v>
      </x:c>
      <x:c r="G440" s="12" t="str">
        <x:v>LP DAAC User Working Group</x:v>
      </x:c>
      <x:c r="H440" s="12" t="n">
        <x:v>2023</x:v>
      </x:c>
      <x:c r="I440" s="12" t="str">
        <x:v>Data producers and mission teams</x:v>
      </x:c>
      <x:c r="J440" s="12" t="str">
        <x:v>Medium</x:v>
      </x:c>
      <x:c r="K440" s="16" t="n">
        <x:v>0.75</x:v>
      </x:c>
      <x:c r="L440" s="12" t="str">
        <x:v>LSA similarity cluster; human review pending</x:v>
      </x:c>
      <x:c r="M440" s="12" t="str">
        <x:v>Section: 8.5.2 Joint LP DAAC – ORNL DAAC Annual UWG Meeting Key Takeaways</x:v>
      </x:c>
      <x:c r="N440" s="12" t="str"/>
      <x:c r="O440" s="12" t="str">
        <x:v>No</x:v>
      </x:c>
      <x:c r="P440" s="12" t="str">
        <x:v>No</x:v>
      </x:c>
      <x:c r="Q440" s="12"/>
      <x:c r="R440" s="12"/>
    </x:row>
    <x:row r="441">
      <x:c r="A441" s="12" t="str">
        <x:v>EVD-00440</x:v>
      </x:c>
      <x:c r="B441" s="12" t="str">
        <x:v>NEED-0033</x:v>
      </x:c>
      <x:c r="C441" s="12" t="str">
        <x:v>SRC-0003</x:v>
      </x:c>
      <x:c r="D441" s="12" t="str">
        <x:v>As the SBG Archive DAAC, the LP DAAC needs to be a leader in cross-discipline coordination and work with secondary DAACs to ensure a broad range of user communities can access SBG data. ESO missions are cross-disciplinary in nature and require DAACs to work together to support diverse user communities.</x:v>
      </x:c>
      <x:c r="E441" s="12" t="str">
        <x:v>As the SBG Archive DAAC, the LP DAAC needs to be a leader in cross-discipline coordination and work with secondary DAACs to ensure a broad range of user communities can access SBG data. ESO missions are cross-disciplinary in nature and require DAACs to work together to support diverse user communities.</x:v>
      </x:c>
      <x:c r="F441" s="12" t="str">
        <x:v>Key Takeaway</x:v>
      </x:c>
      <x:c r="G441" s="12" t="str">
        <x:v>LP DAAC User Working Group</x:v>
      </x:c>
      <x:c r="H441" s="12" t="n">
        <x:v>2023</x:v>
      </x:c>
      <x:c r="I441" s="12" t="str">
        <x:v>Data producers and mission teams</x:v>
      </x:c>
      <x:c r="J441" s="12" t="str">
        <x:v>High</x:v>
      </x:c>
      <x:c r="K441" s="16" t="n">
        <x:v>0.75</x:v>
      </x:c>
      <x:c r="L441" s="12" t="str">
        <x:v>LSA similarity cluster; human review pending</x:v>
      </x:c>
      <x:c r="M441" s="12" t="str">
        <x:v>Section: 8.5.2 Joint LP DAAC – ORNL DAAC Annual UWG Meeting Key Takeaways</x:v>
      </x:c>
      <x:c r="N441" s="12" t="str"/>
      <x:c r="O441" s="12" t="str">
        <x:v>No</x:v>
      </x:c>
      <x:c r="P441" s="12" t="str">
        <x:v>No</x:v>
      </x:c>
      <x:c r="Q441" s="12"/>
      <x:c r="R441" s="12"/>
    </x:row>
    <x:row r="442">
      <x:c r="A442" s="12" t="str">
        <x:v>EVD-00441</x:v>
      </x:c>
      <x:c r="B442" s="12" t="str">
        <x:v>NEED-0213</x:v>
      </x:c>
      <x:c r="C442" s="12" t="str">
        <x:v>SRC-0003</x:v>
      </x:c>
      <x:c r="D442" s="12" t="str">
        <x:v>One of the major goals of this year’s meeting was to elicit feedback on how the LP DAAC can prepare users for SBG. Suggestions from the UWG included:</x:v>
      </x:c>
      <x:c r="E442" s="12" t="str">
        <x:v>One of the major goals of this year’s meeting was to elicit feedback on how the LP DAAC can prepare users for SBG. Suggestions from the UWG included:</x:v>
      </x:c>
      <x:c r="F442" s="12" t="str">
        <x:v>Suggestion</x:v>
      </x:c>
      <x:c r="G442" s="12" t="str">
        <x:v>LP DAAC User Working Group</x:v>
      </x:c>
      <x:c r="H442" s="12" t="n">
        <x:v>2023</x:v>
      </x:c>
      <x:c r="I442" s="12" t="str">
        <x:v>Earthdata users</x:v>
      </x:c>
      <x:c r="J442" s="12" t="str">
        <x:v>Medium</x:v>
      </x:c>
      <x:c r="K442" s="16" t="n">
        <x:v>0.75</x:v>
      </x:c>
      <x:c r="L442" s="12" t="str">
        <x:v>LSA similarity cluster; human review pending</x:v>
      </x:c>
      <x:c r="M442" s="12" t="str">
        <x:v>Section: 8.5.2 Joint LP DAAC – ORNL DAAC Annual UWG Meeting Key Takeaways</x:v>
      </x:c>
      <x:c r="N442" s="12" t="str"/>
      <x:c r="O442" s="12" t="str">
        <x:v>No</x:v>
      </x:c>
      <x:c r="P442" s="12" t="str">
        <x:v>No</x:v>
      </x:c>
      <x:c r="Q442" s="12"/>
      <x:c r="R442" s="12"/>
    </x:row>
    <x:row r="443">
      <x:c r="A443" s="12" t="str">
        <x:v>EVD-00442</x:v>
      </x:c>
      <x:c r="B443" s="12" t="str">
        <x:v>NEED-0017</x:v>
      </x:c>
      <x:c r="C443" s="12" t="str">
        <x:v>SRC-0003</x:v>
      </x:c>
      <x:c r="D443" s="12" t="str">
        <x:v>Continue to support the NASA Earthdata Cloud Playground.</x:v>
      </x:c>
      <x:c r="E443" s="12" t="str">
        <x:v>Continue to support the NASA Earthdata Cloud Playground.</x:v>
      </x:c>
      <x:c r="F443" s="12" t="str">
        <x:v>Key Takeaway</x:v>
      </x:c>
      <x:c r="G443" s="12" t="str">
        <x:v>LP DAAC User Working Group</x:v>
      </x:c>
      <x:c r="H443" s="12" t="n">
        <x:v>2023</x:v>
      </x:c>
      <x:c r="I443" s="12" t="str">
        <x:v>Cloud-native researchers</x:v>
      </x:c>
      <x:c r="J443" s="12" t="str">
        <x:v>High</x:v>
      </x:c>
      <x:c r="K443" s="16" t="n">
        <x:v>0.75</x:v>
      </x:c>
      <x:c r="L443" s="12" t="str">
        <x:v>LSA similarity cluster; human review pending</x:v>
      </x:c>
      <x:c r="M443" s="12" t="str">
        <x:v>Section: 8.5.2 Joint LP DAAC – ORNL DAAC Annual UWG Meeting Key Takeaways</x:v>
      </x:c>
      <x:c r="N443" s="12" t="str"/>
      <x:c r="O443" s="12" t="str">
        <x:v>No</x:v>
      </x:c>
      <x:c r="P443" s="12" t="str">
        <x:v>No</x:v>
      </x:c>
      <x:c r="Q443" s="12"/>
      <x:c r="R443" s="12"/>
    </x:row>
    <x:row r="444">
      <x:c r="A444" s="12" t="str">
        <x:v>EVD-00443</x:v>
      </x:c>
      <x:c r="B444" s="12" t="str">
        <x:v>NEED-0077</x:v>
      </x:c>
      <x:c r="C444" s="12" t="str">
        <x:v>SRC-0003</x:v>
      </x:c>
      <x:c r="D444" s="12" t="str">
        <x:v>Publish SBG-like simulated datasets.</x:v>
      </x:c>
      <x:c r="E444" s="12" t="str">
        <x:v>Publish SBG-like simulated datasets.</x:v>
      </x:c>
      <x:c r="F444" s="12" t="str">
        <x:v>Key Takeaway</x:v>
      </x:c>
      <x:c r="G444" s="12" t="str">
        <x:v>LP DAAC User Working Group</x:v>
      </x:c>
      <x:c r="H444" s="12" t="n">
        <x:v>2023</x:v>
      </x:c>
      <x:c r="I444" s="12" t="str">
        <x:v>Earthdata users</x:v>
      </x:c>
      <x:c r="J444" s="12" t="str">
        <x:v>Medium</x:v>
      </x:c>
      <x:c r="K444" s="16" t="n">
        <x:v>0.75</x:v>
      </x:c>
      <x:c r="L444" s="12" t="str">
        <x:v>LSA similarity cluster; human review pending</x:v>
      </x:c>
      <x:c r="M444" s="12" t="str">
        <x:v>Section: 8.5.2 Joint LP DAAC – ORNL DAAC Annual UWG Meeting Key Takeaways</x:v>
      </x:c>
      <x:c r="N444" s="12" t="str"/>
      <x:c r="O444" s="12" t="str">
        <x:v>No</x:v>
      </x:c>
      <x:c r="P444" s="12" t="str">
        <x:v>No</x:v>
      </x:c>
      <x:c r="Q444" s="12"/>
      <x:c r="R444" s="12"/>
    </x:row>
    <x:row r="445">
      <x:c r="A445" s="12" t="str">
        <x:v>EVD-00444</x:v>
      </x:c>
      <x:c r="B445" s="12" t="str">
        <x:v>NEED-0041</x:v>
      </x:c>
      <x:c r="C445" s="12" t="str">
        <x:v>SRC-0003</x:v>
      </x:c>
      <x:c r="D445" s="12" t="str">
        <x:v>Demonstrate how to put EMIT and ECOSTRESS coincident observations on a common grid and potentially provide examples for distribution.</x:v>
      </x:c>
      <x:c r="E445" s="12" t="str">
        <x:v>Demonstrate how to put EMIT and ECOSTRESS coincident observations on a common grid and potentially provide examples for distribution.</x:v>
      </x:c>
      <x:c r="F445" s="12" t="str">
        <x:v>Key Takeaway</x:v>
      </x:c>
      <x:c r="G445" s="12" t="str">
        <x:v>LP DAAC User Working Group</x:v>
      </x:c>
      <x:c r="H445" s="12" t="n">
        <x:v>2023</x:v>
      </x:c>
      <x:c r="I445" s="12" t="str">
        <x:v>Earthdata users</x:v>
      </x:c>
      <x:c r="J445" s="12" t="str">
        <x:v>High</x:v>
      </x:c>
      <x:c r="K445" s="16" t="n">
        <x:v>0.75</x:v>
      </x:c>
      <x:c r="L445" s="12" t="str">
        <x:v>LSA similarity cluster; human review pending</x:v>
      </x:c>
      <x:c r="M445" s="12" t="str">
        <x:v>Section: 8.5.2 Joint LP DAAC – ORNL DAAC Annual UWG Meeting Key Takeaways</x:v>
      </x:c>
      <x:c r="N445" s="12" t="str"/>
      <x:c r="O445" s="12" t="str">
        <x:v>No</x:v>
      </x:c>
      <x:c r="P445" s="12" t="str">
        <x:v>No</x:v>
      </x:c>
      <x:c r="Q445" s="12"/>
      <x:c r="R445" s="12"/>
    </x:row>
    <x:row r="446">
      <x:c r="A446" s="12" t="str">
        <x:v>EVD-00445</x:v>
      </x:c>
      <x:c r="B446" s="12" t="str">
        <x:v>NEED-0197</x:v>
      </x:c>
      <x:c r="C446" s="12" t="str">
        <x:v>SRC-0003</x:v>
      </x:c>
      <x:c r="D446" s="12" t="str">
        <x:v>Continue the series of EMIT-ECOSTRESS Pre-SBG Synergies Workshops.</x:v>
      </x:c>
      <x:c r="E446" s="12" t="str">
        <x:v>Continue the series of EMIT-ECOSTRESS Pre-SBG Synergies Workshops.</x:v>
      </x:c>
      <x:c r="F446" s="12" t="str">
        <x:v>Key Takeaway</x:v>
      </x:c>
      <x:c r="G446" s="12" t="str">
        <x:v>LP DAAC User Working Group</x:v>
      </x:c>
      <x:c r="H446" s="12" t="n">
        <x:v>2023</x:v>
      </x:c>
      <x:c r="I446" s="12" t="str">
        <x:v>Educators and trainers</x:v>
      </x:c>
      <x:c r="J446" s="12" t="str">
        <x:v>High</x:v>
      </x:c>
      <x:c r="K446" s="16" t="n">
        <x:v>0.75</x:v>
      </x:c>
      <x:c r="L446" s="12" t="str">
        <x:v>LSA similarity cluster; human review pending</x:v>
      </x:c>
      <x:c r="M446" s="12" t="str">
        <x:v>Section: 8.5.2 Joint LP DAAC – ORNL DAAC Annual UWG Meeting Key Takeaways</x:v>
      </x:c>
      <x:c r="N446" s="12" t="str"/>
      <x:c r="O446" s="12" t="str">
        <x:v>No</x:v>
      </x:c>
      <x:c r="P446" s="12" t="str">
        <x:v>No</x:v>
      </x:c>
      <x:c r="Q446" s="12"/>
      <x:c r="R446" s="12"/>
    </x:row>
    <x:row r="447">
      <x:c r="A447" s="12" t="str">
        <x:v>EVD-00446</x:v>
      </x:c>
      <x:c r="B447" s="12" t="str">
        <x:v>NEED-0194</x:v>
      </x:c>
      <x:c r="C447" s="12" t="str">
        <x:v>SRC-0003</x:v>
      </x:c>
      <x:c r="D447" s="12" t="str">
        <x:v>Include integration of airborne and in-situ data in future workshops.</x:v>
      </x:c>
      <x:c r="E447" s="12" t="str">
        <x:v>Include integration of airborne and in-situ data in future workshops.</x:v>
      </x:c>
      <x:c r="F447" s="12" t="str">
        <x:v>Key Takeaway</x:v>
      </x:c>
      <x:c r="G447" s="12" t="str">
        <x:v>LP DAAC User Working Group</x:v>
      </x:c>
      <x:c r="H447" s="12" t="n">
        <x:v>2023</x:v>
      </x:c>
      <x:c r="I447" s="12" t="str">
        <x:v>Educators and trainers</x:v>
      </x:c>
      <x:c r="J447" s="12" t="str">
        <x:v>Medium</x:v>
      </x:c>
      <x:c r="K447" s="16" t="n">
        <x:v>0.75</x:v>
      </x:c>
      <x:c r="L447" s="12" t="str">
        <x:v>LSA similarity cluster; human review pending</x:v>
      </x:c>
      <x:c r="M447" s="12" t="str">
        <x:v>Section: 8.5.2 Joint LP DAAC – ORNL DAAC Annual UWG Meeting Key Takeaways</x:v>
      </x:c>
      <x:c r="N447" s="12" t="str"/>
      <x:c r="O447" s="12" t="str">
        <x:v>No</x:v>
      </x:c>
      <x:c r="P447" s="12" t="str">
        <x:v>No</x:v>
      </x:c>
      <x:c r="Q447" s="12"/>
      <x:c r="R447" s="12"/>
    </x:row>
    <x:row r="448">
      <x:c r="A448" s="12" t="str">
        <x:v>EVD-00447</x:v>
      </x:c>
      <x:c r="B448" s="12" t="str">
        <x:v>NEED-0166</x:v>
      </x:c>
      <x:c r="C448" s="12" t="str">
        <x:v>SRC-0003</x:v>
      </x:c>
      <x:c r="D448" s="12" t="str">
        <x:v>Explore a common data reduction tool in the spectral domain to lower the barrier for hyperspectral data usage (ex: PCA).</x:v>
      </x:c>
      <x:c r="E448" s="12" t="str">
        <x:v>Explore a common data reduction tool in the spectral domain to lower the barrier for hyperspectral data usage (ex: PCA).</x:v>
      </x:c>
      <x:c r="F448" s="12" t="str">
        <x:v>Key Takeaway</x:v>
      </x:c>
      <x:c r="G448" s="12" t="str">
        <x:v>LP DAAC User Working Group</x:v>
      </x:c>
      <x:c r="H448" s="12" t="n">
        <x:v>2023</x:v>
      </x:c>
      <x:c r="I448" s="12" t="str">
        <x:v>Earthdata users</x:v>
      </x:c>
      <x:c r="J448" s="12" t="str">
        <x:v>Medium</x:v>
      </x:c>
      <x:c r="K448" s="16" t="n">
        <x:v>0.75</x:v>
      </x:c>
      <x:c r="L448" s="12" t="str">
        <x:v>LSA similarity cluster; human review pending</x:v>
      </x:c>
      <x:c r="M448" s="12" t="str">
        <x:v>Section: 8.5.2 Joint LP DAAC – ORNL DAAC Annual UWG Meeting Key Takeaways</x:v>
      </x:c>
      <x:c r="N448" s="12" t="str"/>
      <x:c r="O448" s="12" t="str">
        <x:v>No</x:v>
      </x:c>
      <x:c r="P448" s="12" t="str">
        <x:v>No</x:v>
      </x:c>
      <x:c r="Q448" s="12"/>
      <x:c r="R448" s="12"/>
    </x:row>
    <x:row r="449">
      <x:c r="A449" s="12" t="str">
        <x:v>EVD-00448</x:v>
      </x:c>
      <x:c r="B449" s="12" t="str">
        <x:v>NEED-0111</x:v>
      </x:c>
      <x:c r="C449" s="12" t="str">
        <x:v>SRC-0003</x:v>
      </x:c>
      <x:c r="D449" s="12" t="str">
        <x:v>The LP DAAC UWG suggests reviewing resources produced by the EnMAP project and assessing for interoperability with EMIT and future pre-SBG resources.</x:v>
      </x:c>
      <x:c r="E449" s="12" t="str">
        <x:v>The LP DAAC UWG suggests reviewing resources produced by the EnMAP project and assessing for interoperability with EMIT and future pre-SBG resources.</x:v>
      </x:c>
      <x:c r="F449" s="12" t="str">
        <x:v>Suggestion</x:v>
      </x:c>
      <x:c r="G449" s="12" t="str">
        <x:v>LP DAAC User Working Group</x:v>
      </x:c>
      <x:c r="H449" s="12" t="n">
        <x:v>2023</x:v>
      </x:c>
      <x:c r="I449" s="12" t="str">
        <x:v>Earthdata users</x:v>
      </x:c>
      <x:c r="J449" s="12" t="str">
        <x:v>Medium</x:v>
      </x:c>
      <x:c r="K449" s="16" t="n">
        <x:v>0.55</x:v>
      </x:c>
      <x:c r="L449" s="12" t="str">
        <x:v>LSA similarity cluster; human review pending</x:v>
      </x:c>
      <x:c r="M449" s="12" t="str">
        <x:v>Section: 8.5.2 Joint LP DAAC – ORNL DAAC Annual UWG Meeting Key Takeaways</x:v>
      </x:c>
      <x:c r="N449" s="12" t="str"/>
      <x:c r="O449" s="12" t="str">
        <x:v>No</x:v>
      </x:c>
      <x:c r="P449" s="12" t="str">
        <x:v>No</x:v>
      </x:c>
      <x:c r="Q449" s="12"/>
      <x:c r="R449" s="12"/>
    </x:row>
    <x:row r="450">
      <x:c r="A450" s="12" t="str">
        <x:v>EVD-00449</x:v>
      </x:c>
      <x:c r="B450" s="12" t="str">
        <x:v>NEED-0017</x:v>
      </x:c>
      <x:c r="C450" s="12" t="str">
        <x:v>SRC-0003</x:v>
      </x:c>
      <x:c r="D450" s="12" t="str">
        <x:v>Continue to support the NASA Earthdata Cloud Playground, NASA Openscapes, and explore other free cloud options for users.</x:v>
      </x:c>
      <x:c r="E450" s="12" t="str">
        <x:v>Continue to support the NASA Earthdata Cloud Playground, NASA Openscapes, and explore other free cloud options for users.</x:v>
      </x:c>
      <x:c r="F450" s="12" t="str">
        <x:v>Key Takeaway</x:v>
      </x:c>
      <x:c r="G450" s="12" t="str">
        <x:v>LP DAAC User Working Group</x:v>
      </x:c>
      <x:c r="H450" s="12" t="n">
        <x:v>2023</x:v>
      </x:c>
      <x:c r="I450" s="12" t="str">
        <x:v>Cloud-native researchers</x:v>
      </x:c>
      <x:c r="J450" s="12" t="str">
        <x:v>High</x:v>
      </x:c>
      <x:c r="K450" s="16" t="n">
        <x:v>0.75</x:v>
      </x:c>
      <x:c r="L450" s="12" t="str">
        <x:v>LSA similarity cluster; human review pending</x:v>
      </x:c>
      <x:c r="M450" s="12" t="str">
        <x:v>Section: 8.5.2 Joint LP DAAC – ORNL DAAC Annual UWG Meeting Key Takeaways</x:v>
      </x:c>
      <x:c r="N450" s="12" t="str"/>
      <x:c r="O450" s="12" t="str">
        <x:v>No</x:v>
      </x:c>
      <x:c r="P450" s="12" t="str">
        <x:v>No</x:v>
      </x:c>
      <x:c r="Q450" s="12"/>
      <x:c r="R450" s="12"/>
    </x:row>
    <x:row r="451">
      <x:c r="A451" s="12" t="str">
        <x:v>EVD-00450</x:v>
      </x:c>
      <x:c r="B451" s="12" t="str">
        <x:v>NEED-0011</x:v>
      </x:c>
      <x:c r="C451" s="12" t="str">
        <x:v>SRC-0003</x:v>
      </x:c>
      <x:c r="D451" s="12" t="str">
        <x:v>A common question throughout the UWG was: How will users pay for cloud storage and compute? What resources will NASA provide for onboarding users into the cloud?</x:v>
      </x:c>
      <x:c r="E451" s="12" t="str">
        <x:v>A common question throughout the UWG was: How will users pay for cloud storage and compute? What resources will NASA provide for onboarding users into the cloud?</x:v>
      </x:c>
      <x:c r="F451" s="12" t="str">
        <x:v>Key Takeaway</x:v>
      </x:c>
      <x:c r="G451" s="12" t="str">
        <x:v>LP DAAC User Working Group</x:v>
      </x:c>
      <x:c r="H451" s="12" t="n">
        <x:v>2023</x:v>
      </x:c>
      <x:c r="I451" s="12" t="str">
        <x:v>Cloud-native researchers; New and occasional users</x:v>
      </x:c>
      <x:c r="J451" s="12" t="str">
        <x:v>High</x:v>
      </x:c>
      <x:c r="K451" s="16" t="n">
        <x:v>0.75</x:v>
      </x:c>
      <x:c r="L451" s="12" t="str">
        <x:v>LSA similarity cluster; human review pending</x:v>
      </x:c>
      <x:c r="M451" s="12" t="str">
        <x:v>Section: 8.5.2 Joint LP DAAC – ORNL DAAC Annual UWG Meeting Key Takeaways</x:v>
      </x:c>
      <x:c r="N451" s="12" t="str"/>
      <x:c r="O451" s="12" t="str">
        <x:v>No</x:v>
      </x:c>
      <x:c r="P451" s="12" t="str">
        <x:v>No</x:v>
      </x:c>
      <x:c r="Q451" s="12"/>
      <x:c r="R451" s="12"/>
    </x:row>
    <x:row r="452">
      <x:c r="A452" s="12" t="str">
        <x:v>EVD-00451</x:v>
      </x:c>
      <x:c r="B452" s="12" t="str">
        <x:v>NEED-0193</x:v>
      </x:c>
      <x:c r="C452" s="12" t="str">
        <x:v>SRC-0003</x:v>
      </x:c>
      <x:c r="D452" s="12" t="str">
        <x:v>The LP DAAC should continue to provide science-enabling resources including but not limited to tutorials, workshops, and other e-learning materials. Potential new topics to explore include:</x:v>
      </x:c>
      <x:c r="E452" s="12" t="str">
        <x:v>The LP DAAC should continue to provide science-enabling resources including but not limited to tutorials, workshops, and other e-learning materials. Potential new topics to explore include:</x:v>
      </x:c>
      <x:c r="F452" s="12" t="str">
        <x:v>Key Takeaway</x:v>
      </x:c>
      <x:c r="G452" s="12" t="str">
        <x:v>LP DAAC User Working Group</x:v>
      </x:c>
      <x:c r="H452" s="12" t="n">
        <x:v>2023</x:v>
      </x:c>
      <x:c r="I452" s="12" t="str">
        <x:v>Educators and trainers</x:v>
      </x:c>
      <x:c r="J452" s="12" t="str">
        <x:v>High</x:v>
      </x:c>
      <x:c r="K452" s="16" t="n">
        <x:v>0.75</x:v>
      </x:c>
      <x:c r="L452" s="12" t="str">
        <x:v>LSA similarity cluster; human review pending</x:v>
      </x:c>
      <x:c r="M452" s="12" t="str">
        <x:v>Section: 8.5.2 Joint LP DAAC – ORNL DAAC Annual UWG Meeting Key Takeaways</x:v>
      </x:c>
      <x:c r="N452" s="12" t="str"/>
      <x:c r="O452" s="12" t="str">
        <x:v>No</x:v>
      </x:c>
      <x:c r="P452" s="12" t="str">
        <x:v>No</x:v>
      </x:c>
      <x:c r="Q452" s="12"/>
      <x:c r="R452" s="12"/>
    </x:row>
    <x:row r="453">
      <x:c r="A453" s="12" t="str">
        <x:v>EVD-00452</x:v>
      </x:c>
      <x:c r="B453" s="12" t="str">
        <x:v>NEED-0141</x:v>
      </x:c>
      <x:c r="C453" s="12" t="str">
        <x:v>SRC-0003</x:v>
      </x:c>
      <x:c r="D453" s="12" t="str">
        <x:v>Demonstrating how to set up python environments, QGIS, use Git and GitHub.</x:v>
      </x:c>
      <x:c r="E453" s="12" t="str">
        <x:v>Demonstrating how to set up python environments, QGIS, use Git and GitHub.</x:v>
      </x:c>
      <x:c r="F453" s="12" t="str">
        <x:v>Key Takeaway</x:v>
      </x:c>
      <x:c r="G453" s="12" t="str">
        <x:v>LP DAAC User Working Group</x:v>
      </x:c>
      <x:c r="H453" s="12" t="n">
        <x:v>2023</x:v>
      </x:c>
      <x:c r="I453" s="12" t="str">
        <x:v>GIS users; Application developers</x:v>
      </x:c>
      <x:c r="J453" s="12" t="str">
        <x:v>Medium</x:v>
      </x:c>
      <x:c r="K453" s="16" t="n">
        <x:v>0.75</x:v>
      </x:c>
      <x:c r="L453" s="12" t="str">
        <x:v>LSA similarity cluster; human review pending</x:v>
      </x:c>
      <x:c r="M453" s="12" t="str">
        <x:v>Section: 8.5.2 Joint LP DAAC – ORNL DAAC Annual UWG Meeting Key Takeaways</x:v>
      </x:c>
      <x:c r="N453" s="12" t="str"/>
      <x:c r="O453" s="12" t="str">
        <x:v>No</x:v>
      </x:c>
      <x:c r="P453" s="12" t="str">
        <x:v>No</x:v>
      </x:c>
      <x:c r="Q453" s="12"/>
      <x:c r="R453" s="12"/>
    </x:row>
    <x:row r="454">
      <x:c r="A454" s="12" t="str">
        <x:v>EVD-00453</x:v>
      </x:c>
      <x:c r="B454" s="12" t="str">
        <x:v>NEED-0131</x:v>
      </x:c>
      <x:c r="C454" s="12" t="str">
        <x:v>SRC-0003</x:v>
      </x:c>
      <x:c r="D454" s="12" t="str">
        <x:v>Beginning level and introductory materials.</x:v>
      </x:c>
      <x:c r="E454" s="12" t="str">
        <x:v>Beginning level and introductory materials.</x:v>
      </x:c>
      <x:c r="F454" s="12" t="str">
        <x:v>Key Takeaway</x:v>
      </x:c>
      <x:c r="G454" s="12" t="str">
        <x:v>LP DAAC User Working Group</x:v>
      </x:c>
      <x:c r="H454" s="12" t="n">
        <x:v>2023</x:v>
      </x:c>
      <x:c r="I454" s="12" t="str">
        <x:v>Earthdata users</x:v>
      </x:c>
      <x:c r="J454" s="12" t="str">
        <x:v>Medium</x:v>
      </x:c>
      <x:c r="K454" s="16" t="n">
        <x:v>0.75</x:v>
      </x:c>
      <x:c r="L454" s="12" t="str">
        <x:v>LSA similarity cluster; human review pending</x:v>
      </x:c>
      <x:c r="M454" s="12" t="str">
        <x:v>Section: 8.5.2 Joint LP DAAC – ORNL DAAC Annual UWG Meeting Key Takeaways</x:v>
      </x:c>
      <x:c r="N454" s="12" t="str"/>
      <x:c r="O454" s="12" t="str">
        <x:v>No</x:v>
      </x:c>
      <x:c r="P454" s="12" t="str">
        <x:v>No</x:v>
      </x:c>
      <x:c r="Q454" s="12"/>
      <x:c r="R454" s="12"/>
    </x:row>
    <x:row r="455">
      <x:c r="A455" s="12" t="str">
        <x:v>EVD-00454</x:v>
      </x:c>
      <x:c r="B455" s="12" t="str">
        <x:v>NEED-0137</x:v>
      </x:c>
      <x:c r="C455" s="12" t="str">
        <x:v>SRC-0003</x:v>
      </x:c>
      <x:c r="D455" s="12" t="str">
        <x:v>The LP DAAC should continue to present at major relevant scientific conferences and meetings.</x:v>
      </x:c>
      <x:c r="E455" s="12" t="str">
        <x:v>The LP DAAC should continue to present at major relevant scientific conferences and meetings.</x:v>
      </x:c>
      <x:c r="F455" s="12" t="str">
        <x:v>Key Takeaway</x:v>
      </x:c>
      <x:c r="G455" s="12" t="str">
        <x:v>LP DAAC User Working Group</x:v>
      </x:c>
      <x:c r="H455" s="12" t="n">
        <x:v>2023</x:v>
      </x:c>
      <x:c r="I455" s="12" t="str">
        <x:v>Earthdata users</x:v>
      </x:c>
      <x:c r="J455" s="12" t="str">
        <x:v>High</x:v>
      </x:c>
      <x:c r="K455" s="16" t="n">
        <x:v>0.75</x:v>
      </x:c>
      <x:c r="L455" s="12" t="str">
        <x:v>LSA similarity cluster; human review pending</x:v>
      </x:c>
      <x:c r="M455" s="12" t="str">
        <x:v>Section: 8.5.2 Joint LP DAAC – ORNL DAAC Annual UWG Meeting Key Takeaways</x:v>
      </x:c>
      <x:c r="N455" s="12" t="str"/>
      <x:c r="O455" s="12" t="str">
        <x:v>No</x:v>
      </x:c>
      <x:c r="P455" s="12" t="str">
        <x:v>No</x:v>
      </x:c>
      <x:c r="Q455" s="12"/>
      <x:c r="R455" s="12"/>
    </x:row>
    <x:row r="456">
      <x:c r="A456" s="12" t="str">
        <x:v>EVD-00455</x:v>
      </x:c>
      <x:c r="B456" s="12" t="str">
        <x:v>NEED-0023</x:v>
      </x:c>
      <x:c r="C456" s="12" t="str">
        <x:v>SRC-0003</x:v>
      </x:c>
      <x:c r="D456" s="12" t="str">
        <x:v>The LP DAAC has historically and continues to provide great support on data accessibility.</x:v>
      </x:c>
      <x:c r="E456" s="12" t="str">
        <x:v>The LP DAAC has historically and continues to provide great support on data accessibility.</x:v>
      </x:c>
      <x:c r="F456" s="12" t="str">
        <x:v>Key Takeaway</x:v>
      </x:c>
      <x:c r="G456" s="12" t="str">
        <x:v>LP DAAC User Working Group</x:v>
      </x:c>
      <x:c r="H456" s="12" t="n">
        <x:v>2023</x:v>
      </x:c>
      <x:c r="I456" s="12" t="str">
        <x:v>Earthdata users</x:v>
      </x:c>
      <x:c r="J456" s="12" t="str">
        <x:v>High</x:v>
      </x:c>
      <x:c r="K456" s="16" t="n">
        <x:v>0.75</x:v>
      </x:c>
      <x:c r="L456" s="12" t="str">
        <x:v>LSA similarity cluster; human review pending</x:v>
      </x:c>
      <x:c r="M456" s="12" t="str">
        <x:v>Section: 8.5.2 Joint LP DAAC – ORNL DAAC Annual UWG Meeting Key Takeaways</x:v>
      </x:c>
      <x:c r="N456" s="12" t="str"/>
      <x:c r="O456" s="12" t="str">
        <x:v>No</x:v>
      </x:c>
      <x:c r="P456" s="12" t="str">
        <x:v>No</x:v>
      </x:c>
      <x:c r="Q456" s="12"/>
      <x:c r="R456" s="12"/>
    </x:row>
    <x:row r="457">
      <x:c r="A457" s="12" t="str">
        <x:v>EVD-00456</x:v>
      </x:c>
      <x:c r="B457" s="12" t="str">
        <x:v>NEED-0080</x:v>
      </x:c>
      <x:c r="C457" s="12" t="str">
        <x:v>SRC-0003</x:v>
      </x:c>
      <x:c r="D457" s="12" t="str">
        <x:v>The LP DAAC should continue to incorporate additional products into AppEEARS, including data archived by LP DAAC, other NASA EOSDIS DAACs, and other federal archives. This includes but is not limited to products from EMIT, VIIRS Version 2, and Landsat.</x:v>
      </x:c>
      <x:c r="E457" s="12" t="str">
        <x:v>The LP DAAC should continue to incorporate additional products into AppEEARS, including data archived by LP DAAC, other NASA EOSDIS DAACs, and other federal archives. This includes but is not limited to products from EMIT, VIIRS Version 2, and Landsat.</x:v>
      </x:c>
      <x:c r="F457" s="12" t="str">
        <x:v>Key Takeaway</x:v>
      </x:c>
      <x:c r="G457" s="12" t="str">
        <x:v>LP DAAC User Working Group</x:v>
      </x:c>
      <x:c r="H457" s="12" t="n">
        <x:v>2023</x:v>
      </x:c>
      <x:c r="I457" s="12" t="str">
        <x:v>Data producers and mission teams</x:v>
      </x:c>
      <x:c r="J457" s="12" t="str">
        <x:v>High</x:v>
      </x:c>
      <x:c r="K457" s="16" t="n">
        <x:v>0.75</x:v>
      </x:c>
      <x:c r="L457" s="12" t="str">
        <x:v>LSA similarity cluster; human review pending</x:v>
      </x:c>
      <x:c r="M457" s="12" t="str">
        <x:v>Section: 8.5.2 Joint LP DAAC – ORNL DAAC Annual UWG Meeting Key Takeaways</x:v>
      </x:c>
      <x:c r="N457" s="12" t="str"/>
      <x:c r="O457" s="12" t="str">
        <x:v>No</x:v>
      </x:c>
      <x:c r="P457" s="12" t="str">
        <x:v>No</x:v>
      </x:c>
      <x:c r="Q457" s="12"/>
      <x:c r="R457" s="12"/>
    </x:row>
    <x:row r="458">
      <x:c r="A458" s="12" t="str">
        <x:v>EVD-00457</x:v>
      </x:c>
      <x:c r="B458" s="12" t="str">
        <x:v>NEED-0187</x:v>
      </x:c>
      <x:c r="C458" s="12" t="str">
        <x:v>SRC-0003</x:v>
      </x:c>
      <x:c r="D458" s="12" t="str">
        <x:v>The AppEEARS and TESViS teams should work together to identify datasets and features needed in AppEEARS in order to satisfy TESViS capabilities and look into potentially combining the tools into a single enterprise solution.</x:v>
      </x:c>
      <x:c r="E458" s="12" t="str">
        <x:v>The AppEEARS and TESViS teams should work together to identify datasets and features needed in AppEEARS in order to satisfy TESViS capabilities and look into potentially combining the tools into a single enterprise solution.</x:v>
      </x:c>
      <x:c r="F458" s="12" t="str">
        <x:v>Key Takeaway</x:v>
      </x:c>
      <x:c r="G458" s="12" t="str">
        <x:v>LP DAAC User Working Group</x:v>
      </x:c>
      <x:c r="H458" s="12" t="n">
        <x:v>2023</x:v>
      </x:c>
      <x:c r="I458" s="12" t="str">
        <x:v>Earthdata users</x:v>
      </x:c>
      <x:c r="J458" s="12" t="str">
        <x:v>High</x:v>
      </x:c>
      <x:c r="K458" s="16" t="n">
        <x:v>0.75</x:v>
      </x:c>
      <x:c r="L458" s="12" t="str">
        <x:v>LSA similarity cluster; human review pending</x:v>
      </x:c>
      <x:c r="M458" s="12" t="str">
        <x:v>Section: 8.5.2 Joint LP DAAC – ORNL DAAC Annual UWG Meeting Key Takeaways</x:v>
      </x:c>
      <x:c r="N458" s="12" t="str"/>
      <x:c r="O458" s="12" t="str">
        <x:v>No</x:v>
      </x:c>
      <x:c r="P458" s="12" t="str">
        <x:v>No</x:v>
      </x:c>
      <x:c r="Q458" s="12"/>
      <x:c r="R458" s="12"/>
    </x:row>
    <x:row r="459">
      <x:c r="A459" s="12" t="str">
        <x:v>EVD-00458</x:v>
      </x:c>
      <x:c r="B459" s="12" t="str">
        <x:v>NEED-0134</x:v>
      </x:c>
      <x:c r="C459" s="12" t="str">
        <x:v>SRC-0003</x:v>
      </x:c>
      <x:c r="D459" s="12" t="str">
        <x:v>There is interest in exploring the incorporation of GEDI data into the OpenAltimetry platform.</x:v>
      </x:c>
      <x:c r="E459" s="12" t="str">
        <x:v>There is interest in exploring the incorporation of GEDI data into the OpenAltimetry platform.</x:v>
      </x:c>
      <x:c r="F459" s="12" t="str">
        <x:v>Key Takeaway</x:v>
      </x:c>
      <x:c r="G459" s="12" t="str">
        <x:v>LP DAAC User Working Group</x:v>
      </x:c>
      <x:c r="H459" s="12" t="n">
        <x:v>2023</x:v>
      </x:c>
      <x:c r="I459" s="12" t="str">
        <x:v>Earthdata users</x:v>
      </x:c>
      <x:c r="J459" s="12" t="str">
        <x:v>Medium</x:v>
      </x:c>
      <x:c r="K459" s="16" t="n">
        <x:v>0.75</x:v>
      </x:c>
      <x:c r="L459" s="12" t="str">
        <x:v>LSA similarity cluster; human review pending</x:v>
      </x:c>
      <x:c r="M459" s="12" t="str">
        <x:v>Section: 8.5.2 Joint LP DAAC – ORNL DAAC Annual UWG Meeting Key Takeaways</x:v>
      </x:c>
      <x:c r="N459" s="12" t="str"/>
      <x:c r="O459" s="12" t="str">
        <x:v>No</x:v>
      </x:c>
      <x:c r="P459" s="12" t="str">
        <x:v>No</x:v>
      </x:c>
      <x:c r="Q459" s="12"/>
      <x:c r="R459" s="12"/>
    </x:row>
    <x:row r="460">
      <x:c r="A460" s="12" t="str">
        <x:v>EVD-00459</x:v>
      </x:c>
      <x:c r="B460" s="12" t="str">
        <x:v>NEED-0032</x:v>
      </x:c>
      <x:c r="C460" s="12" t="str">
        <x:v>SRC-0003</x:v>
      </x:c>
      <x:c r="D460" s="12" t="str">
        <x:v>The LP DAAC should promote and increase the visibility of the earthaccess python package. It is a useful but lesser-known resource provided by EOSDIS.</x:v>
      </x:c>
      <x:c r="E460" s="12" t="str">
        <x:v>The LP DAAC should promote and increase the visibility of the earthaccess python package. It is a useful but lesser-known resource provided by EOSDIS.</x:v>
      </x:c>
      <x:c r="F460" s="12" t="str">
        <x:v>Key Takeaway</x:v>
      </x:c>
      <x:c r="G460" s="12" t="str">
        <x:v>LP DAAC User Working Group</x:v>
      </x:c>
      <x:c r="H460" s="12" t="n">
        <x:v>2023</x:v>
      </x:c>
      <x:c r="I460" s="12" t="str">
        <x:v>Application developers</x:v>
      </x:c>
      <x:c r="J460" s="12" t="str">
        <x:v>High</x:v>
      </x:c>
      <x:c r="K460" s="16" t="n">
        <x:v>0.75</x:v>
      </x:c>
      <x:c r="L460" s="12" t="str">
        <x:v>LSA similarity cluster; human review pending</x:v>
      </x:c>
      <x:c r="M460" s="12" t="str">
        <x:v>Section: 8.5.2 Joint LP DAAC – ORNL DAAC Annual UWG Meeting Key Takeaways</x:v>
      </x:c>
      <x:c r="N460" s="12" t="str"/>
      <x:c r="O460" s="12" t="str">
        <x:v>No</x:v>
      </x:c>
      <x:c r="P460" s="12" t="str">
        <x:v>No</x:v>
      </x:c>
      <x:c r="Q460" s="12"/>
      <x:c r="R460" s="12"/>
    </x:row>
    <x:row r="461">
      <x:c r="A461" s="12" t="str">
        <x:v>EVD-00460</x:v>
      </x:c>
      <x:c r="B461" s="12" t="str">
        <x:v>NEED-0144</x:v>
      </x:c>
      <x:c r="C461" s="12" t="str">
        <x:v>SRC-0003</x:v>
      </x:c>
      <x:c r="D461" s="12" t="str">
        <x:v>The UWG is interested in using VEDA for education and outreach and would like to know which products will be made available in the platform.</x:v>
      </x:c>
      <x:c r="E461" s="12" t="str">
        <x:v>The UWG is interested in using VEDA for education and outreach and would like to know which products will be made available in the platform.</x:v>
      </x:c>
      <x:c r="F461" s="12" t="str">
        <x:v>Key Takeaway</x:v>
      </x:c>
      <x:c r="G461" s="12" t="str">
        <x:v>LP DAAC User Working Group</x:v>
      </x:c>
      <x:c r="H461" s="12" t="n">
        <x:v>2023</x:v>
      </x:c>
      <x:c r="I461" s="12" t="str">
        <x:v>Educators and trainers</x:v>
      </x:c>
      <x:c r="J461" s="12" t="str">
        <x:v>Medium</x:v>
      </x:c>
      <x:c r="K461" s="16" t="n">
        <x:v>0.75</x:v>
      </x:c>
      <x:c r="L461" s="12" t="str">
        <x:v>LSA similarity cluster; human review pending</x:v>
      </x:c>
      <x:c r="M461" s="12" t="str">
        <x:v>Section: 8.5.2 Joint LP DAAC – ORNL DAAC Annual UWG Meeting Key Takeaways</x:v>
      </x:c>
      <x:c r="N461" s="12" t="str"/>
      <x:c r="O461" s="12" t="str">
        <x:v>No</x:v>
      </x:c>
      <x:c r="P461" s="12" t="str">
        <x:v>No</x:v>
      </x:c>
      <x:c r="Q461" s="12"/>
      <x:c r="R461" s="12"/>
    </x:row>
    <x:row r="462">
      <x:c r="A462" s="12" t="str">
        <x:v>EVD-00461</x:v>
      </x:c>
      <x:c r="B462" s="12" t="str">
        <x:v>NEED-0126</x:v>
      </x:c>
      <x:c r="C462" s="12" t="str">
        <x:v>SRC-0003</x:v>
      </x:c>
      <x:c r="D462" s="12" t="str">
        <x:v>There was considerable discussion on Flight Catalog and CASEI. The UWG seemed very interested in the capabilities of the Flight Catalog.</x:v>
      </x:c>
      <x:c r="E462" s="12" t="str">
        <x:v>There was considerable discussion on Flight Catalog and CASEI. The UWG seemed very interested in the capabilities of the Flight Catalog.</x:v>
      </x:c>
      <x:c r="F462" s="12" t="str">
        <x:v>Key Takeaway</x:v>
      </x:c>
      <x:c r="G462" s="12" t="str">
        <x:v>LP DAAC User Working Group</x:v>
      </x:c>
      <x:c r="H462" s="12" t="n">
        <x:v>2023</x:v>
      </x:c>
      <x:c r="I462" s="12" t="str">
        <x:v>Earthdata users</x:v>
      </x:c>
      <x:c r="J462" s="12" t="str">
        <x:v>Medium</x:v>
      </x:c>
      <x:c r="K462" s="16" t="n">
        <x:v>0.75</x:v>
      </x:c>
      <x:c r="L462" s="12" t="str">
        <x:v>LSA similarity cluster; human review pending</x:v>
      </x:c>
      <x:c r="M462" s="12" t="str">
        <x:v>Section: 8.5.2 Joint LP DAAC – ORNL DAAC Annual UWG Meeting Key Takeaways</x:v>
      </x:c>
      <x:c r="N462" s="12" t="str"/>
      <x:c r="O462" s="12" t="str">
        <x:v>No</x:v>
      </x:c>
      <x:c r="P462" s="12" t="str">
        <x:v>No</x:v>
      </x:c>
      <x:c r="Q462" s="12"/>
      <x:c r="R462" s="12"/>
    </x:row>
    <x:row r="463">
      <x:c r="A463" s="12" t="str">
        <x:v>EVD-00462</x:v>
      </x:c>
      <x:c r="B463" s="12" t="str">
        <x:v>NEED-0130</x:v>
      </x:c>
      <x:c r="C463" s="12" t="str">
        <x:v>SRC-0003</x:v>
      </x:c>
      <x:c r="D463" s="12" t="str">
        <x:v>There is a need for an automated, enterprise solution for publication tracking as current practices include labor intensive queries on a DAAC-by-DAAC basis.</x:v>
      </x:c>
      <x:c r="E463" s="12" t="str">
        <x:v>There is a need for an automated, enterprise solution for publication tracking as current practices include labor intensive queries on a DAAC-by-DAAC basis.</x:v>
      </x:c>
      <x:c r="F463" s="12" t="str">
        <x:v>Key Takeaway</x:v>
      </x:c>
      <x:c r="G463" s="12" t="str">
        <x:v>LP DAAC User Working Group</x:v>
      </x:c>
      <x:c r="H463" s="12" t="n">
        <x:v>2023</x:v>
      </x:c>
      <x:c r="I463" s="12" t="str">
        <x:v>Data producers and mission teams</x:v>
      </x:c>
      <x:c r="J463" s="12" t="str">
        <x:v>High</x:v>
      </x:c>
      <x:c r="K463" s="16" t="n">
        <x:v>0.75</x:v>
      </x:c>
      <x:c r="L463" s="12" t="str">
        <x:v>LSA similarity cluster; human review pending</x:v>
      </x:c>
      <x:c r="M463" s="12" t="str">
        <x:v>Section: 8.5.2 Joint LP DAAC – ORNL DAAC Annual UWG Meeting Key Takeaways</x:v>
      </x:c>
      <x:c r="N463" s="12" t="str"/>
      <x:c r="O463" s="12" t="str">
        <x:v>No</x:v>
      </x:c>
      <x:c r="P463" s="12" t="str">
        <x:v>No</x:v>
      </x:c>
      <x:c r="Q463" s="12"/>
      <x:c r="R463" s="12"/>
    </x:row>
    <x:row r="464">
      <x:c r="A464" s="12" t="str">
        <x:v>EVD-00463</x:v>
      </x:c>
      <x:c r="B464" s="12" t="str">
        <x:v>NEED-0134</x:v>
      </x:c>
      <x:c r="C464" s="12" t="str">
        <x:v>SRC-0003</x:v>
      </x:c>
      <x:c r="D464" s="12" t="str">
        <x:v>The UWG would like the ability to have an avenue to contact DAACs directly once web unification is complete vs. simply being directed to the NASA Earthdata Forum.</x:v>
      </x:c>
      <x:c r="E464" s="12" t="str">
        <x:v>The UWG would like the ability to have an avenue to contact DAACs directly once web unification is complete vs. simply being directed to the NASA Earthdata Forum.</x:v>
      </x:c>
      <x:c r="F464" s="12" t="str">
        <x:v>Key Takeaway</x:v>
      </x:c>
      <x:c r="G464" s="12" t="str">
        <x:v>LP DAAC User Working Group</x:v>
      </x:c>
      <x:c r="H464" s="12" t="n">
        <x:v>2023</x:v>
      </x:c>
      <x:c r="I464" s="12" t="str">
        <x:v>Earthdata users</x:v>
      </x:c>
      <x:c r="J464" s="12" t="str">
        <x:v>Medium</x:v>
      </x:c>
      <x:c r="K464" s="16" t="n">
        <x:v>0.75</x:v>
      </x:c>
      <x:c r="L464" s="12" t="str">
        <x:v>LSA similarity cluster; human review pending</x:v>
      </x:c>
      <x:c r="M464" s="12" t="str">
        <x:v>Section: 8.5.2 Joint LP DAAC – ORNL DAAC Annual UWG Meeting Key Takeaways</x:v>
      </x:c>
      <x:c r="N464" s="12" t="str"/>
      <x:c r="O464" s="12" t="str">
        <x:v>No</x:v>
      </x:c>
      <x:c r="P464" s="12" t="str">
        <x:v>No</x:v>
      </x:c>
      <x:c r="Q464" s="12"/>
      <x:c r="R464" s="12"/>
    </x:row>
    <x:row r="465">
      <x:c r="A465" s="12" t="str">
        <x:v>EVD-00464</x:v>
      </x:c>
      <x:c r="B465" s="12" t="str">
        <x:v>NEED-0001</x:v>
      </x:c>
      <x:c r="C465" s="12" t="str">
        <x:v>SRC-0003</x:v>
      </x:c>
      <x:c r="D465" s="12" t="str">
        <x:v>There is a need to engage with Google Earth Engine (GEE) and other “re-hosters” of LP DAAC data (Microsoft Planetary Computer, AWS, ESRI, etc.) to ensure they are performing data stewardship best practices.</x:v>
      </x:c>
      <x:c r="E465" s="12" t="str">
        <x:v>There is a need to engage with Google Earth Engine (GEE) and other “re-hosters” of LP DAAC data (Microsoft Planetary Computer, AWS, ESRI, etc.) to ensure they are performing data stewardship best practices.</x:v>
      </x:c>
      <x:c r="F465" s="12" t="str">
        <x:v>Key Takeaway</x:v>
      </x:c>
      <x:c r="G465" s="12" t="str">
        <x:v>LP DAAC User Working Group</x:v>
      </x:c>
      <x:c r="H465" s="12" t="n">
        <x:v>2023</x:v>
      </x:c>
      <x:c r="I465" s="12" t="str">
        <x:v>Cloud-native researchers</x:v>
      </x:c>
      <x:c r="J465" s="12" t="str">
        <x:v>High</x:v>
      </x:c>
      <x:c r="K465" s="16" t="n">
        <x:v>0.75</x:v>
      </x:c>
      <x:c r="L465" s="12" t="str">
        <x:v>LSA similarity cluster; human review pending</x:v>
      </x:c>
      <x:c r="M465" s="12" t="str">
        <x:v>Section: 8.5.2 Joint LP DAAC – ORNL DAAC Annual UWG Meeting Key Takeaways</x:v>
      </x:c>
      <x:c r="N465" s="12" t="str"/>
      <x:c r="O465" s="12" t="str">
        <x:v>No</x:v>
      </x:c>
      <x:c r="P465" s="12" t="str">
        <x:v>No</x:v>
      </x:c>
      <x:c r="Q465" s="12"/>
      <x:c r="R465" s="12"/>
    </x:row>
    <x:row r="466">
      <x:c r="A466" s="12" t="str">
        <x:v>EVD-00465</x:v>
      </x:c>
      <x:c r="B466" s="12" t="str">
        <x:v>NEED-0011</x:v>
      </x:c>
      <x:c r="C466" s="12" t="str">
        <x:v>SRC-0003</x:v>
      </x:c>
      <x:c r="D466" s="12" t="str">
        <x:v>There is a need to explore current (freely available) commercial cloud compute options and investigate capabilities.</x:v>
      </x:c>
      <x:c r="E466" s="12" t="str">
        <x:v>There is a need to explore current (freely available) commercial cloud compute options and investigate capabilities.</x:v>
      </x:c>
      <x:c r="F466" s="12" t="str">
        <x:v>Key Takeaway</x:v>
      </x:c>
      <x:c r="G466" s="12" t="str">
        <x:v>LP DAAC User Working Group</x:v>
      </x:c>
      <x:c r="H466" s="12" t="n">
        <x:v>2023</x:v>
      </x:c>
      <x:c r="I466" s="12" t="str">
        <x:v>Cloud-native researchers</x:v>
      </x:c>
      <x:c r="J466" s="12" t="str">
        <x:v>High</x:v>
      </x:c>
      <x:c r="K466" s="16" t="n">
        <x:v>0.75</x:v>
      </x:c>
      <x:c r="L466" s="12" t="str">
        <x:v>LSA similarity cluster; human review pending</x:v>
      </x:c>
      <x:c r="M466" s="12" t="str">
        <x:v>Section: 8.5.2 Joint LP DAAC – ORNL DAAC Annual UWG Meeting Key Takeaways</x:v>
      </x:c>
      <x:c r="N466" s="12" t="str"/>
      <x:c r="O466" s="12" t="str">
        <x:v>No</x:v>
      </x:c>
      <x:c r="P466" s="12" t="str">
        <x:v>No</x:v>
      </x:c>
      <x:c r="Q466" s="12"/>
      <x:c r="R466" s="12"/>
    </x:row>
    <x:row r="467">
      <x:c r="A467" s="12" t="str">
        <x:v>EVD-00466</x:v>
      </x:c>
      <x:c r="B467" s="12" t="str">
        <x:v>NEED-0125</x:v>
      </x:c>
      <x:c r="C467" s="12" t="str">
        <x:v>SRC-0003</x:v>
      </x:c>
      <x:c r="D467" s="12" t="str">
        <x:v>No one likes downtime, but it is understood that there are instances where downtime is inevitable. However, weekly downtime on weekdays during core working hours is undesirable.</x:v>
      </x:c>
      <x:c r="E467" s="12" t="str">
        <x:v>No one likes downtime, but it is understood that there are instances where downtime is inevitable. However, weekly downtime on weekdays during core working hours is undesirable.</x:v>
      </x:c>
      <x:c r="F467" s="12" t="str">
        <x:v>Key Takeaway</x:v>
      </x:c>
      <x:c r="G467" s="12" t="str">
        <x:v>LP DAAC User Working Group</x:v>
      </x:c>
      <x:c r="H467" s="12" t="n">
        <x:v>2023</x:v>
      </x:c>
      <x:c r="I467" s="12" t="str">
        <x:v>Earthdata users</x:v>
      </x:c>
      <x:c r="J467" s="12" t="str">
        <x:v>Medium</x:v>
      </x:c>
      <x:c r="K467" s="16" t="n">
        <x:v>0.75</x:v>
      </x:c>
      <x:c r="L467" s="12" t="str">
        <x:v>LSA similarity cluster; human review pending</x:v>
      </x:c>
      <x:c r="M467" s="12" t="str">
        <x:v>Section: 8.5.2 Joint LP DAAC – ORNL DAAC Annual UWG Meeting Key Takeaways</x:v>
      </x:c>
      <x:c r="N467" s="12" t="str"/>
      <x:c r="O467" s="12" t="str">
        <x:v>No</x:v>
      </x:c>
      <x:c r="P467" s="12" t="str">
        <x:v>No</x:v>
      </x:c>
      <x:c r="Q467" s="12"/>
      <x:c r="R467" s="12"/>
    </x:row>
    <x:row r="468">
      <x:c r="A468" s="12" t="str">
        <x:v>EVD-00467</x:v>
      </x:c>
      <x:c r="B468" s="12" t="str">
        <x:v>NEED-0137</x:v>
      </x:c>
      <x:c r="C468" s="12" t="str">
        <x:v>SRC-0003</x:v>
      </x:c>
      <x:c r="D468" s="12" t="str">
        <x:v>There is a need to bolster expertise in the areas of lidar, imaging spectroscopy, and AI/ML.</x:v>
      </x:c>
      <x:c r="E468" s="12" t="str">
        <x:v>There is a need to bolster expertise in the areas of lidar, imaging spectroscopy, and AI/ML.</x:v>
      </x:c>
      <x:c r="F468" s="12" t="str">
        <x:v>Key Takeaway</x:v>
      </x:c>
      <x:c r="G468" s="12" t="str">
        <x:v>LP DAAC User Working Group</x:v>
      </x:c>
      <x:c r="H468" s="12" t="n">
        <x:v>2023</x:v>
      </x:c>
      <x:c r="I468" s="12" t="str">
        <x:v>Earthdata users</x:v>
      </x:c>
      <x:c r="J468" s="12" t="str">
        <x:v>High</x:v>
      </x:c>
      <x:c r="K468" s="16" t="n">
        <x:v>0.75</x:v>
      </x:c>
      <x:c r="L468" s="12" t="str">
        <x:v>LSA similarity cluster; human review pending</x:v>
      </x:c>
      <x:c r="M468" s="12" t="str">
        <x:v>Section: 8.5.2 Joint LP DAAC – ORNL DAAC Annual UWG Meeting Key Takeaways</x:v>
      </x:c>
      <x:c r="N468" s="12" t="str"/>
      <x:c r="O468" s="12" t="str">
        <x:v>No</x:v>
      </x:c>
      <x:c r="P468" s="12" t="str">
        <x:v>No</x:v>
      </x:c>
      <x:c r="Q468" s="12"/>
      <x:c r="R468" s="12"/>
    </x:row>
    <x:row r="469">
      <x:c r="A469" s="12" t="str">
        <x:v>EVD-00468</x:v>
      </x:c>
      <x:c r="B469" s="12" t="str">
        <x:v>NEED-0011</x:v>
      </x:c>
      <x:c r="C469" s="12" t="str">
        <x:v>SRC-0003</x:v>
      </x:c>
      <x:c r="D469" s="12" t="str">
        <x:v>The UWG noted that it can be difficult to identify and differentiate one DAAC from another, and there exists a need for better communication on the identity of each EOSDIS DAAC. This will become increasingly important in the era of the Earthdata Cloud and Web Unification.</x:v>
      </x:c>
      <x:c r="E469" s="12" t="str">
        <x:v>The UWG noted that it can be difficult to identify and differentiate one DAAC from another, and there exists a need for better communication on the identity of each EOSDIS DAAC. This will become increasingly important in the era of the Earthdata Cloud and Web Unification.</x:v>
      </x:c>
      <x:c r="F469" s="12" t="str">
        <x:v>Key Takeaway</x:v>
      </x:c>
      <x:c r="G469" s="12" t="str">
        <x:v>LP DAAC User Working Group</x:v>
      </x:c>
      <x:c r="H469" s="12" t="n">
        <x:v>2023</x:v>
      </x:c>
      <x:c r="I469" s="12" t="str">
        <x:v>Cloud-native researchers</x:v>
      </x:c>
      <x:c r="J469" s="12" t="str">
        <x:v>High</x:v>
      </x:c>
      <x:c r="K469" s="16" t="n">
        <x:v>0.75</x:v>
      </x:c>
      <x:c r="L469" s="12" t="str">
        <x:v>LSA similarity cluster; human review pending</x:v>
      </x:c>
      <x:c r="M469" s="12" t="str">
        <x:v>Section: 8.5.2 Joint LP DAAC – ORNL DAAC Annual UWG Meeting Key Takeaways</x:v>
      </x:c>
      <x:c r="N469" s="12" t="str"/>
      <x:c r="O469" s="12" t="str">
        <x:v>No</x:v>
      </x:c>
      <x:c r="P469" s="12" t="str">
        <x:v>No</x:v>
      </x:c>
      <x:c r="Q469" s="12"/>
      <x:c r="R469" s="12"/>
    </x:row>
    <x:row r="470">
      <x:c r="A470" s="12" t="str">
        <x:v>EVD-00469</x:v>
      </x:c>
      <x:c r="B470" s="12" t="str">
        <x:v>NEED-0208</x:v>
      </x:c>
      <x:c r="C470" s="12" t="str">
        <x:v>SRC-0003</x:v>
      </x:c>
      <x:c r="D470" s="12" t="str">
        <x:v>DAACs need to maintain their connections between the data providers and user communities that they support.</x:v>
      </x:c>
      <x:c r="E470" s="12" t="str">
        <x:v>DAACs need to maintain their connections between the data providers and user communities that they support.</x:v>
      </x:c>
      <x:c r="F470" s="12" t="str">
        <x:v>Key Takeaway</x:v>
      </x:c>
      <x:c r="G470" s="12" t="str">
        <x:v>LP DAAC User Working Group</x:v>
      </x:c>
      <x:c r="H470" s="12" t="n">
        <x:v>2023</x:v>
      </x:c>
      <x:c r="I470" s="12" t="str">
        <x:v>Earthdata users</x:v>
      </x:c>
      <x:c r="J470" s="12" t="str">
        <x:v>High</x:v>
      </x:c>
      <x:c r="K470" s="16" t="n">
        <x:v>0.75</x:v>
      </x:c>
      <x:c r="L470" s="12" t="str">
        <x:v>LSA similarity cluster; human review pending</x:v>
      </x:c>
      <x:c r="M470" s="12" t="str">
        <x:v>Section: 8.5.2 Joint LP DAAC – ORNL DAAC Annual UWG Meeting Key Takeaways</x:v>
      </x:c>
      <x:c r="N470" s="12" t="str"/>
      <x:c r="O470" s="12" t="str">
        <x:v>No</x:v>
      </x:c>
      <x:c r="P470" s="12" t="str">
        <x:v>No</x:v>
      </x:c>
      <x:c r="Q470" s="12"/>
      <x:c r="R470" s="12"/>
    </x:row>
    <x:row r="471">
      <x:c r="A471" s="12" t="str">
        <x:v>EVD-00470</x:v>
      </x:c>
      <x:c r="B471" s="12" t="str">
        <x:v>NEED-0124</x:v>
      </x:c>
      <x:c r="C471" s="12" t="str">
        <x:v>SRC-0003</x:v>
      </x:c>
      <x:c r="D471" s="12" t="str">
        <x:v>Schedule a mid-year virtual update UWG meeting for winter 2024 and an annual in-person UWG meeting for summer 2024.</x:v>
      </x:c>
      <x:c r="E471" s="12" t="str">
        <x:v>Schedule a mid-year virtual update UWG meeting for winter 2024 and an annual in-person UWG meeting for summer 2024.</x:v>
      </x:c>
      <x:c r="F471" s="12" t="str">
        <x:v>Action</x:v>
      </x:c>
      <x:c r="G471" s="12" t="str">
        <x:v>LP DAAC User Working Group</x:v>
      </x:c>
      <x:c r="H471" s="12" t="n">
        <x:v>2023</x:v>
      </x:c>
      <x:c r="I471" s="12" t="str">
        <x:v>Earthdata users</x:v>
      </x:c>
      <x:c r="J471" s="12" t="str">
        <x:v>Medium</x:v>
      </x:c>
      <x:c r="K471" s="16" t="n">
        <x:v>0.75</x:v>
      </x:c>
      <x:c r="L471" s="12" t="str">
        <x:v>LSA similarity cluster; human review pending</x:v>
      </x:c>
      <x:c r="M471" s="12" t="str">
        <x:v>Section: 8.5.3 Joint LP DAAC – ORNL DAAC Annual UWG Meeting Action Items</x:v>
      </x:c>
      <x:c r="N471" s="12" t="str"/>
      <x:c r="O471" s="12" t="str">
        <x:v>No</x:v>
      </x:c>
      <x:c r="P471" s="12" t="str">
        <x:v>No</x:v>
      </x:c>
      <x:c r="Q471" s="12"/>
      <x:c r="R471" s="12"/>
    </x:row>
    <x:row r="472">
      <x:c r="A472" s="12" t="str">
        <x:v>EVD-00471</x:v>
      </x:c>
      <x:c r="B472" s="12" t="str">
        <x:v>NEED-0124</x:v>
      </x:c>
      <x:c r="C472" s="12" t="str">
        <x:v>SRC-0003</x:v>
      </x:c>
      <x:c r="D472" s="12" t="str">
        <x:v>Identify a new UWG co-chair for 2024.</x:v>
      </x:c>
      <x:c r="E472" s="12" t="str">
        <x:v>Identify a new UWG co-chair for 2024.</x:v>
      </x:c>
      <x:c r="F472" s="12" t="str">
        <x:v>Action</x:v>
      </x:c>
      <x:c r="G472" s="12" t="str">
        <x:v>LP DAAC User Working Group</x:v>
      </x:c>
      <x:c r="H472" s="12" t="n">
        <x:v>2023</x:v>
      </x:c>
      <x:c r="I472" s="12" t="str">
        <x:v>Earthdata users</x:v>
      </x:c>
      <x:c r="J472" s="12" t="str">
        <x:v>Medium</x:v>
      </x:c>
      <x:c r="K472" s="16" t="n">
        <x:v>0.75</x:v>
      </x:c>
      <x:c r="L472" s="12" t="str">
        <x:v>LSA similarity cluster; human review pending</x:v>
      </x:c>
      <x:c r="M472" s="12" t="str">
        <x:v>Section: 8.5.3 Joint LP DAAC – ORNL DAAC Annual UWG Meeting Action Items</x:v>
      </x:c>
      <x:c r="N472" s="12" t="str"/>
      <x:c r="O472" s="12" t="str">
        <x:v>No</x:v>
      </x:c>
      <x:c r="P472" s="12" t="str">
        <x:v>No</x:v>
      </x:c>
      <x:c r="Q472" s="12"/>
      <x:c r="R472" s="12"/>
    </x:row>
    <x:row r="473">
      <x:c r="A473" s="12" t="str">
        <x:v>EVD-00472</x:v>
      </x:c>
      <x:c r="B473" s="12" t="str">
        <x:v>NEED-0103</x:v>
      </x:c>
      <x:c r="C473" s="12" t="str">
        <x:v>SRC-0003</x:v>
      </x:c>
      <x:c r="D473" s="12" t="str">
        <x:v>Identify lessons learned from SISTER on standard practices for labeling data not intended for scientific use.</x:v>
      </x:c>
      <x:c r="E473" s="12" t="str">
        <x:v>Identify lessons learned from SISTER on standard practices for labeling data not intended for scientific use.</x:v>
      </x:c>
      <x:c r="F473" s="12" t="str">
        <x:v>Action</x:v>
      </x:c>
      <x:c r="G473" s="12" t="str">
        <x:v>LP DAAC User Working Group</x:v>
      </x:c>
      <x:c r="H473" s="12" t="n">
        <x:v>2023</x:v>
      </x:c>
      <x:c r="I473" s="12" t="str">
        <x:v>Earthdata users</x:v>
      </x:c>
      <x:c r="J473" s="12" t="str">
        <x:v>Medium</x:v>
      </x:c>
      <x:c r="K473" s="16" t="n">
        <x:v>0.75</x:v>
      </x:c>
      <x:c r="L473" s="12" t="str">
        <x:v>LSA similarity cluster; human review pending</x:v>
      </x:c>
      <x:c r="M473" s="12" t="str">
        <x:v>Section: 8.5.3 Joint LP DAAC – ORNL DAAC Annual UWG Meeting Action Items</x:v>
      </x:c>
      <x:c r="N473" s="12" t="str"/>
      <x:c r="O473" s="12" t="str">
        <x:v>No</x:v>
      </x:c>
      <x:c r="P473" s="12" t="str">
        <x:v>No</x:v>
      </x:c>
      <x:c r="Q473" s="12"/>
      <x:c r="R473" s="12"/>
    </x:row>
    <x:row r="474">
      <x:c r="A474" s="12" t="str">
        <x:v>EVD-00473</x:v>
      </x:c>
      <x:c r="B474" s="12" t="str">
        <x:v>NEED-0026</x:v>
      </x:c>
      <x:c r="C474" s="12" t="str">
        <x:v>SRC-0003</x:v>
      </x:c>
      <x:c r="D474" s="12" t="str">
        <x:v>Submit Accession Proposal to NASA ESDIS/ESDS for approval to support the LPJ-R2O Simulated Global Greenhouse Gas Emissions Products.</x:v>
      </x:c>
      <x:c r="E474" s="12" t="str">
        <x:v>Submit Accession Proposal to NASA ESDIS/ESDS for approval to support the LPJ-R2O Simulated Global Greenhouse Gas Emissions Products.</x:v>
      </x:c>
      <x:c r="F474" s="12" t="str">
        <x:v>Action</x:v>
      </x:c>
      <x:c r="G474" s="12" t="str">
        <x:v>LP DAAC User Working Group</x:v>
      </x:c>
      <x:c r="H474" s="12" t="n">
        <x:v>2023</x:v>
      </x:c>
      <x:c r="I474" s="12" t="str">
        <x:v>Data producers and mission teams</x:v>
      </x:c>
      <x:c r="J474" s="12" t="str">
        <x:v>High</x:v>
      </x:c>
      <x:c r="K474" s="16" t="n">
        <x:v>0.75</x:v>
      </x:c>
      <x:c r="L474" s="12" t="str">
        <x:v>LSA similarity cluster; human review pending</x:v>
      </x:c>
      <x:c r="M474" s="12" t="str">
        <x:v>Section: 8.5.3 Joint LP DAAC – ORNL DAAC Annual UWG Meeting Action Items</x:v>
      </x:c>
      <x:c r="N474" s="12" t="str"/>
      <x:c r="O474" s="12" t="str">
        <x:v>No</x:v>
      </x:c>
      <x:c r="P474" s="12" t="str">
        <x:v>No</x:v>
      </x:c>
      <x:c r="Q474" s="12"/>
      <x:c r="R474" s="12"/>
    </x:row>
    <x:row r="475">
      <x:c r="A475" s="12" t="str">
        <x:v>EVD-00474</x:v>
      </x:c>
      <x:c r="B475" s="12" t="str">
        <x:v>NEED-0137</x:v>
      </x:c>
      <x:c r="C475" s="12" t="str">
        <x:v>SRC-0003</x:v>
      </x:c>
      <x:c r="D475" s="12" t="str">
        <x:v>Identify when the LP DAAC should begin Earthdata Pub integration using the SAFe/PI Planning process.</x:v>
      </x:c>
      <x:c r="E475" s="12" t="str">
        <x:v>Identify when the LP DAAC should begin Earthdata Pub integration using the SAFe/PI Planning process.</x:v>
      </x:c>
      <x:c r="F475" s="12" t="str">
        <x:v>Action</x:v>
      </x:c>
      <x:c r="G475" s="12" t="str">
        <x:v>LP DAAC User Working Group</x:v>
      </x:c>
      <x:c r="H475" s="12" t="n">
        <x:v>2023</x:v>
      </x:c>
      <x:c r="I475" s="12" t="str">
        <x:v>Earthdata users</x:v>
      </x:c>
      <x:c r="J475" s="12" t="str">
        <x:v>High</x:v>
      </x:c>
      <x:c r="K475" s="16" t="n">
        <x:v>0.75</x:v>
      </x:c>
      <x:c r="L475" s="12" t="str">
        <x:v>LSA similarity cluster; human review pending</x:v>
      </x:c>
      <x:c r="M475" s="12" t="str">
        <x:v>Section: 8.5.3 Joint LP DAAC – ORNL DAAC Annual UWG Meeting Action Items</x:v>
      </x:c>
      <x:c r="N475" s="12" t="str"/>
      <x:c r="O475" s="12" t="str">
        <x:v>No</x:v>
      </x:c>
      <x:c r="P475" s="12" t="str">
        <x:v>No</x:v>
      </x:c>
      <x:c r="Q475" s="12"/>
      <x:c r="R475" s="12"/>
    </x:row>
    <x:row r="476">
      <x:c r="A476" s="12" t="str">
        <x:v>EVD-00475</x:v>
      </x:c>
      <x:c r="B476" s="12" t="str">
        <x:v>NEED-0026</x:v>
      </x:c>
      <x:c r="C476" s="12" t="str">
        <x:v>SRC-0003</x:v>
      </x:c>
      <x:c r="D476" s="12" t="str">
        <x:v>Request a presentation from NASA ESDS/ESDIS on the Accession process for the next LP DAAC UWG meeting.</x:v>
      </x:c>
      <x:c r="E476" s="12" t="str">
        <x:v>Request a presentation from NASA ESDS/ESDIS on the Accession process for the next LP DAAC UWG meeting.</x:v>
      </x:c>
      <x:c r="F476" s="12" t="str">
        <x:v>Action</x:v>
      </x:c>
      <x:c r="G476" s="12" t="str">
        <x:v>LP DAAC User Working Group</x:v>
      </x:c>
      <x:c r="H476" s="12" t="n">
        <x:v>2023</x:v>
      </x:c>
      <x:c r="I476" s="12" t="str">
        <x:v>Earthdata users</x:v>
      </x:c>
      <x:c r="J476" s="12" t="str">
        <x:v>High</x:v>
      </x:c>
      <x:c r="K476" s="16" t="n">
        <x:v>0.75</x:v>
      </x:c>
      <x:c r="L476" s="12" t="str">
        <x:v>LSA similarity cluster; human review pending</x:v>
      </x:c>
      <x:c r="M476" s="12" t="str">
        <x:v>Section: 8.5.3 Joint LP DAAC – ORNL DAAC Annual UWG Meeting Action Items</x:v>
      </x:c>
      <x:c r="N476" s="12" t="str"/>
      <x:c r="O476" s="12" t="str">
        <x:v>No</x:v>
      </x:c>
      <x:c r="P476" s="12" t="str">
        <x:v>No</x:v>
      </x:c>
      <x:c r="Q476" s="12"/>
      <x:c r="R476" s="12"/>
    </x:row>
    <x:row r="477">
      <x:c r="A477" s="12" t="str">
        <x:v>EVD-00476</x:v>
      </x:c>
      <x:c r="B477" s="12" t="str">
        <x:v>NEED-0120</x:v>
      </x:c>
      <x:c r="C477" s="12" t="str">
        <x:v>SRC-0003</x:v>
      </x:c>
      <x:c r="D477" s="12" t="str">
        <x:v>Draft an Open-Source Science Data Management Plan.</x:v>
      </x:c>
      <x:c r="E477" s="12" t="str">
        <x:v>Draft an Open-Source Science Data Management Plan.</x:v>
      </x:c>
      <x:c r="F477" s="12" t="str">
        <x:v>Action</x:v>
      </x:c>
      <x:c r="G477" s="12" t="str">
        <x:v>LP DAAC User Working Group</x:v>
      </x:c>
      <x:c r="H477" s="12" t="n">
        <x:v>2023</x:v>
      </x:c>
      <x:c r="I477" s="12" t="str">
        <x:v>Earthdata users</x:v>
      </x:c>
      <x:c r="J477" s="12" t="str">
        <x:v>Medium</x:v>
      </x:c>
      <x:c r="K477" s="16" t="n">
        <x:v>0.75</x:v>
      </x:c>
      <x:c r="L477" s="12" t="str">
        <x:v>LSA similarity cluster; human review pending</x:v>
      </x:c>
      <x:c r="M477" s="12" t="str">
        <x:v>Section: 8.5.3 Joint LP DAAC – ORNL DAAC Annual UWG Meeting Action Items</x:v>
      </x:c>
      <x:c r="N477" s="12" t="str"/>
      <x:c r="O477" s="12" t="str">
        <x:v>No</x:v>
      </x:c>
      <x:c r="P477" s="12" t="str">
        <x:v>No</x:v>
      </x:c>
      <x:c r="Q477" s="12"/>
      <x:c r="R477" s="12"/>
    </x:row>
    <x:row r="478">
      <x:c r="A478" s="12" t="str">
        <x:v>EVD-00477</x:v>
      </x:c>
      <x:c r="B478" s="12" t="str">
        <x:v>NEED-0205</x:v>
      </x:c>
      <x:c r="C478" s="12" t="str">
        <x:v>SRC-0003</x:v>
      </x:c>
      <x:c r="D478" s="12" t="str">
        <x:v>Attend the LSTM, SBG, and TRISHNA (LST) 2023 Harmonization Workshop.</x:v>
      </x:c>
      <x:c r="E478" s="12" t="str">
        <x:v>Attend the LSTM, SBG, and TRISHNA (LST) 2023 Harmonization Workshop.</x:v>
      </x:c>
      <x:c r="F478" s="12" t="str">
        <x:v>Action</x:v>
      </x:c>
      <x:c r="G478" s="12" t="str">
        <x:v>LP DAAC User Working Group</x:v>
      </x:c>
      <x:c r="H478" s="12" t="n">
        <x:v>2023</x:v>
      </x:c>
      <x:c r="I478" s="12" t="str">
        <x:v>Educators and trainers</x:v>
      </x:c>
      <x:c r="J478" s="12" t="str">
        <x:v>Medium</x:v>
      </x:c>
      <x:c r="K478" s="16" t="n">
        <x:v>0.55</x:v>
      </x:c>
      <x:c r="L478" s="12" t="str">
        <x:v>LSA similarity cluster; human review pending</x:v>
      </x:c>
      <x:c r="M478" s="12" t="str">
        <x:v>Section: 8.5.3 Joint LP DAAC – ORNL DAAC Annual UWG Meeting Action Items</x:v>
      </x:c>
      <x:c r="N478" s="12" t="str"/>
      <x:c r="O478" s="12" t="str">
        <x:v>No</x:v>
      </x:c>
      <x:c r="P478" s="12" t="str">
        <x:v>No</x:v>
      </x:c>
      <x:c r="Q478" s="12"/>
      <x:c r="R478" s="12"/>
    </x:row>
    <x:row r="479">
      <x:c r="A479" s="12" t="str">
        <x:v>EVD-00478</x:v>
      </x:c>
      <x:c r="B479" s="12" t="str">
        <x:v>NEED-0098</x:v>
      </x:c>
      <x:c r="C479" s="12" t="str">
        <x:v>SRC-0003</x:v>
      </x:c>
      <x:c r="D479" s="12" t="str">
        <x:v>Lead the Quarterly SBG ESDIS-EOSDIS Collaboration Meeting.</x:v>
      </x:c>
      <x:c r="E479" s="12" t="str">
        <x:v>Lead the Quarterly SBG ESDIS-EOSDIS Collaboration Meeting.</x:v>
      </x:c>
      <x:c r="F479" s="12" t="str">
        <x:v>Action</x:v>
      </x:c>
      <x:c r="G479" s="12" t="str">
        <x:v>LP DAAC User Working Group</x:v>
      </x:c>
      <x:c r="H479" s="12" t="n">
        <x:v>2023</x:v>
      </x:c>
      <x:c r="I479" s="12" t="str">
        <x:v>Earthdata users</x:v>
      </x:c>
      <x:c r="J479" s="12" t="str">
        <x:v>Medium</x:v>
      </x:c>
      <x:c r="K479" s="16" t="n">
        <x:v>0.75</x:v>
      </x:c>
      <x:c r="L479" s="12" t="str">
        <x:v>LSA similarity cluster; human review pending</x:v>
      </x:c>
      <x:c r="M479" s="12" t="str">
        <x:v>Section: 8.5.3 Joint LP DAAC – ORNL DAAC Annual UWG Meeting Action Items</x:v>
      </x:c>
      <x:c r="N479" s="12" t="str"/>
      <x:c r="O479" s="12" t="str">
        <x:v>No</x:v>
      </x:c>
      <x:c r="P479" s="12" t="str">
        <x:v>No</x:v>
      </x:c>
      <x:c r="Q479" s="12"/>
      <x:c r="R479" s="12"/>
    </x:row>
    <x:row r="480">
      <x:c r="A480" s="12" t="str">
        <x:v>EVD-00479</x:v>
      </x:c>
      <x:c r="B480" s="12" t="str">
        <x:v>NEED-0133</x:v>
      </x:c>
      <x:c r="C480" s="12" t="str">
        <x:v>SRC-0003</x:v>
      </x:c>
      <x:c r="D480" s="12" t="str">
        <x:v>Review EnMAP project resources, identify use for EMIT and other future pre-SBG mission resources and report back to UWG.</x:v>
      </x:c>
      <x:c r="E480" s="12" t="str">
        <x:v>Review EnMAP project resources, identify use for EMIT and other future pre-SBG mission resources and report back to UWG.</x:v>
      </x:c>
      <x:c r="F480" s="12" t="str">
        <x:v>Action</x:v>
      </x:c>
      <x:c r="G480" s="12" t="str">
        <x:v>LP DAAC User Working Group</x:v>
      </x:c>
      <x:c r="H480" s="12" t="n">
        <x:v>2023</x:v>
      </x:c>
      <x:c r="I480" s="12" t="str">
        <x:v>Data producers and mission teams</x:v>
      </x:c>
      <x:c r="J480" s="12" t="str">
        <x:v>Medium</x:v>
      </x:c>
      <x:c r="K480" s="16" t="n">
        <x:v>0.75</x:v>
      </x:c>
      <x:c r="L480" s="12" t="str">
        <x:v>LSA similarity cluster; human review pending</x:v>
      </x:c>
      <x:c r="M480" s="12" t="str">
        <x:v>Section: 8.5.3 Joint LP DAAC – ORNL DAAC Annual UWG Meeting Action Items</x:v>
      </x:c>
      <x:c r="N480" s="12" t="str"/>
      <x:c r="O480" s="12" t="str">
        <x:v>No</x:v>
      </x:c>
      <x:c r="P480" s="12" t="str">
        <x:v>No</x:v>
      </x:c>
      <x:c r="Q480" s="12"/>
      <x:c r="R480" s="12"/>
    </x:row>
    <x:row r="481">
      <x:c r="A481" s="12" t="str">
        <x:v>EVD-00480</x:v>
      </x:c>
      <x:c r="B481" s="12" t="str">
        <x:v>NEED-0197</x:v>
      </x:c>
      <x:c r="C481" s="12" t="str">
        <x:v>SRC-0003</x:v>
      </x:c>
      <x:c r="D481" s="12" t="str">
        <x:v>Co-lead an EMIT-ECOSTRESS Synergies workshop alongside the respective science teams.</x:v>
      </x:c>
      <x:c r="E481" s="12" t="str">
        <x:v>Co-lead an EMIT-ECOSTRESS Synergies workshop alongside the respective science teams.</x:v>
      </x:c>
      <x:c r="F481" s="12" t="str">
        <x:v>Action</x:v>
      </x:c>
      <x:c r="G481" s="12" t="str">
        <x:v>LP DAAC User Working Group</x:v>
      </x:c>
      <x:c r="H481" s="12" t="n">
        <x:v>2023</x:v>
      </x:c>
      <x:c r="I481" s="12" t="str">
        <x:v>Educators and trainers</x:v>
      </x:c>
      <x:c r="J481" s="12" t="str">
        <x:v>Medium</x:v>
      </x:c>
      <x:c r="K481" s="16" t="n">
        <x:v>0.75</x:v>
      </x:c>
      <x:c r="L481" s="12" t="str">
        <x:v>LSA similarity cluster; human review pending</x:v>
      </x:c>
      <x:c r="M481" s="12" t="str">
        <x:v>Section: 8.5.3 Joint LP DAAC – ORNL DAAC Annual UWG Meeting Action Items</x:v>
      </x:c>
      <x:c r="N481" s="12" t="str"/>
      <x:c r="O481" s="12" t="str">
        <x:v>No</x:v>
      </x:c>
      <x:c r="P481" s="12" t="str">
        <x:v>No</x:v>
      </x:c>
      <x:c r="Q481" s="12"/>
      <x:c r="R481" s="12"/>
    </x:row>
    <x:row r="482">
      <x:c r="A482" s="12" t="str">
        <x:v>EVD-00481</x:v>
      </x:c>
      <x:c r="B482" s="12" t="str">
        <x:v>NEED-0047</x:v>
      </x:c>
      <x:c r="C482" s="12" t="str">
        <x:v>SRC-0003</x:v>
      </x:c>
      <x:c r="D482" s="12" t="str">
        <x:v>Co-lead an EMIT-ECOSTRESS Synergies for Research and Applications workshop at the SBG Community Workshop and include integration of airborne and/or in-situ data.</x:v>
      </x:c>
      <x:c r="E482" s="12" t="str">
        <x:v>Co-lead an EMIT-ECOSTRESS Synergies for Research and Applications workshop at the SBG Community Workshop and include integration of airborne and/or in-situ data.</x:v>
      </x:c>
      <x:c r="F482" s="12" t="str">
        <x:v>Action</x:v>
      </x:c>
      <x:c r="G482" s="12" t="str">
        <x:v>LP DAAC User Working Group</x:v>
      </x:c>
      <x:c r="H482" s="12" t="n">
        <x:v>2023</x:v>
      </x:c>
      <x:c r="I482" s="12" t="str">
        <x:v>Educators and trainers; Earth science researchers</x:v>
      </x:c>
      <x:c r="J482" s="12" t="str">
        <x:v>Medium</x:v>
      </x:c>
      <x:c r="K482" s="16" t="n">
        <x:v>0.75</x:v>
      </x:c>
      <x:c r="L482" s="12" t="str">
        <x:v>LSA similarity cluster; human review pending</x:v>
      </x:c>
      <x:c r="M482" s="12" t="str">
        <x:v>Section: 8.5.3 Joint LP DAAC – ORNL DAAC Annual UWG Meeting Action Items</x:v>
      </x:c>
      <x:c r="N482" s="12" t="str"/>
      <x:c r="O482" s="12" t="str">
        <x:v>No</x:v>
      </x:c>
      <x:c r="P482" s="12" t="str">
        <x:v>No</x:v>
      </x:c>
      <x:c r="Q482" s="12"/>
      <x:c r="R482" s="12"/>
    </x:row>
    <x:row r="483">
      <x:c r="A483" s="12" t="str">
        <x:v>EVD-00482</x:v>
      </x:c>
      <x:c r="B483" s="12" t="str">
        <x:v>NEED-0122</x:v>
      </x:c>
      <x:c r="C483" s="12" t="str">
        <x:v>SRC-0003</x:v>
      </x:c>
      <x:c r="D483" s="12" t="str">
        <x:v>Publish the LPJ-PROSAIL Global Simulated Dynamic Surface Reflectance Versions 1-2.</x:v>
      </x:c>
      <x:c r="E483" s="12" t="str">
        <x:v>Publish the LPJ-PROSAIL Global Simulated Dynamic Surface Reflectance Versions 1-2.</x:v>
      </x:c>
      <x:c r="F483" s="12" t="str">
        <x:v>Action</x:v>
      </x:c>
      <x:c r="G483" s="12" t="str">
        <x:v>LP DAAC User Working Group</x:v>
      </x:c>
      <x:c r="H483" s="12" t="n">
        <x:v>2023</x:v>
      </x:c>
      <x:c r="I483" s="12" t="str">
        <x:v>Earthdata users</x:v>
      </x:c>
      <x:c r="J483" s="12" t="str">
        <x:v>Medium</x:v>
      </x:c>
      <x:c r="K483" s="16" t="n">
        <x:v>0.75</x:v>
      </x:c>
      <x:c r="L483" s="12" t="str">
        <x:v>LSA similarity cluster; human review pending</x:v>
      </x:c>
      <x:c r="M483" s="12" t="str">
        <x:v>Section: 8.5.3 Joint LP DAAC – ORNL DAAC Annual UWG Meeting Action Items</x:v>
      </x:c>
      <x:c r="N483" s="12" t="str"/>
      <x:c r="O483" s="12" t="str">
        <x:v>No</x:v>
      </x:c>
      <x:c r="P483" s="12" t="str">
        <x:v>No</x:v>
      </x:c>
      <x:c r="Q483" s="12"/>
      <x:c r="R483" s="12"/>
    </x:row>
    <x:row r="484">
      <x:c r="A484" s="12" t="str">
        <x:v>EVD-00483</x:v>
      </x:c>
      <x:c r="B484" s="12" t="str">
        <x:v>NEED-0080</x:v>
      </x:c>
      <x:c r="C484" s="12" t="str">
        <x:v>SRC-0003</x:v>
      </x:c>
      <x:c r="D484" s="12" t="str">
        <x:v>Add EMIT, VIIRS Version 2, and Landsat products to the roadmap for discussion and on future potential inclusion into AppEEARS.</x:v>
      </x:c>
      <x:c r="E484" s="12" t="str">
        <x:v>Add EMIT, VIIRS Version 2, and Landsat products to the roadmap for discussion and on future potential inclusion into AppEEARS.</x:v>
      </x:c>
      <x:c r="F484" s="12" t="str">
        <x:v>Action</x:v>
      </x:c>
      <x:c r="G484" s="12" t="str">
        <x:v>LP DAAC User Working Group</x:v>
      </x:c>
      <x:c r="H484" s="12" t="n">
        <x:v>2023</x:v>
      </x:c>
      <x:c r="I484" s="12" t="str">
        <x:v>Earthdata users</x:v>
      </x:c>
      <x:c r="J484" s="12" t="str">
        <x:v>Medium</x:v>
      </x:c>
      <x:c r="K484" s="16" t="n">
        <x:v>0.75</x:v>
      </x:c>
      <x:c r="L484" s="12" t="str">
        <x:v>LSA similarity cluster; human review pending</x:v>
      </x:c>
      <x:c r="M484" s="12" t="str">
        <x:v>Section: 8.5.3 Joint LP DAAC – ORNL DAAC Annual UWG Meeting Action Items</x:v>
      </x:c>
      <x:c r="N484" s="12" t="str"/>
      <x:c r="O484" s="12" t="str">
        <x:v>No</x:v>
      </x:c>
      <x:c r="P484" s="12" t="str">
        <x:v>No</x:v>
      </x:c>
      <x:c r="Q484" s="12"/>
      <x:c r="R484" s="12"/>
    </x:row>
    <x:row r="485">
      <x:c r="A485" s="12" t="str">
        <x:v>EVD-00484</x:v>
      </x:c>
      <x:c r="B485" s="12" t="str">
        <x:v>NEED-0071</x:v>
      </x:c>
      <x:c r="C485" s="12" t="str">
        <x:v>SRC-0003</x:v>
      </x:c>
      <x:c r="D485" s="12" t="str">
        <x:v>Identify datasets and features needed in AppEEARS to satisfy TESViS capabilities.</x:v>
      </x:c>
      <x:c r="E485" s="12" t="str">
        <x:v>Identify datasets and features needed in AppEEARS to satisfy TESViS capabilities.</x:v>
      </x:c>
      <x:c r="F485" s="12" t="str">
        <x:v>Action</x:v>
      </x:c>
      <x:c r="G485" s="12" t="str">
        <x:v>LP DAAC User Working Group</x:v>
      </x:c>
      <x:c r="H485" s="12" t="n">
        <x:v>2023</x:v>
      </x:c>
      <x:c r="I485" s="12" t="str">
        <x:v>Earthdata users</x:v>
      </x:c>
      <x:c r="J485" s="12" t="str">
        <x:v>Medium</x:v>
      </x:c>
      <x:c r="K485" s="16" t="n">
        <x:v>0.75</x:v>
      </x:c>
      <x:c r="L485" s="12" t="str">
        <x:v>LSA similarity cluster; human review pending</x:v>
      </x:c>
      <x:c r="M485" s="12" t="str">
        <x:v>Section: 8.5.3 Joint LP DAAC – ORNL DAAC Annual UWG Meeting Action Items</x:v>
      </x:c>
      <x:c r="N485" s="12" t="str"/>
      <x:c r="O485" s="12" t="str">
        <x:v>No</x:v>
      </x:c>
      <x:c r="P485" s="12" t="str">
        <x:v>No</x:v>
      </x:c>
      <x:c r="Q485" s="12"/>
      <x:c r="R485" s="12"/>
    </x:row>
    <x:row r="486">
      <x:c r="A486" s="12" t="str">
        <x:v>EVD-00485</x:v>
      </x:c>
      <x:c r="B486" s="12" t="str">
        <x:v>NEED-0134</x:v>
      </x:c>
      <x:c r="C486" s="12" t="str">
        <x:v>SRC-0003</x:v>
      </x:c>
      <x:c r="D486" s="12" t="str">
        <x:v>Engage with the GEDI Science Team and OpenAltimetry team to explore potential incorporation of GEDI into the platform.</x:v>
      </x:c>
      <x:c r="E486" s="12" t="str">
        <x:v>Engage with the GEDI Science Team and OpenAltimetry team to explore potential incorporation of GEDI into the platform.</x:v>
      </x:c>
      <x:c r="F486" s="12" t="str">
        <x:v>Action</x:v>
      </x:c>
      <x:c r="G486" s="12" t="str">
        <x:v>LP DAAC User Working Group</x:v>
      </x:c>
      <x:c r="H486" s="12" t="n">
        <x:v>2023</x:v>
      </x:c>
      <x:c r="I486" s="12" t="str">
        <x:v>Earthdata users</x:v>
      </x:c>
      <x:c r="J486" s="12" t="str">
        <x:v>Medium</x:v>
      </x:c>
      <x:c r="K486" s="16" t="n">
        <x:v>0.75</x:v>
      </x:c>
      <x:c r="L486" s="12" t="str">
        <x:v>LSA similarity cluster; human review pending</x:v>
      </x:c>
      <x:c r="M486" s="12" t="str">
        <x:v>Section: 8.5.3 Joint LP DAAC – ORNL DAAC Annual UWG Meeting Action Items</x:v>
      </x:c>
      <x:c r="N486" s="12" t="str"/>
      <x:c r="O486" s="12" t="str">
        <x:v>No</x:v>
      </x:c>
      <x:c r="P486" s="12" t="str">
        <x:v>No</x:v>
      </x:c>
      <x:c r="Q486" s="12"/>
      <x:c r="R486" s="12"/>
    </x:row>
    <x:row r="487">
      <x:c r="A487" s="12" t="str">
        <x:v>EVD-00486</x:v>
      </x:c>
      <x:c r="B487" s="12" t="str">
        <x:v>NEED-0026</x:v>
      </x:c>
      <x:c r="C487" s="12" t="str">
        <x:v>SRC-0003</x:v>
      </x:c>
      <x:c r="D487" s="12" t="str">
        <x:v>Request presentations on VEDA and earthaccess at the next LP DAAC UWG meeting.</x:v>
      </x:c>
      <x:c r="E487" s="12" t="str">
        <x:v>Request presentations on VEDA and earthaccess at the next LP DAAC UWG meeting.</x:v>
      </x:c>
      <x:c r="F487" s="12" t="str">
        <x:v>Action</x:v>
      </x:c>
      <x:c r="G487" s="12" t="str">
        <x:v>LP DAAC User Working Group</x:v>
      </x:c>
      <x:c r="H487" s="12" t="n">
        <x:v>2023</x:v>
      </x:c>
      <x:c r="I487" s="12" t="str">
        <x:v>Earthdata users</x:v>
      </x:c>
      <x:c r="J487" s="12" t="str">
        <x:v>High</x:v>
      </x:c>
      <x:c r="K487" s="16" t="n">
        <x:v>0.75</x:v>
      </x:c>
      <x:c r="L487" s="12" t="str">
        <x:v>LSA similarity cluster; human review pending</x:v>
      </x:c>
      <x:c r="M487" s="12" t="str">
        <x:v>Section: 8.5.3 Joint LP DAAC – ORNL DAAC Annual UWG Meeting Action Items</x:v>
      </x:c>
      <x:c r="N487" s="12" t="str"/>
      <x:c r="O487" s="12" t="str">
        <x:v>No</x:v>
      </x:c>
      <x:c r="P487" s="12" t="str">
        <x:v>No</x:v>
      </x:c>
      <x:c r="Q487" s="12"/>
      <x:c r="R487" s="12"/>
    </x:row>
    <x:row r="488">
      <x:c r="A488" s="12" t="str">
        <x:v>EVD-00487</x:v>
      </x:c>
      <x:c r="B488" s="12" t="str">
        <x:v>NEED-0137</x:v>
      </x:c>
      <x:c r="C488" s="12" t="str">
        <x:v>SRC-0003</x:v>
      </x:c>
      <x:c r="D488" s="12" t="str">
        <x:v>Engage with GEE and other re-hosters of LP DAAC data, document LP DAAC data available in those platforms, identify platform capabilities, and present at the next LP DAAC UWG meeting.</x:v>
      </x:c>
      <x:c r="E488" s="12" t="str">
        <x:v>Engage with GEE and other re-hosters of LP DAAC data, document LP DAAC data available in those platforms, identify platform capabilities, and present at the next LP DAAC UWG meeting.</x:v>
      </x:c>
      <x:c r="F488" s="12" t="str">
        <x:v>Action</x:v>
      </x:c>
      <x:c r="G488" s="12" t="str">
        <x:v>LP DAAC User Working Group</x:v>
      </x:c>
      <x:c r="H488" s="12" t="n">
        <x:v>2023</x:v>
      </x:c>
      <x:c r="I488" s="12" t="str">
        <x:v>Earthdata users</x:v>
      </x:c>
      <x:c r="J488" s="12" t="str">
        <x:v>Medium</x:v>
      </x:c>
      <x:c r="K488" s="16" t="n">
        <x:v>0.75</x:v>
      </x:c>
      <x:c r="L488" s="12" t="str">
        <x:v>LSA similarity cluster; human review pending</x:v>
      </x:c>
      <x:c r="M488" s="12" t="str">
        <x:v>Section: 8.5.3 Joint LP DAAC – ORNL DAAC Annual UWG Meeting Action Items</x:v>
      </x:c>
      <x:c r="N488" s="12" t="str"/>
      <x:c r="O488" s="12" t="str">
        <x:v>No</x:v>
      </x:c>
      <x:c r="P488" s="12" t="str">
        <x:v>No</x:v>
      </x:c>
      <x:c r="Q488" s="12"/>
      <x:c r="R488" s="12"/>
    </x:row>
    <x:row r="489">
      <x:c r="A489" s="12" t="str">
        <x:v>EVD-00488</x:v>
      </x:c>
      <x:c r="B489" s="12" t="str">
        <x:v>NEED-0190</x:v>
      </x:c>
      <x:c r="C489" s="12" t="str">
        <x:v>SRC-0003</x:v>
      </x:c>
      <x:c r="D489" s="12" t="str">
        <x:v>Incorporate UWG feedback on the presented tools and services into the development of a strategy for what tools/services to invest in, maintain, and/or retire.</x:v>
      </x:c>
      <x:c r="E489" s="12" t="str">
        <x:v>Incorporate UWG feedback on the presented tools and services into the development of a strategy for what tools/services to invest in, maintain, and/or retire.</x:v>
      </x:c>
      <x:c r="F489" s="12" t="str">
        <x:v>Action</x:v>
      </x:c>
      <x:c r="G489" s="12" t="str">
        <x:v>NSIDC DAAC User Working Group</x:v>
      </x:c>
      <x:c r="H489" s="12" t="n">
        <x:v>2023</x:v>
      </x:c>
      <x:c r="I489" s="12" t="str">
        <x:v>Earthdata users</x:v>
      </x:c>
      <x:c r="J489" s="12" t="str">
        <x:v>High</x:v>
      </x:c>
      <x:c r="K489" s="16" t="n">
        <x:v>0.75</x:v>
      </x:c>
      <x:c r="L489" s="12" t="str">
        <x:v>LSA similarity cluster; human review pending</x:v>
      </x:c>
      <x:c r="M489" s="12" t="str">
        <x:v>Section: 10.6 New Actions and Recommendations</x:v>
      </x:c>
      <x:c r="N489" s="12" t="str"/>
      <x:c r="O489" s="12" t="str">
        <x:v>No</x:v>
      </x:c>
      <x:c r="P489" s="12" t="str">
        <x:v>No</x:v>
      </x:c>
      <x:c r="Q489" s="12"/>
      <x:c r="R489" s="12"/>
    </x:row>
    <x:row r="490">
      <x:c r="A490" s="12" t="str">
        <x:v>EVD-00489</x:v>
      </x:c>
      <x:c r="B490" s="12" t="str">
        <x:v>NEED-0038</x:v>
      </x:c>
      <x:c r="C490" s="12" t="str">
        <x:v>SRC-0003</x:v>
      </x:c>
      <x:c r="D490" s="12" t="str">
        <x:v>Change the data accession and pre-publication (for ROSES ICESat-2) review steps to have sample data vetted by the DAAC for basic format and documentation requirements before sending to the UWG for review.</x:v>
      </x:c>
      <x:c r="E490" s="12" t="str">
        <x:v>Change the data accession and pre-publication (for ROSES ICESat-2) review steps to have sample data vetted by the DAAC for basic format and documentation requirements before sending to the UWG for review.</x:v>
      </x:c>
      <x:c r="F490" s="12" t="str">
        <x:v>Action</x:v>
      </x:c>
      <x:c r="G490" s="12" t="str">
        <x:v>NSIDC DAAC User Working Group</x:v>
      </x:c>
      <x:c r="H490" s="12" t="n">
        <x:v>2023</x:v>
      </x:c>
      <x:c r="I490" s="12" t="str">
        <x:v>Data producers and mission teams</x:v>
      </x:c>
      <x:c r="J490" s="12" t="str">
        <x:v>Medium</x:v>
      </x:c>
      <x:c r="K490" s="16" t="n">
        <x:v>0.75</x:v>
      </x:c>
      <x:c r="L490" s="12" t="str">
        <x:v>LSA similarity cluster; human review pending</x:v>
      </x:c>
      <x:c r="M490" s="12" t="str">
        <x:v>Section: 10.6 New Actions and Recommendations</x:v>
      </x:c>
      <x:c r="N490" s="12" t="str"/>
      <x:c r="O490" s="12" t="str">
        <x:v>No</x:v>
      </x:c>
      <x:c r="P490" s="12" t="str">
        <x:v>No</x:v>
      </x:c>
      <x:c r="Q490" s="12"/>
      <x:c r="R490" s="12"/>
    </x:row>
    <x:row r="491">
      <x:c r="A491" s="12" t="str">
        <x:v>EVD-00490</x:v>
      </x:c>
      <x:c r="B491" s="12" t="str">
        <x:v>NEED-0038</x:v>
      </x:c>
      <x:c r="C491" s="12" t="str">
        <x:v>SRC-0003</x:v>
      </x:c>
      <x:c r="D491" s="12" t="str">
        <x:v>Decrease time for data accession approval by setting shorter review periods for the DAAC, and encouraging and supporting faster reviewers by UWG and ESDIS.</x:v>
      </x:c>
      <x:c r="E491" s="12" t="str">
        <x:v>Decrease time for data accession approval by setting shorter review periods for the DAAC, and encouraging and supporting faster reviewers by UWG and ESDIS.</x:v>
      </x:c>
      <x:c r="F491" s="12" t="str">
        <x:v>Action</x:v>
      </x:c>
      <x:c r="G491" s="12" t="str">
        <x:v>NSIDC DAAC User Working Group</x:v>
      </x:c>
      <x:c r="H491" s="12" t="n">
        <x:v>2023</x:v>
      </x:c>
      <x:c r="I491" s="12" t="str">
        <x:v>Earthdata users</x:v>
      </x:c>
      <x:c r="J491" s="12" t="str">
        <x:v>Medium</x:v>
      </x:c>
      <x:c r="K491" s="16" t="n">
        <x:v>0.75</x:v>
      </x:c>
      <x:c r="L491" s="12" t="str">
        <x:v>LSA similarity cluster; human review pending</x:v>
      </x:c>
      <x:c r="M491" s="12" t="str">
        <x:v>Section: 10.6 New Actions and Recommendations</x:v>
      </x:c>
      <x:c r="N491" s="12" t="str"/>
      <x:c r="O491" s="12" t="str">
        <x:v>No</x:v>
      </x:c>
      <x:c r="P491" s="12" t="str">
        <x:v>No</x:v>
      </x:c>
      <x:c r="Q491" s="12"/>
      <x:c r="R491" s="12"/>
    </x:row>
    <x:row r="492">
      <x:c r="A492" s="12" t="str">
        <x:v>EVD-00491</x:v>
      </x:c>
      <x:c r="B492" s="12" t="str">
        <x:v>NEED-0178</x:v>
      </x:c>
      <x:c r="C492" s="12" t="str">
        <x:v>SRC-0003</x:v>
      </x:c>
      <x:c r="D492" s="12" t="str">
        <x:v>Streamline the FAIR data creation process through more documentation and potential tools to help data providers meet requirements. Balance NSIDC DAAC resources with data producer resources to try to not be burdensome to either.</x:v>
      </x:c>
      <x:c r="E492" s="12" t="str">
        <x:v>Streamline the FAIR data creation process through more documentation and potential tools to help data providers meet requirements. Balance NSIDC DAAC resources with data producer resources to try to not be burdensome to either.</x:v>
      </x:c>
      <x:c r="F492" s="12" t="str">
        <x:v>Action</x:v>
      </x:c>
      <x:c r="G492" s="12" t="str">
        <x:v>NSIDC DAAC User Working Group</x:v>
      </x:c>
      <x:c r="H492" s="12" t="n">
        <x:v>2023</x:v>
      </x:c>
      <x:c r="I492" s="12" t="str">
        <x:v>Operational and near-real-time users; Data producers and mission teams</x:v>
      </x:c>
      <x:c r="J492" s="12" t="str">
        <x:v>Medium</x:v>
      </x:c>
      <x:c r="K492" s="16" t="n">
        <x:v>0.75</x:v>
      </x:c>
      <x:c r="L492" s="12" t="str">
        <x:v>LSA similarity cluster; human review pending</x:v>
      </x:c>
      <x:c r="M492" s="12" t="str">
        <x:v>Section: 10.6 New Actions and Recommendations</x:v>
      </x:c>
      <x:c r="N492" s="12" t="str"/>
      <x:c r="O492" s="12" t="str">
        <x:v>No</x:v>
      </x:c>
      <x:c r="P492" s="12" t="str">
        <x:v>No</x:v>
      </x:c>
      <x:c r="Q492" s="12"/>
      <x:c r="R492" s="12"/>
    </x:row>
    <x:row r="493">
      <x:c r="A493" s="12" t="str">
        <x:v>EVD-00492</x:v>
      </x:c>
      <x:c r="B493" s="12" t="str">
        <x:v>NEED-0120</x:v>
      </x:c>
      <x:c r="C493" s="12" t="str">
        <x:v>SRC-0003</x:v>
      </x:c>
      <x:c r="D493" s="12" t="str">
        <x:v>Engage with the NASA Chief Science Data Office in their efforts to establish a Zenodo “community” for NASA SMD.</x:v>
      </x:c>
      <x:c r="E493" s="12" t="str">
        <x:v>Engage with the NASA Chief Science Data Office in their efforts to establish a Zenodo “community” for NASA SMD.</x:v>
      </x:c>
      <x:c r="F493" s="12" t="str">
        <x:v>Action</x:v>
      </x:c>
      <x:c r="G493" s="12" t="str">
        <x:v>NSIDC DAAC User Working Group</x:v>
      </x:c>
      <x:c r="H493" s="12" t="n">
        <x:v>2023</x:v>
      </x:c>
      <x:c r="I493" s="12" t="str">
        <x:v>Earthdata users</x:v>
      </x:c>
      <x:c r="J493" s="12" t="str">
        <x:v>High</x:v>
      </x:c>
      <x:c r="K493" s="16" t="n">
        <x:v>0.75</x:v>
      </x:c>
      <x:c r="L493" s="12" t="str">
        <x:v>LSA similarity cluster; human review pending</x:v>
      </x:c>
      <x:c r="M493" s="12" t="str">
        <x:v>Section: 10.6 New Actions and Recommendations</x:v>
      </x:c>
      <x:c r="N493" s="12" t="str"/>
      <x:c r="O493" s="12" t="str">
        <x:v>No</x:v>
      </x:c>
      <x:c r="P493" s="12" t="str">
        <x:v>No</x:v>
      </x:c>
      <x:c r="Q493" s="12"/>
      <x:c r="R493" s="12"/>
    </x:row>
    <x:row r="494">
      <x:c r="A494" s="12" t="str">
        <x:v>EVD-00493</x:v>
      </x:c>
      <x:c r="B494" s="12" t="str">
        <x:v>NEED-0110</x:v>
      </x:c>
      <x:c r="C494" s="12" t="str">
        <x:v>SRC-0003</x:v>
      </x:c>
      <x:c r="D494" s="12" t="str">
        <x:v>Continue discussions with Thorsten Markus (Cryospheric Sciences Program Scientist) on the idea of doing a review of some DAAC distributed data.</x:v>
      </x:c>
      <x:c r="E494" s="12" t="str">
        <x:v>Continue discussions with Thorsten Markus (Cryospheric Sciences Program Scientist) on the idea of doing a review of some DAAC distributed data.</x:v>
      </x:c>
      <x:c r="F494" s="12" t="str">
        <x:v>Action</x:v>
      </x:c>
      <x:c r="G494" s="12" t="str">
        <x:v>NSIDC DAAC User Working Group</x:v>
      </x:c>
      <x:c r="H494" s="12" t="n">
        <x:v>2023</x:v>
      </x:c>
      <x:c r="I494" s="12" t="str">
        <x:v>Earth science researchers</x:v>
      </x:c>
      <x:c r="J494" s="12" t="str">
        <x:v>High</x:v>
      </x:c>
      <x:c r="K494" s="16" t="n">
        <x:v>0.55</x:v>
      </x:c>
      <x:c r="L494" s="12" t="str">
        <x:v>LSA similarity cluster; human review pending</x:v>
      </x:c>
      <x:c r="M494" s="12" t="str">
        <x:v>Section: 10.6 New Actions and Recommendations</x:v>
      </x:c>
      <x:c r="N494" s="12" t="str"/>
      <x:c r="O494" s="12" t="str">
        <x:v>No</x:v>
      </x:c>
      <x:c r="P494" s="12" t="str">
        <x:v>No</x:v>
      </x:c>
      <x:c r="Q494" s="12"/>
      <x:c r="R494" s="12"/>
    </x:row>
    <x:row r="495">
      <x:c r="A495" s="12" t="str">
        <x:v>EVD-00494</x:v>
      </x:c>
      <x:c r="B495" s="12" t="str">
        <x:v>NEED-0084</x:v>
      </x:c>
      <x:c r="C495" s="12" t="str">
        <x:v>SRC-0003</x:v>
      </x:c>
      <x:c r="D495" s="12" t="str">
        <x:v>Continue discussions with the Cryospheric Sciences, ESDIS, and ESDS on opportunities to fund important efforts including NSIDC’s ASINA, GLIMS, and NSIDC DAAC passive microwave data production.</x:v>
      </x:c>
      <x:c r="E495" s="12" t="str">
        <x:v>Continue discussions with the Cryospheric Sciences, ESDIS, and ESDS on opportunities to fund important efforts including NSIDC’s ASINA, GLIMS, and NSIDC DAAC passive microwave data production.</x:v>
      </x:c>
      <x:c r="F495" s="12" t="str">
        <x:v>Action</x:v>
      </x:c>
      <x:c r="G495" s="12" t="str">
        <x:v>NSIDC DAAC User Working Group</x:v>
      </x:c>
      <x:c r="H495" s="12" t="n">
        <x:v>2023</x:v>
      </x:c>
      <x:c r="I495" s="12" t="str">
        <x:v>Earthdata users</x:v>
      </x:c>
      <x:c r="J495" s="12" t="str">
        <x:v>High</x:v>
      </x:c>
      <x:c r="K495" s="16" t="n">
        <x:v>0.75</x:v>
      </x:c>
      <x:c r="L495" s="12" t="str">
        <x:v>LSA similarity cluster; human review pending</x:v>
      </x:c>
      <x:c r="M495" s="12" t="str">
        <x:v>Section: 10.6 New Actions and Recommendations</x:v>
      </x:c>
      <x:c r="N495" s="12" t="str"/>
      <x:c r="O495" s="12" t="str">
        <x:v>No</x:v>
      </x:c>
      <x:c r="P495" s="12" t="str">
        <x:v>No</x:v>
      </x:c>
      <x:c r="Q495" s="12"/>
      <x:c r="R495" s="12"/>
    </x:row>
    <x:row r="496">
      <x:c r="A496" s="12" t="str">
        <x:v>EVD-00495</x:v>
      </x:c>
      <x:c r="B496" s="12" t="str">
        <x:v>NEED-0080</x:v>
      </x:c>
      <x:c r="C496" s="12" t="str">
        <x:v>SRC-0003</x:v>
      </x:c>
      <x:c r="D496" s="12" t="str">
        <x:v>Investigate adding new members that represent the operational community (e.g., U.S. National Ice Center) or the vegetation community (some ICESat-2 products estimate vegetation-related quantities so community expertise would be helpful).</x:v>
      </x:c>
      <x:c r="E496" s="12" t="str">
        <x:v>Investigate adding new members that represent the operational community (e.g., U.S. National Ice Center) or the vegetation community (some ICESat-2 products estimate vegetation-related quantities so community expertise would be helpful).</x:v>
      </x:c>
      <x:c r="F496" s="12" t="str">
        <x:v>Action</x:v>
      </x:c>
      <x:c r="G496" s="12" t="str">
        <x:v>NSIDC DAAC User Working Group</x:v>
      </x:c>
      <x:c r="H496" s="12" t="n">
        <x:v>2023</x:v>
      </x:c>
      <x:c r="I496" s="12" t="str">
        <x:v>Operational and near-real-time users</x:v>
      </x:c>
      <x:c r="J496" s="12" t="str">
        <x:v>Medium</x:v>
      </x:c>
      <x:c r="K496" s="16" t="n">
        <x:v>0.75</x:v>
      </x:c>
      <x:c r="L496" s="12" t="str">
        <x:v>LSA similarity cluster; human review pending</x:v>
      </x:c>
      <x:c r="M496" s="12" t="str">
        <x:v>Section: 10.6 New Actions and Recommendations</x:v>
      </x:c>
      <x:c r="N496" s="12" t="str"/>
      <x:c r="O496" s="12" t="str">
        <x:v>No</x:v>
      </x:c>
      <x:c r="P496" s="12" t="str">
        <x:v>No</x:v>
      </x:c>
      <x:c r="Q496" s="12"/>
      <x:c r="R496" s="12"/>
    </x:row>
    <x:row r="497">
      <x:c r="A497" s="12" t="str">
        <x:v>EVD-00496</x:v>
      </x:c>
      <x:c r="B497" s="12" t="str">
        <x:v>NEED-0050</x:v>
      </x:c>
      <x:c r="C497" s="12" t="str">
        <x:v>SRC-0003</x:v>
      </x:c>
      <x:c r="D497" s="12" t="str">
        <x:v>[UWG23-S01] Improve data discovery and access through leveraging and contributing to open-source tools and libraries. (11 votes)</x:v>
      </x:c>
      <x:c r="E497" s="12" t="str">
        <x:v>[UWG23-S01] Improve data discovery and access through leveraging and contributing to open-source tools and libraries. (11 votes)</x:v>
      </x:c>
      <x:c r="F497" s="12" t="str">
        <x:v>Suggestion</x:v>
      </x:c>
      <x:c r="G497" s="12" t="str">
        <x:v>ORNL DAAC User Working Group</x:v>
      </x:c>
      <x:c r="H497" s="12" t="n">
        <x:v>2023</x:v>
      </x:c>
      <x:c r="I497" s="12" t="str">
        <x:v>Earthdata users</x:v>
      </x:c>
      <x:c r="J497" s="12" t="str">
        <x:v>High</x:v>
      </x:c>
      <x:c r="K497" s="16" t="n">
        <x:v>0.75</x:v>
      </x:c>
      <x:c r="L497" s="12" t="str">
        <x:v>LSA similarity cluster; human review pending</x:v>
      </x:c>
      <x:c r="M497" s="12" t="str">
        <x:v>Section: 11.7 ORNL DAAC UWG Suggestions for 2023</x:v>
      </x:c>
      <x:c r="N497" s="12" t="str"/>
      <x:c r="O497" s="12" t="str">
        <x:v>No</x:v>
      </x:c>
      <x:c r="P497" s="12" t="str">
        <x:v>No</x:v>
      </x:c>
      <x:c r="Q497" s="12"/>
      <x:c r="R497" s="12"/>
    </x:row>
    <x:row r="498">
      <x:c r="A498" s="12" t="str">
        <x:v>EVD-00497</x:v>
      </x:c>
      <x:c r="B498" s="12" t="str">
        <x:v>NEED-0126</x:v>
      </x:c>
      <x:c r="C498" s="12" t="str">
        <x:v>SRC-0003</x:v>
      </x:c>
      <x:c r="D498" s="12" t="str">
        <x:v>[UWG23-S02] Continue the implementation of the Flight Catalog and expand its scope to include at least all NASA airborne data. (9 votes)</x:v>
      </x:c>
      <x:c r="E498" s="12" t="str">
        <x:v>[UWG23-S02] Continue the implementation of the Flight Catalog and expand its scope to include at least all NASA airborne data. (9 votes)</x:v>
      </x:c>
      <x:c r="F498" s="12" t="str">
        <x:v>Suggestion</x:v>
      </x:c>
      <x:c r="G498" s="12" t="str">
        <x:v>ORNL DAAC User Working Group</x:v>
      </x:c>
      <x:c r="H498" s="12" t="n">
        <x:v>2023</x:v>
      </x:c>
      <x:c r="I498" s="12" t="str">
        <x:v>Earthdata users</x:v>
      </x:c>
      <x:c r="J498" s="12" t="str">
        <x:v>High</x:v>
      </x:c>
      <x:c r="K498" s="16" t="n">
        <x:v>0.75</x:v>
      </x:c>
      <x:c r="L498" s="12" t="str">
        <x:v>LSA similarity cluster; human review pending</x:v>
      </x:c>
      <x:c r="M498" s="12" t="str">
        <x:v>Section: 11.7 ORNL DAAC UWG Suggestions for 2023</x:v>
      </x:c>
      <x:c r="N498" s="12" t="str"/>
      <x:c r="O498" s="12" t="str">
        <x:v>No</x:v>
      </x:c>
      <x:c r="P498" s="12" t="str">
        <x:v>No</x:v>
      </x:c>
      <x:c r="Q498" s="12"/>
      <x:c r="R498" s="12"/>
    </x:row>
    <x:row r="499">
      <x:c r="A499" s="12" t="str">
        <x:v>EVD-00498</x:v>
      </x:c>
      <x:c r="B499" s="12" t="str">
        <x:v>NEED-0207</x:v>
      </x:c>
      <x:c r="C499" s="12" t="str">
        <x:v>SRC-0003</x:v>
      </x:c>
      <x:c r="D499" s="12" t="str">
        <x:v>[UWG23-S03] Continue and enhance efforts to better understand the ORNL DAAC’s broadening user communities and deliver efforts to improve the support for different types of users. (8 votes)</x:v>
      </x:c>
      <x:c r="E499" s="12" t="str">
        <x:v>[UWG23-S03] Continue and enhance efforts to better understand the ORNL DAAC’s broadening user communities and deliver efforts to improve the support for different types of users. (8 votes)</x:v>
      </x:c>
      <x:c r="F499" s="12" t="str">
        <x:v>Suggestion</x:v>
      </x:c>
      <x:c r="G499" s="12" t="str">
        <x:v>ORNL DAAC User Working Group</x:v>
      </x:c>
      <x:c r="H499" s="12" t="n">
        <x:v>2023</x:v>
      </x:c>
      <x:c r="I499" s="12" t="str">
        <x:v>Earthdata users</x:v>
      </x:c>
      <x:c r="J499" s="12" t="str">
        <x:v>High</x:v>
      </x:c>
      <x:c r="K499" s="16" t="n">
        <x:v>0.75</x:v>
      </x:c>
      <x:c r="L499" s="12" t="str">
        <x:v>LSA similarity cluster; human review pending</x:v>
      </x:c>
      <x:c r="M499" s="12" t="str">
        <x:v>Section: 11.7 ORNL DAAC UWG Suggestions for 2023</x:v>
      </x:c>
      <x:c r="N499" s="12" t="str"/>
      <x:c r="O499" s="12" t="str">
        <x:v>No</x:v>
      </x:c>
      <x:c r="P499" s="12" t="str">
        <x:v>No</x:v>
      </x:c>
      <x:c r="Q499" s="12"/>
      <x:c r="R499" s="12"/>
    </x:row>
    <x:row r="500">
      <x:c r="A500" s="12" t="str">
        <x:v>EVD-00499</x:v>
      </x:c>
      <x:c r="B500" s="12" t="str">
        <x:v>NEED-0007</x:v>
      </x:c>
      <x:c r="C500" s="12" t="str">
        <x:v>SRC-0003</x:v>
      </x:c>
      <x:c r="D500" s="12" t="str">
        <x:v>[UWG23-S04] Understand and address user experience challenges with Earthdata Cloud through close collaboration with users, especially those from under-represented communities. (8 votes)</x:v>
      </x:c>
      <x:c r="E500" s="12" t="str">
        <x:v>[UWG23-S04] Understand and address user experience challenges with Earthdata Cloud through close collaboration with users, especially those from under-represented communities. (8 votes)</x:v>
      </x:c>
      <x:c r="F500" s="12" t="str">
        <x:v>Suggestion</x:v>
      </x:c>
      <x:c r="G500" s="12" t="str">
        <x:v>ORNL DAAC User Working Group</x:v>
      </x:c>
      <x:c r="H500" s="12" t="n">
        <x:v>2023</x:v>
      </x:c>
      <x:c r="I500" s="12" t="str">
        <x:v>Cloud-native researchers</x:v>
      </x:c>
      <x:c r="J500" s="12" t="str">
        <x:v>Medium</x:v>
      </x:c>
      <x:c r="K500" s="16" t="n">
        <x:v>0.75</x:v>
      </x:c>
      <x:c r="L500" s="12" t="str">
        <x:v>LSA similarity cluster; human review pending</x:v>
      </x:c>
      <x:c r="M500" s="12" t="str">
        <x:v>Section: 11.7 ORNL DAAC UWG Suggestions for 2023</x:v>
      </x:c>
      <x:c r="N500" s="12" t="str"/>
      <x:c r="O500" s="12" t="str">
        <x:v>No</x:v>
      </x:c>
      <x:c r="P500" s="12" t="str">
        <x:v>No</x:v>
      </x:c>
      <x:c r="Q500" s="12"/>
      <x:c r="R500" s="12"/>
    </x:row>
    <x:row r="501">
      <x:c r="A501" s="12" t="str">
        <x:v>EVD-00500</x:v>
      </x:c>
      <x:c r="B501" s="12" t="str">
        <x:v>NEED-0125</x:v>
      </x:c>
      <x:c r="C501" s="12" t="str">
        <x:v>SRC-0003</x:v>
      </x:c>
      <x:c r="D501" s="12" t="str">
        <x:v>[UWG23-S05] Continue working with the Web Unification team to improve the organization and presentation of Web resources to help users find, understand, and use data more easily. (7 votes)</x:v>
      </x:c>
      <x:c r="E501" s="12" t="str">
        <x:v>[UWG23-S05] Continue working with the Web Unification team to improve the organization and presentation of Web resources to help users find, understand, and use data more easily. (7 votes)</x:v>
      </x:c>
      <x:c r="F501" s="12" t="str">
        <x:v>Suggestion</x:v>
      </x:c>
      <x:c r="G501" s="12" t="str">
        <x:v>ORNL DAAC User Working Group</x:v>
      </x:c>
      <x:c r="H501" s="12" t="n">
        <x:v>2023</x:v>
      </x:c>
      <x:c r="I501" s="12" t="str">
        <x:v>Earthdata users</x:v>
      </x:c>
      <x:c r="J501" s="12" t="str">
        <x:v>High</x:v>
      </x:c>
      <x:c r="K501" s="16" t="n">
        <x:v>0.75</x:v>
      </x:c>
      <x:c r="L501" s="12" t="str">
        <x:v>LSA similarity cluster; human review pending</x:v>
      </x:c>
      <x:c r="M501" s="12" t="str">
        <x:v>Section: 11.7 ORNL DAAC UWG Suggestions for 2023</x:v>
      </x:c>
      <x:c r="N501" s="12" t="str"/>
      <x:c r="O501" s="12" t="str">
        <x:v>No</x:v>
      </x:c>
      <x:c r="P501" s="12" t="str">
        <x:v>No</x:v>
      </x:c>
      <x:c r="Q501" s="12"/>
      <x:c r="R501" s="12"/>
    </x:row>
    <x:row r="502">
      <x:c r="A502" s="12" t="str">
        <x:v>EVD-00501</x:v>
      </x:c>
      <x:c r="B502" s="12" t="str">
        <x:v>NEED-0158</x:v>
      </x:c>
      <x:c r="C502" s="12" t="str">
        <x:v>SRC-0003</x:v>
      </x:c>
      <x:c r="D502" s="12" t="str">
        <x:v>[UWG23-S06] Continue and enhance work to improve the communication and user experience with the data producers throughout the data publication process. (7 votes)</x:v>
      </x:c>
      <x:c r="E502" s="12" t="str">
        <x:v>[UWG23-S06] Continue and enhance work to improve the communication and user experience with the data producers throughout the data publication process. (7 votes)</x:v>
      </x:c>
      <x:c r="F502" s="12" t="str">
        <x:v>Suggestion</x:v>
      </x:c>
      <x:c r="G502" s="12" t="str">
        <x:v>ORNL DAAC User Working Group</x:v>
      </x:c>
      <x:c r="H502" s="12" t="n">
        <x:v>2023</x:v>
      </x:c>
      <x:c r="I502" s="12" t="str">
        <x:v>Data producers and mission teams</x:v>
      </x:c>
      <x:c r="J502" s="12" t="str">
        <x:v>High</x:v>
      </x:c>
      <x:c r="K502" s="16" t="n">
        <x:v>0.75</x:v>
      </x:c>
      <x:c r="L502" s="12" t="str">
        <x:v>LSA similarity cluster; human review pending</x:v>
      </x:c>
      <x:c r="M502" s="12" t="str">
        <x:v>Section: 11.7 ORNL DAAC UWG Suggestions for 2023</x:v>
      </x:c>
      <x:c r="N502" s="12" t="str"/>
      <x:c r="O502" s="12" t="str">
        <x:v>No</x:v>
      </x:c>
      <x:c r="P502" s="12" t="str">
        <x:v>No</x:v>
      </x:c>
      <x:c r="Q502" s="12"/>
      <x:c r="R502" s="12"/>
    </x:row>
    <x:row r="503">
      <x:c r="A503" s="12" t="str">
        <x:v>EVD-00502</x:v>
      </x:c>
      <x:c r="B503" s="12" t="str">
        <x:v>NEED-0137</x:v>
      </x:c>
      <x:c r="C503" s="12" t="str">
        <x:v>SRC-0003</x:v>
      </x:c>
      <x:c r="D503" s="12" t="str">
        <x:v>[UWG23-S07] Improve the visibility and content for Data Pathfinders. (5 votes)</x:v>
      </x:c>
      <x:c r="E503" s="12" t="str">
        <x:v>[UWG23-S07] Improve the visibility and content for Data Pathfinders. (5 votes)</x:v>
      </x:c>
      <x:c r="F503" s="12" t="str">
        <x:v>Suggestion</x:v>
      </x:c>
      <x:c r="G503" s="12" t="str">
        <x:v>ORNL DAAC User Working Group</x:v>
      </x:c>
      <x:c r="H503" s="12" t="n">
        <x:v>2023</x:v>
      </x:c>
      <x:c r="I503" s="12" t="str">
        <x:v>Earthdata users</x:v>
      </x:c>
      <x:c r="J503" s="12" t="str">
        <x:v>High</x:v>
      </x:c>
      <x:c r="K503" s="16" t="n">
        <x:v>0.75</x:v>
      </x:c>
      <x:c r="L503" s="12" t="str">
        <x:v>LSA similarity cluster; human review pending</x:v>
      </x:c>
      <x:c r="M503" s="12" t="str">
        <x:v>Section: 11.7 ORNL DAAC UWG Suggestions for 2023</x:v>
      </x:c>
      <x:c r="N503" s="12" t="str"/>
      <x:c r="O503" s="12" t="str">
        <x:v>No</x:v>
      </x:c>
      <x:c r="P503" s="12" t="str">
        <x:v>No</x:v>
      </x:c>
      <x:c r="Q503" s="12"/>
      <x:c r="R503" s="12"/>
    </x:row>
    <x:row r="504">
      <x:c r="A504" s="12" t="str">
        <x:v>EVD-00503</x:v>
      </x:c>
      <x:c r="B504" s="12" t="str">
        <x:v>NEED-0093</x:v>
      </x:c>
      <x:c r="C504" s="12" t="str">
        <x:v>SRC-0003</x:v>
      </x:c>
      <x:c r="D504" s="12" t="str">
        <x:v>[UWG23-S08] Enhance the ORNL DAAC’s expertise and leadership on data sovereignty, data equity, and indigenous data governance. (5 votes)</x:v>
      </x:c>
      <x:c r="E504" s="12" t="str">
        <x:v>[UWG23-S08] Enhance the ORNL DAAC’s expertise and leadership on data sovereignty, data equity, and indigenous data governance. (5 votes)</x:v>
      </x:c>
      <x:c r="F504" s="12" t="str">
        <x:v>Suggestion</x:v>
      </x:c>
      <x:c r="G504" s="12" t="str">
        <x:v>ORNL DAAC User Working Group</x:v>
      </x:c>
      <x:c r="H504" s="12" t="n">
        <x:v>2023</x:v>
      </x:c>
      <x:c r="I504" s="12" t="str">
        <x:v>Indigenous and underrepresented communities</x:v>
      </x:c>
      <x:c r="J504" s="12" t="str">
        <x:v>Medium</x:v>
      </x:c>
      <x:c r="K504" s="16" t="n">
        <x:v>0.75</x:v>
      </x:c>
      <x:c r="L504" s="12" t="str">
        <x:v>LSA similarity cluster; human review pending</x:v>
      </x:c>
      <x:c r="M504" s="12" t="str">
        <x:v>Section: 11.7 ORNL DAAC UWG Suggestions for 2023</x:v>
      </x:c>
      <x:c r="N504" s="12" t="str"/>
      <x:c r="O504" s="12" t="str">
        <x:v>No</x:v>
      </x:c>
      <x:c r="P504" s="12" t="str">
        <x:v>No</x:v>
      </x:c>
      <x:c r="Q504" s="12"/>
      <x:c r="R504" s="12"/>
    </x:row>
    <x:row r="505">
      <x:c r="A505" s="12" t="str">
        <x:v>EVD-00504</x:v>
      </x:c>
      <x:c r="B505" s="12" t="str">
        <x:v>NEED-0091</x:v>
      </x:c>
      <x:c r="C505" s="12" t="str">
        <x:v>SRC-0003</x:v>
      </x:c>
      <x:c r="D505" s="12" t="str">
        <x:v>[UWG23-S09] Identify and implement strategies to better assist new users towards finding datasets that fit their needs/interests. (5 votes)</x:v>
      </x:c>
      <x:c r="E505" s="12" t="str">
        <x:v>[UWG23-S09] Identify and implement strategies to better assist new users towards finding datasets that fit their needs/interests. (5 votes)</x:v>
      </x:c>
      <x:c r="F505" s="12" t="str">
        <x:v>Suggestion</x:v>
      </x:c>
      <x:c r="G505" s="12" t="str">
        <x:v>ORNL DAAC User Working Group</x:v>
      </x:c>
      <x:c r="H505" s="12" t="n">
        <x:v>2023</x:v>
      </x:c>
      <x:c r="I505" s="12" t="str">
        <x:v>New and occasional users</x:v>
      </x:c>
      <x:c r="J505" s="12" t="str">
        <x:v>Medium</x:v>
      </x:c>
      <x:c r="K505" s="16" t="n">
        <x:v>0.75</x:v>
      </x:c>
      <x:c r="L505" s="12" t="str">
        <x:v>LSA similarity cluster; human review pending</x:v>
      </x:c>
      <x:c r="M505" s="12" t="str">
        <x:v>Section: 11.7 ORNL DAAC UWG Suggestions for 2023</x:v>
      </x:c>
      <x:c r="N505" s="12" t="str"/>
      <x:c r="O505" s="12" t="str">
        <x:v>No</x:v>
      </x:c>
      <x:c r="P505" s="12" t="str">
        <x:v>No</x:v>
      </x:c>
      <x:c r="Q505" s="12"/>
      <x:c r="R505" s="12"/>
    </x:row>
    <x:row r="506">
      <x:c r="A506" s="12" t="str">
        <x:v>EVD-00505</x:v>
      </x:c>
      <x:c r="B506" s="12" t="str">
        <x:v>NEED-0091</x:v>
      </x:c>
      <x:c r="C506" s="12" t="str">
        <x:v>SRC-0003</x:v>
      </x:c>
      <x:c r="D506" s="12" t="str">
        <x:v>[UWG23-S10] Improve how data-related software, workflows, provenance, and maturity information are preserved and presented, to increase the transparency of science data creation and ensure proper data use. (4 votes)</x:v>
      </x:c>
      <x:c r="E506" s="12" t="str">
        <x:v>[UWG23-S10] Improve how data-related software, workflows, provenance, and maturity information are preserved and presented, to increase the transparency of science data creation and ensure proper data use. (4 votes)</x:v>
      </x:c>
      <x:c r="F506" s="12" t="str">
        <x:v>Suggestion</x:v>
      </x:c>
      <x:c r="G506" s="12" t="str">
        <x:v>ORNL DAAC User Working Group</x:v>
      </x:c>
      <x:c r="H506" s="12" t="n">
        <x:v>2023</x:v>
      </x:c>
      <x:c r="I506" s="12" t="str">
        <x:v>Application developers</x:v>
      </x:c>
      <x:c r="J506" s="12" t="str">
        <x:v>High</x:v>
      </x:c>
      <x:c r="K506" s="16" t="n">
        <x:v>0.75</x:v>
      </x:c>
      <x:c r="L506" s="12" t="str">
        <x:v>LSA similarity cluster; human review pending</x:v>
      </x:c>
      <x:c r="M506" s="12" t="str">
        <x:v>Section: 11.7 ORNL DAAC UWG Suggestions for 2023</x:v>
      </x:c>
      <x:c r="N506" s="12" t="str"/>
      <x:c r="O506" s="12" t="str">
        <x:v>No</x:v>
      </x:c>
      <x:c r="P506" s="12" t="str">
        <x:v>No</x:v>
      </x:c>
      <x:c r="Q506" s="12"/>
      <x:c r="R506" s="12"/>
    </x:row>
    <x:row r="507">
      <x:c r="A507" s="12" t="str">
        <x:v>EVD-00506</x:v>
      </x:c>
      <x:c r="B507" s="12" t="str">
        <x:v>NEED-0091</x:v>
      </x:c>
      <x:c r="C507" s="12" t="str">
        <x:v>SRC-0003</x:v>
      </x:c>
      <x:c r="D507" s="12" t="str">
        <x:v>[UWG23-S11] Investigate approaches to notifying or requesting consent from dataset coauthors. (4 votes)</x:v>
      </x:c>
      <x:c r="E507" s="12" t="str">
        <x:v>[UWG23-S11] Investigate approaches to notifying or requesting consent from dataset coauthors. (4 votes)</x:v>
      </x:c>
      <x:c r="F507" s="12" t="str">
        <x:v>Suggestion</x:v>
      </x:c>
      <x:c r="G507" s="12" t="str">
        <x:v>ORNL DAAC User Working Group</x:v>
      </x:c>
      <x:c r="H507" s="12" t="n">
        <x:v>2023</x:v>
      </x:c>
      <x:c r="I507" s="12" t="str">
        <x:v>Earthdata users</x:v>
      </x:c>
      <x:c r="J507" s="12" t="str">
        <x:v>Medium</x:v>
      </x:c>
      <x:c r="K507" s="16" t="n">
        <x:v>0.75</x:v>
      </x:c>
      <x:c r="L507" s="12" t="str">
        <x:v>LSA similarity cluster; human review pending</x:v>
      </x:c>
      <x:c r="M507" s="12" t="str">
        <x:v>Section: 11.7 ORNL DAAC UWG Suggestions for 2023</x:v>
      </x:c>
      <x:c r="N507" s="12" t="str"/>
      <x:c r="O507" s="12" t="str">
        <x:v>No</x:v>
      </x:c>
      <x:c r="P507" s="12" t="str">
        <x:v>No</x:v>
      </x:c>
      <x:c r="Q507" s="12"/>
      <x:c r="R507" s="12"/>
    </x:row>
    <x:row r="508">
      <x:c r="A508" s="12" t="str">
        <x:v>EVD-00507</x:v>
      </x:c>
      <x:c r="B508" s="12" t="str">
        <x:v>NEED-0103</x:v>
      </x:c>
      <x:c r="C508" s="12" t="str">
        <x:v>SRC-0003</x:v>
      </x:c>
      <x:c r="D508" s="12" t="str">
        <x:v>[UWG23-S12] Contribute to and promote a standard and best practices for organizing imaging spectroscopy data, through collaboration across NASA and the broader science communities. (4 votes)</x:v>
      </x:c>
      <x:c r="E508" s="12" t="str">
        <x:v>[UWG23-S12] Contribute to and promote a standard and best practices for organizing imaging spectroscopy data, through collaboration across NASA and the broader science communities. (4 votes)</x:v>
      </x:c>
      <x:c r="F508" s="12" t="str">
        <x:v>Suggestion</x:v>
      </x:c>
      <x:c r="G508" s="12" t="str">
        <x:v>ORNL DAAC User Working Group</x:v>
      </x:c>
      <x:c r="H508" s="12" t="n">
        <x:v>2023</x:v>
      </x:c>
      <x:c r="I508" s="12" t="str">
        <x:v>Earthdata users</x:v>
      </x:c>
      <x:c r="J508" s="12" t="str">
        <x:v>Medium</x:v>
      </x:c>
      <x:c r="K508" s="16" t="n">
        <x:v>0.75</x:v>
      </x:c>
      <x:c r="L508" s="12" t="str">
        <x:v>LSA similarity cluster; human review pending</x:v>
      </x:c>
      <x:c r="M508" s="12" t="str">
        <x:v>Section: 11.7 ORNL DAAC UWG Suggestions for 2023</x:v>
      </x:c>
      <x:c r="N508" s="12" t="str"/>
      <x:c r="O508" s="12" t="str">
        <x:v>No</x:v>
      </x:c>
      <x:c r="P508" s="12" t="str">
        <x:v>No</x:v>
      </x:c>
      <x:c r="Q508" s="12"/>
      <x:c r="R508" s="12"/>
    </x:row>
    <x:row r="509">
      <x:c r="A509" s="12" t="str">
        <x:v>EVD-00508</x:v>
      </x:c>
      <x:c r="B509" s="12" t="str">
        <x:v>NEED-0190</x:v>
      </x:c>
      <x:c r="C509" s="12" t="str">
        <x:v>SRC-0003</x:v>
      </x:c>
      <x:c r="D509" s="12" t="str">
        <x:v>[UWG23-S13] Continue to improve the usability and performance of enterprise tools and services to better address needs of the ORNL DAAC’s user communities. (3 votes)</x:v>
      </x:c>
      <x:c r="E509" s="12" t="str">
        <x:v>[UWG23-S13] Continue to improve the usability and performance of enterprise tools and services to better address needs of the ORNL DAAC’s user communities. (3 votes)</x:v>
      </x:c>
      <x:c r="F509" s="12" t="str">
        <x:v>Suggestion</x:v>
      </x:c>
      <x:c r="G509" s="12" t="str">
        <x:v>ORNL DAAC User Working Group</x:v>
      </x:c>
      <x:c r="H509" s="12" t="n">
        <x:v>2023</x:v>
      </x:c>
      <x:c r="I509" s="12" t="str">
        <x:v>New and occasional users</x:v>
      </x:c>
      <x:c r="J509" s="12" t="str">
        <x:v>High</x:v>
      </x:c>
      <x:c r="K509" s="16" t="n">
        <x:v>0.75</x:v>
      </x:c>
      <x:c r="L509" s="12" t="str">
        <x:v>LSA similarity cluster; human review pending</x:v>
      </x:c>
      <x:c r="M509" s="12" t="str">
        <x:v>Section: 11.7 ORNL DAAC UWG Suggestions for 2023</x:v>
      </x:c>
      <x:c r="N509" s="12" t="str"/>
      <x:c r="O509" s="12" t="str">
        <x:v>No</x:v>
      </x:c>
      <x:c r="P509" s="12" t="str">
        <x:v>No</x:v>
      </x:c>
      <x:c r="Q509" s="12"/>
      <x:c r="R509" s="12"/>
    </x:row>
    <x:row r="510">
      <x:c r="A510" s="12" t="str">
        <x:v>EVD-00509</x:v>
      </x:c>
      <x:c r="B510" s="12" t="str">
        <x:v>NEED-0120</x:v>
      </x:c>
      <x:c r="C510" s="12" t="str">
        <x:v>SRC-0003</x:v>
      </x:c>
      <x:c r="D510" s="12" t="str">
        <x:v>[UWG23-S14] Improve transparency and ease of understanding (particularly for the UWG) of organizational structure, points of contact, roles, and responsibilities across NASA Earth Science data-related organizations. (3 votes)</x:v>
      </x:c>
      <x:c r="E510" s="12" t="str">
        <x:v>[UWG23-S14] Improve transparency and ease of understanding (particularly for the UWG) of organizational structure, points of contact, roles, and responsibilities across NASA Earth Science data-related organizations. (3 votes)</x:v>
      </x:c>
      <x:c r="F510" s="12" t="str">
        <x:v>Suggestion</x:v>
      </x:c>
      <x:c r="G510" s="12" t="str">
        <x:v>ORNL DAAC User Working Group</x:v>
      </x:c>
      <x:c r="H510" s="12" t="n">
        <x:v>2023</x:v>
      </x:c>
      <x:c r="I510" s="12" t="str">
        <x:v>Earthdata users</x:v>
      </x:c>
      <x:c r="J510" s="12" t="str">
        <x:v>High</x:v>
      </x:c>
      <x:c r="K510" s="16" t="n">
        <x:v>0.75</x:v>
      </x:c>
      <x:c r="L510" s="12" t="str">
        <x:v>LSA similarity cluster; human review pending</x:v>
      </x:c>
      <x:c r="M510" s="12" t="str">
        <x:v>Section: 11.7 ORNL DAAC UWG Suggestions for 2023</x:v>
      </x:c>
      <x:c r="N510" s="12" t="str"/>
      <x:c r="O510" s="12" t="str">
        <x:v>No</x:v>
      </x:c>
      <x:c r="P510" s="12" t="str">
        <x:v>No</x:v>
      </x:c>
      <x:c r="Q510" s="12"/>
      <x:c r="R510" s="12"/>
    </x:row>
    <x:row r="511">
      <x:c r="A511" s="12" t="str">
        <x:v>EVD-00510</x:v>
      </x:c>
      <x:c r="B511" s="12" t="str">
        <x:v>NEED-0207</x:v>
      </x:c>
      <x:c r="C511" s="12" t="str">
        <x:v>SRC-0003</x:v>
      </x:c>
      <x:c r="D511" s="12" t="str">
        <x:v>[UWG23-S15] Continue and enhance collaborations across NASA to improve support for current and future NASA Earth Science missions. (2 votes)</x:v>
      </x:c>
      <x:c r="E511" s="12" t="str">
        <x:v>[UWG23-S15] Continue and enhance collaborations across NASA to improve support for current and future NASA Earth Science missions. (2 votes)</x:v>
      </x:c>
      <x:c r="F511" s="12" t="str">
        <x:v>Suggestion</x:v>
      </x:c>
      <x:c r="G511" s="12" t="str">
        <x:v>ORNL DAAC User Working Group</x:v>
      </x:c>
      <x:c r="H511" s="12" t="n">
        <x:v>2023</x:v>
      </x:c>
      <x:c r="I511" s="12" t="str">
        <x:v>Data producers and mission teams</x:v>
      </x:c>
      <x:c r="J511" s="12" t="str">
        <x:v>High</x:v>
      </x:c>
      <x:c r="K511" s="16" t="n">
        <x:v>0.75</x:v>
      </x:c>
      <x:c r="L511" s="12" t="str">
        <x:v>LSA similarity cluster; human review pending</x:v>
      </x:c>
      <x:c r="M511" s="12" t="str">
        <x:v>Section: 11.7 ORNL DAAC UWG Suggestions for 2023</x:v>
      </x:c>
      <x:c r="N511" s="12" t="str"/>
      <x:c r="O511" s="12" t="str">
        <x:v>No</x:v>
      </x:c>
      <x:c r="P511" s="12" t="str">
        <x:v>No</x:v>
      </x:c>
      <x:c r="Q511" s="12"/>
      <x:c r="R511" s="12"/>
    </x:row>
    <x:row r="512">
      <x:c r="A512" s="12" t="str">
        <x:v>EVD-00511</x:v>
      </x:c>
      <x:c r="B512" s="12" t="str">
        <x:v>NEED-0126</x:v>
      </x:c>
      <x:c r="C512" s="12" t="str">
        <x:v>SRC-0003</x:v>
      </x:c>
      <x:c r="D512" s="12" t="str">
        <x:v>[UWG23-S16] Continue and enhance work to ensure diversity in the UWG and engage more diverse users in UWG-related activities. (2 votes)</x:v>
      </x:c>
      <x:c r="E512" s="12" t="str">
        <x:v>[UWG23-S16] Continue and enhance work to ensure diversity in the UWG and engage more diverse users in UWG-related activities. (2 votes)</x:v>
      </x:c>
      <x:c r="F512" s="12" t="str">
        <x:v>Suggestion</x:v>
      </x:c>
      <x:c r="G512" s="12" t="str">
        <x:v>ORNL DAAC User Working Group</x:v>
      </x:c>
      <x:c r="H512" s="12" t="n">
        <x:v>2023</x:v>
      </x:c>
      <x:c r="I512" s="12" t="str">
        <x:v>Earthdata users</x:v>
      </x:c>
      <x:c r="J512" s="12" t="str">
        <x:v>High</x:v>
      </x:c>
      <x:c r="K512" s="16" t="n">
        <x:v>0.75</x:v>
      </x:c>
      <x:c r="L512" s="12" t="str">
        <x:v>LSA similarity cluster; human review pending</x:v>
      </x:c>
      <x:c r="M512" s="12" t="str">
        <x:v>Section: 11.7 ORNL DAAC UWG Suggestions for 2023</x:v>
      </x:c>
      <x:c r="N512" s="12" t="str"/>
      <x:c r="O512" s="12" t="str">
        <x:v>No</x:v>
      </x:c>
      <x:c r="P512" s="12" t="str">
        <x:v>No</x:v>
      </x:c>
      <x:c r="Q512" s="12"/>
      <x:c r="R512" s="12"/>
    </x:row>
    <x:row r="513">
      <x:c r="A513" s="12" t="str">
        <x:v>EVD-00512</x:v>
      </x:c>
      <x:c r="B513" s="12" t="str">
        <x:v>NEED-0126</x:v>
      </x:c>
      <x:c r="C513" s="12" t="str">
        <x:v>SRC-0003</x:v>
      </x:c>
      <x:c r="D513" s="12" t="str">
        <x:v>[UWG23-S17] Continue and enhance work to promote the return of investment on properly publishing and citing data for producers and users. (1 vote)</x:v>
      </x:c>
      <x:c r="E513" s="12" t="str">
        <x:v>[UWG23-S17] Continue and enhance work to promote the return of investment on properly publishing and citing data for producers and users. (1 vote)</x:v>
      </x:c>
      <x:c r="F513" s="12" t="str">
        <x:v>Suggestion</x:v>
      </x:c>
      <x:c r="G513" s="12" t="str">
        <x:v>ORNL DAAC User Working Group</x:v>
      </x:c>
      <x:c r="H513" s="12" t="n">
        <x:v>2023</x:v>
      </x:c>
      <x:c r="I513" s="12" t="str">
        <x:v>Earthdata users</x:v>
      </x:c>
      <x:c r="J513" s="12" t="str">
        <x:v>High</x:v>
      </x:c>
      <x:c r="K513" s="16" t="n">
        <x:v>0.75</x:v>
      </x:c>
      <x:c r="L513" s="12" t="str">
        <x:v>LSA similarity cluster; human review pending</x:v>
      </x:c>
      <x:c r="M513" s="12" t="str">
        <x:v>Section: 11.7 ORNL DAAC UWG Suggestions for 2023</x:v>
      </x:c>
      <x:c r="N513" s="12" t="str"/>
      <x:c r="O513" s="12" t="str">
        <x:v>No</x:v>
      </x:c>
      <x:c r="P513" s="12" t="str">
        <x:v>No</x:v>
      </x:c>
      <x:c r="Q513" s="12"/>
      <x:c r="R513" s="12"/>
    </x:row>
    <x:row r="514">
      <x:c r="A514" s="12" t="str">
        <x:v>EVD-00513</x:v>
      </x:c>
      <x:c r="B514" s="12" t="str">
        <x:v>NEED-0126</x:v>
      </x:c>
      <x:c r="C514" s="12" t="str">
        <x:v>SRC-0003</x:v>
      </x:c>
      <x:c r="D514" s="12" t="str">
        <x:v>[UWG23-S18] Investigate renaming the Flight Catalog to make it more eye-catching and increase its visibility. (1 vote)</x:v>
      </x:c>
      <x:c r="E514" s="12" t="str">
        <x:v>[UWG23-S18] Investigate renaming the Flight Catalog to make it more eye-catching and increase its visibility. (1 vote)</x:v>
      </x:c>
      <x:c r="F514" s="12" t="str">
        <x:v>Suggestion</x:v>
      </x:c>
      <x:c r="G514" s="12" t="str">
        <x:v>ORNL DAAC User Working Group</x:v>
      </x:c>
      <x:c r="H514" s="12" t="n">
        <x:v>2023</x:v>
      </x:c>
      <x:c r="I514" s="12" t="str">
        <x:v>Earthdata users</x:v>
      </x:c>
      <x:c r="J514" s="12" t="str">
        <x:v>Medium</x:v>
      </x:c>
      <x:c r="K514" s="16" t="n">
        <x:v>0.75</x:v>
      </x:c>
      <x:c r="L514" s="12" t="str">
        <x:v>LSA similarity cluster; human review pending</x:v>
      </x:c>
      <x:c r="M514" s="12" t="str">
        <x:v>Section: 11.7 ORNL DAAC UWG Suggestions for 2023</x:v>
      </x:c>
      <x:c r="N514" s="12" t="str"/>
      <x:c r="O514" s="12" t="str">
        <x:v>No</x:v>
      </x:c>
      <x:c r="P514" s="12" t="str">
        <x:v>No</x:v>
      </x:c>
      <x:c r="Q514" s="12"/>
      <x:c r="R514" s="12"/>
    </x:row>
    <x:row r="515">
      <x:c r="A515" s="12" t="str">
        <x:v>EVD-00514</x:v>
      </x:c>
      <x:c r="B515" s="12" t="str">
        <x:v>NEED-0049</x:v>
      </x:c>
      <x:c r="C515" s="12" t="str">
        <x:v>SRC-0003</x:v>
      </x:c>
      <x:c r="D515" s="12" t="str">
        <x:v>UWG suggested including announcement about where and how to access data from Earthdata. The Earthdata browser uses the same search tool, and users can contact ESDIS for any problems they met, and ESDIS will work with us to solve the issues. OB.DAAC may need to work with “search and discovery tool” team to make our data more accessible to users. (May 8)</x:v>
      </x:c>
      <x:c r="E515" s="12" t="str">
        <x:v>UWG suggested including announcement about where and how to access data from Earthdata. The Earthdata browser uses the same search tool, and users can contact ESDIS for any problems they met, and ESDIS will work with us to solve the issues. OB.DAAC may need to work with “search and discovery tool” team to make our data more accessible to users. (May 8)</x:v>
      </x:c>
      <x:c r="F515" s="12" t="str">
        <x:v>Action</x:v>
      </x:c>
      <x:c r="G515" s="12" t="str">
        <x:v>Ocean Biology DAAC User Working Group</x:v>
      </x:c>
      <x:c r="H515" s="12" t="n">
        <x:v>2023</x:v>
      </x:c>
      <x:c r="I515" s="12" t="str">
        <x:v>Earthdata users</x:v>
      </x:c>
      <x:c r="J515" s="12" t="str">
        <x:v>High</x:v>
      </x:c>
      <x:c r="K515" s="16" t="n">
        <x:v>0.75</x:v>
      </x:c>
      <x:c r="L515" s="12" t="str">
        <x:v>LSA similarity cluster; human review pending</x:v>
      </x:c>
      <x:c r="M515" s="12" t="str">
        <x:v>Section: 12.6 New Actions and Recommendations</x:v>
      </x:c>
      <x:c r="N515" s="12" t="str"/>
      <x:c r="O515" s="12" t="str">
        <x:v>No</x:v>
      </x:c>
      <x:c r="P515" s="12" t="str">
        <x:v>No</x:v>
      </x:c>
      <x:c r="Q515" s="12"/>
      <x:c r="R515" s="12"/>
    </x:row>
    <x:row r="516">
      <x:c r="A516" s="12" t="str">
        <x:v>EVD-00515</x:v>
      </x:c>
      <x:c r="B516" s="12" t="str">
        <x:v>NEED-0141</x:v>
      </x:c>
      <x:c r="C516" s="12" t="str">
        <x:v>SRC-0003</x:v>
      </x:c>
      <x:c r="D516" s="12" t="str">
        <x:v>Many PIs already have multiple NASA-related accounts and logins, so it would be nice if NASA could eventually work towards a more unified login approach to consolidate some of these accounts. (September 22)</x:v>
      </x:c>
      <x:c r="E516" s="12" t="str">
        <x:v>Many PIs already have multiple NASA-related accounts and logins, so it would be nice if NASA could eventually work towards a more unified login approach to consolidate some of these accounts. (September 22)</x:v>
      </x:c>
      <x:c r="F516" s="12" t="str">
        <x:v>Action</x:v>
      </x:c>
      <x:c r="G516" s="12" t="str">
        <x:v>Ocean Biology DAAC User Working Group</x:v>
      </x:c>
      <x:c r="H516" s="12" t="n">
        <x:v>2023</x:v>
      </x:c>
      <x:c r="I516" s="12" t="str">
        <x:v>Earthdata users</x:v>
      </x:c>
      <x:c r="J516" s="12" t="str">
        <x:v>Medium</x:v>
      </x:c>
      <x:c r="K516" s="16" t="n">
        <x:v>0.75</x:v>
      </x:c>
      <x:c r="L516" s="12" t="str">
        <x:v>LSA similarity cluster; human review pending</x:v>
      </x:c>
      <x:c r="M516" s="12" t="str">
        <x:v>Section: 12.6 New Actions and Recommendations</x:v>
      </x:c>
      <x:c r="N516" s="12" t="str"/>
      <x:c r="O516" s="12" t="str">
        <x:v>No</x:v>
      </x:c>
      <x:c r="P516" s="12" t="str">
        <x:v>No</x:v>
      </x:c>
      <x:c r="Q516" s="12"/>
      <x:c r="R516" s="12"/>
    </x:row>
    <x:row r="517">
      <x:c r="A517" s="12" t="str">
        <x:v>EVD-00516</x:v>
      </x:c>
      <x:c r="B517" s="12" t="str">
        <x:v>NEED-0029</x:v>
      </x:c>
      <x:c r="C517" s="12" t="str">
        <x:v>SRC-0003</x:v>
      </x:c>
      <x:c r="D517" s="12" t="str">
        <x:v>Should have a webpage that talks about data distribution especially for the data holding by multiple DAACS, such as SST by PO.DAAC. (May 8)</x:v>
      </x:c>
      <x:c r="E517" s="12" t="str">
        <x:v>Should have a webpage that talks about data distribution especially for the data holding by multiple DAACS, such as SST by PO.DAAC. (May 8)</x:v>
      </x:c>
      <x:c r="F517" s="12" t="str">
        <x:v>Action</x:v>
      </x:c>
      <x:c r="G517" s="12" t="str">
        <x:v>Ocean Biology DAAC User Working Group</x:v>
      </x:c>
      <x:c r="H517" s="12" t="n">
        <x:v>2023</x:v>
      </x:c>
      <x:c r="I517" s="12" t="str">
        <x:v>Earthdata users</x:v>
      </x:c>
      <x:c r="J517" s="12" t="str">
        <x:v>High</x:v>
      </x:c>
      <x:c r="K517" s="16" t="n">
        <x:v>0.75</x:v>
      </x:c>
      <x:c r="L517" s="12" t="str">
        <x:v>LSA similarity cluster; human review pending</x:v>
      </x:c>
      <x:c r="M517" s="12" t="str">
        <x:v>Section: 12.6 New Actions and Recommendations</x:v>
      </x:c>
      <x:c r="N517" s="12" t="str"/>
      <x:c r="O517" s="12" t="str">
        <x:v>No</x:v>
      </x:c>
      <x:c r="P517" s="12" t="str">
        <x:v>No</x:v>
      </x:c>
      <x:c r="Q517" s="12"/>
      <x:c r="R517" s="12"/>
    </x:row>
    <x:row r="518">
      <x:c r="A518" s="12" t="str">
        <x:v>EVD-00517</x:v>
      </x:c>
      <x:c r="B518" s="12" t="str">
        <x:v>NEED-0052</x:v>
      </x:c>
      <x:c r="C518" s="12" t="str">
        <x:v>SRC-0003</x:v>
      </x:c>
      <x:c r="D518" s="12" t="str">
        <x:v>Let users know what data is available. For a particular study interest, provide what kind of data available even those data are from different DAACs, or sample research studies – such as NASA funded research. (May 8)</x:v>
      </x:c>
      <x:c r="E518" s="12" t="str">
        <x:v>Let users know what data is available. For a particular study interest, provide what kind of data available even those data are from different DAACs, or sample research studies – such as NASA funded research. (May 8)</x:v>
      </x:c>
      <x:c r="F518" s="12" t="str">
        <x:v>Action</x:v>
      </x:c>
      <x:c r="G518" s="12" t="str">
        <x:v>Ocean Biology DAAC User Working Group</x:v>
      </x:c>
      <x:c r="H518" s="12" t="n">
        <x:v>2023</x:v>
      </x:c>
      <x:c r="I518" s="12" t="str">
        <x:v>Earth science researchers</x:v>
      </x:c>
      <x:c r="J518" s="12" t="str">
        <x:v>High</x:v>
      </x:c>
      <x:c r="K518" s="16" t="n">
        <x:v>0.75</x:v>
      </x:c>
      <x:c r="L518" s="12" t="str">
        <x:v>LSA similarity cluster; human review pending</x:v>
      </x:c>
      <x:c r="M518" s="12" t="str">
        <x:v>Section: 12.6 New Actions and Recommendations</x:v>
      </x:c>
      <x:c r="N518" s="12" t="str"/>
      <x:c r="O518" s="12" t="str">
        <x:v>No</x:v>
      </x:c>
      <x:c r="P518" s="12" t="str">
        <x:v>No</x:v>
      </x:c>
      <x:c r="Q518" s="12"/>
      <x:c r="R518" s="12"/>
    </x:row>
    <x:row r="519">
      <x:c r="A519" s="12" t="str">
        <x:v>EVD-00518</x:v>
      </x:c>
      <x:c r="B519" s="12" t="str">
        <x:v>NEED-0055</x:v>
      </x:c>
      <x:c r="C519" s="12" t="str">
        <x:v>SRC-0003</x:v>
      </x:c>
      <x:c r="D519" s="12" t="str">
        <x:v>Response: There is a tool for this purpose, called Science Discovery Engine (https://science.data.nasa.gov/science-discovery-engine/)</x:v>
      </x:c>
      <x:c r="E519" s="12" t="str">
        <x:v>Response: There is a tool for this purpose, called Science Discovery Engine (https://science.data.nasa.gov/science-discovery-engine/)</x:v>
      </x:c>
      <x:c r="F519" s="12" t="str">
        <x:v>Action</x:v>
      </x:c>
      <x:c r="G519" s="12" t="str">
        <x:v>Ocean Biology DAAC User Working Group</x:v>
      </x:c>
      <x:c r="H519" s="12" t="n">
        <x:v>2023</x:v>
      </x:c>
      <x:c r="I519" s="12" t="str">
        <x:v>Earthdata users</x:v>
      </x:c>
      <x:c r="J519" s="12" t="str">
        <x:v>Medium</x:v>
      </x:c>
      <x:c r="K519" s="16" t="n">
        <x:v>0.75</x:v>
      </x:c>
      <x:c r="L519" s="12" t="str">
        <x:v>LSA similarity cluster; human review pending</x:v>
      </x:c>
      <x:c r="M519" s="12" t="str">
        <x:v>Section: 12.6 New Actions and Recommendations</x:v>
      </x:c>
      <x:c r="N519" s="12" t="str"/>
      <x:c r="O519" s="12" t="str">
        <x:v>No</x:v>
      </x:c>
      <x:c r="P519" s="12" t="str">
        <x:v>No</x:v>
      </x:c>
      <x:c r="Q519" s="12"/>
      <x:c r="R519" s="12"/>
    </x:row>
    <x:row r="520">
      <x:c r="A520" s="12" t="str">
        <x:v>EVD-00519</x:v>
      </x:c>
      <x:c r="B520" s="12" t="str">
        <x:v>NEED-0125</x:v>
      </x:c>
      <x:c r="C520" s="12" t="str">
        <x:v>SRC-0003</x:v>
      </x:c>
      <x:c r="D520" s="12" t="str">
        <x:v>Add GLIMR page. (May 8, Done)</x:v>
      </x:c>
      <x:c r="E520" s="12" t="str">
        <x:v>Add GLIMR page. (May 8, Done)</x:v>
      </x:c>
      <x:c r="F520" s="12" t="str">
        <x:v>Action</x:v>
      </x:c>
      <x:c r="G520" s="12" t="str">
        <x:v>Ocean Biology DAAC User Working Group</x:v>
      </x:c>
      <x:c r="H520" s="12" t="n">
        <x:v>2023</x:v>
      </x:c>
      <x:c r="I520" s="12" t="str">
        <x:v>Earthdata users</x:v>
      </x:c>
      <x:c r="J520" s="12" t="str">
        <x:v>Medium</x:v>
      </x:c>
      <x:c r="K520" s="16" t="n">
        <x:v>0.75</x:v>
      </x:c>
      <x:c r="L520" s="12" t="str">
        <x:v>LSA similarity cluster; human review pending</x:v>
      </x:c>
      <x:c r="M520" s="12" t="str">
        <x:v>Section: 12.6 New Actions and Recommendations</x:v>
      </x:c>
      <x:c r="N520" s="12" t="str"/>
      <x:c r="O520" s="12" t="str">
        <x:v>No</x:v>
      </x:c>
      <x:c r="P520" s="12" t="str">
        <x:v>No</x:v>
      </x:c>
      <x:c r="Q520" s="12"/>
      <x:c r="R520" s="12"/>
    </x:row>
    <x:row r="521">
      <x:c r="A521" s="12" t="str">
        <x:v>EVD-00520</x:v>
      </x:c>
      <x:c r="B521" s="12" t="str">
        <x:v>NEED-0023</x:v>
      </x:c>
      <x:c r="C521" s="12" t="str">
        <x:v>SRC-0003</x:v>
      </x:c>
      <x:c r="D521" s="12" t="str">
        <x:v>Optimize the website for mobile accessibility. (May 8, Done)</x:v>
      </x:c>
      <x:c r="E521" s="12" t="str">
        <x:v>Optimize the website for mobile accessibility. (May 8, Done)</x:v>
      </x:c>
      <x:c r="F521" s="12" t="str">
        <x:v>Action</x:v>
      </x:c>
      <x:c r="G521" s="12" t="str">
        <x:v>Ocean Biology DAAC User Working Group</x:v>
      </x:c>
      <x:c r="H521" s="12" t="n">
        <x:v>2023</x:v>
      </x:c>
      <x:c r="I521" s="12" t="str">
        <x:v>Earthdata users</x:v>
      </x:c>
      <x:c r="J521" s="12" t="str">
        <x:v>Medium</x:v>
      </x:c>
      <x:c r="K521" s="16" t="n">
        <x:v>0.75</x:v>
      </x:c>
      <x:c r="L521" s="12" t="str">
        <x:v>LSA similarity cluster; human review pending</x:v>
      </x:c>
      <x:c r="M521" s="12" t="str">
        <x:v>Section: 12.6 New Actions and Recommendations</x:v>
      </x:c>
      <x:c r="N521" s="12" t="str"/>
      <x:c r="O521" s="12" t="str">
        <x:v>No</x:v>
      </x:c>
      <x:c r="P521" s="12" t="str">
        <x:v>No</x:v>
      </x:c>
      <x:c r="Q521" s="12"/>
      <x:c r="R521" s="12"/>
    </x:row>
    <x:row r="522">
      <x:c r="A522" s="12" t="str">
        <x:v>EVD-00521</x:v>
      </x:c>
      <x:c r="B522" s="12" t="str">
        <x:v>NEED-0039</x:v>
      </x:c>
      <x:c r="C522" s="12" t="str">
        <x:v>SRC-0003</x:v>
      </x:c>
      <x:c r="D522" s="12" t="str">
        <x:v>For ATBDs and documentations on the new website, add links under “Resources” &gt; “Documentation.” NOTE: The ATBDs will ultimately go to APT, where PIs will maintain their algorithms. The future ATBDs will be accessible and user friendly. (May 8, September 22, Done)</x:v>
      </x:c>
      <x:c r="E522" s="12" t="str">
        <x:v>For ATBDs and documentations on the new website, add links under “Resources” &gt; “Documentation.” NOTE: The ATBDs will ultimately go to APT, where PIs will maintain their algorithms. The future ATBDs will be accessible and user friendly. (May 8, September 22, Done)</x:v>
      </x:c>
      <x:c r="F522" s="12" t="str">
        <x:v>Action</x:v>
      </x:c>
      <x:c r="G522" s="12" t="str">
        <x:v>Ocean Biology DAAC User Working Group</x:v>
      </x:c>
      <x:c r="H522" s="12" t="n">
        <x:v>2023</x:v>
      </x:c>
      <x:c r="I522" s="12" t="str">
        <x:v>Earthdata users</x:v>
      </x:c>
      <x:c r="J522" s="12" t="str">
        <x:v>High</x:v>
      </x:c>
      <x:c r="K522" s="16" t="n">
        <x:v>0.75</x:v>
      </x:c>
      <x:c r="L522" s="12" t="str">
        <x:v>LSA similarity cluster; human review pending</x:v>
      </x:c>
      <x:c r="M522" s="12" t="str">
        <x:v>Section: 12.6 New Actions and Recommendations</x:v>
      </x:c>
      <x:c r="N522" s="12" t="str"/>
      <x:c r="O522" s="12" t="str">
        <x:v>No</x:v>
      </x:c>
      <x:c r="P522" s="12" t="str">
        <x:v>No</x:v>
      </x:c>
      <x:c r="Q522" s="12"/>
      <x:c r="R522" s="12"/>
    </x:row>
    <x:row r="523">
      <x:c r="A523" s="12" t="str">
        <x:v>EVD-00522</x:v>
      </x:c>
      <x:c r="B523" s="12" t="str">
        <x:v>NEED-0148</x:v>
      </x:c>
      <x:c r="C523" s="12" t="str">
        <x:v>SRC-0003</x:v>
      </x:c>
      <x:c r="D523" s="12" t="str">
        <x:v>On new website, update the tabs and links according to users’ feedback. (September 22, Done)</x:v>
      </x:c>
      <x:c r="E523" s="12" t="str">
        <x:v>On new website, update the tabs and links according to users’ feedback. (September 22, Done)</x:v>
      </x:c>
      <x:c r="F523" s="12" t="str">
        <x:v>Action</x:v>
      </x:c>
      <x:c r="G523" s="12" t="str">
        <x:v>Ocean Biology DAAC User Working Group</x:v>
      </x:c>
      <x:c r="H523" s="12" t="n">
        <x:v>2023</x:v>
      </x:c>
      <x:c r="I523" s="12" t="str">
        <x:v>Earthdata users</x:v>
      </x:c>
      <x:c r="J523" s="12" t="str">
        <x:v>Medium</x:v>
      </x:c>
      <x:c r="K523" s="16" t="n">
        <x:v>0.75</x:v>
      </x:c>
      <x:c r="L523" s="12" t="str">
        <x:v>LSA similarity cluster; human review pending</x:v>
      </x:c>
      <x:c r="M523" s="12" t="str">
        <x:v>Section: 12.6 New Actions and Recommendations</x:v>
      </x:c>
      <x:c r="N523" s="12" t="str"/>
      <x:c r="O523" s="12" t="str">
        <x:v>No</x:v>
      </x:c>
      <x:c r="P523" s="12" t="str">
        <x:v>No</x:v>
      </x:c>
      <x:c r="Q523" s="12"/>
      <x:c r="R523" s="12"/>
    </x:row>
    <x:row r="524">
      <x:c r="A524" s="12" t="str">
        <x:v>EVD-00523</x:v>
      </x:c>
      <x:c r="B524" s="12" t="str">
        <x:v>NEED-0148</x:v>
      </x:c>
      <x:c r="C524" s="12" t="str">
        <x:v>SRC-0003</x:v>
      </x:c>
      <x:c r="D524" s="12" t="str">
        <x:v>Address presence of ARSET on ocean color website. (September 22, Done)</x:v>
      </x:c>
      <x:c r="E524" s="12" t="str">
        <x:v>Address presence of ARSET on ocean color website. (September 22, Done)</x:v>
      </x:c>
      <x:c r="F524" s="12" t="str">
        <x:v>Action</x:v>
      </x:c>
      <x:c r="G524" s="12" t="str">
        <x:v>Ocean Biology DAAC User Working Group</x:v>
      </x:c>
      <x:c r="H524" s="12" t="n">
        <x:v>2023</x:v>
      </x:c>
      <x:c r="I524" s="12" t="str">
        <x:v>Earthdata users</x:v>
      </x:c>
      <x:c r="J524" s="12" t="str">
        <x:v>Medium</x:v>
      </x:c>
      <x:c r="K524" s="16" t="n">
        <x:v>0.75</x:v>
      </x:c>
      <x:c r="L524" s="12" t="str">
        <x:v>LSA similarity cluster; human review pending</x:v>
      </x:c>
      <x:c r="M524" s="12" t="str">
        <x:v>Section: 12.6 New Actions and Recommendations</x:v>
      </x:c>
      <x:c r="N524" s="12" t="str"/>
      <x:c r="O524" s="12" t="str">
        <x:v>No</x:v>
      </x:c>
      <x:c r="P524" s="12" t="str">
        <x:v>No</x:v>
      </x:c>
      <x:c r="Q524" s="12"/>
      <x:c r="R524" s="12"/>
    </x:row>
    <x:row r="525">
      <x:c r="A525" s="12" t="str">
        <x:v>EVD-00524</x:v>
      </x:c>
      <x:c r="B525" s="12" t="str">
        <x:v>NEED-0167</x:v>
      </x:c>
      <x:c r="C525" s="12" t="str">
        <x:v>SRC-0003</x:v>
      </x:c>
      <x:c r="D525" s="12" t="str">
        <x:v>Add a mission timeline table, and addressed the services and products each mission provides. (September 22, Done)</x:v>
      </x:c>
      <x:c r="E525" s="12" t="str">
        <x:v>Add a mission timeline table, and addressed the services and products each mission provides. (September 22, Done)</x:v>
      </x:c>
      <x:c r="F525" s="12" t="str">
        <x:v>Action</x:v>
      </x:c>
      <x:c r="G525" s="12" t="str">
        <x:v>Ocean Biology DAAC User Working Group</x:v>
      </x:c>
      <x:c r="H525" s="12" t="n">
        <x:v>2023</x:v>
      </x:c>
      <x:c r="I525" s="12" t="str">
        <x:v>Data producers and mission teams</x:v>
      </x:c>
      <x:c r="J525" s="12" t="str">
        <x:v>Medium</x:v>
      </x:c>
      <x:c r="K525" s="16" t="n">
        <x:v>0.75</x:v>
      </x:c>
      <x:c r="L525" s="12" t="str">
        <x:v>LSA similarity cluster; human review pending</x:v>
      </x:c>
      <x:c r="M525" s="12" t="str">
        <x:v>Section: 12.6 New Actions and Recommendations</x:v>
      </x:c>
      <x:c r="N525" s="12" t="str"/>
      <x:c r="O525" s="12" t="str">
        <x:v>No</x:v>
      </x:c>
      <x:c r="P525" s="12" t="str">
        <x:v>No</x:v>
      </x:c>
      <x:c r="Q525" s="12"/>
      <x:c r="R525" s="12"/>
    </x:row>
    <x:row r="526">
      <x:c r="A526" s="12" t="str">
        <x:v>EVD-00525</x:v>
      </x:c>
      <x:c r="B526" s="12" t="str">
        <x:v>NEED-0130</x:v>
      </x:c>
      <x:c r="C526" s="12" t="str">
        <x:v>SRC-0003</x:v>
      </x:c>
      <x:c r="D526" s="12" t="str">
        <x:v>SeaDAS – do a more careful testing before releasing a new tag. (May 8)</x:v>
      </x:c>
      <x:c r="E526" s="12" t="str">
        <x:v>SeaDAS – do a more careful testing before releasing a new tag. (May 8)</x:v>
      </x:c>
      <x:c r="F526" s="12" t="str">
        <x:v>Action</x:v>
      </x:c>
      <x:c r="G526" s="12" t="str">
        <x:v>Ocean Biology DAAC User Working Group</x:v>
      </x:c>
      <x:c r="H526" s="12" t="n">
        <x:v>2023</x:v>
      </x:c>
      <x:c r="I526" s="12" t="str">
        <x:v>Earthdata users</x:v>
      </x:c>
      <x:c r="J526" s="12" t="str">
        <x:v>Medium</x:v>
      </x:c>
      <x:c r="K526" s="16" t="n">
        <x:v>0.75</x:v>
      </x:c>
      <x:c r="L526" s="12" t="str">
        <x:v>LSA similarity cluster; human review pending</x:v>
      </x:c>
      <x:c r="M526" s="12" t="str">
        <x:v>Section: 12.6 New Actions and Recommendations</x:v>
      </x:c>
      <x:c r="N526" s="12" t="str"/>
      <x:c r="O526" s="12" t="str">
        <x:v>No</x:v>
      </x:c>
      <x:c r="P526" s="12" t="str">
        <x:v>No</x:v>
      </x:c>
      <x:c r="Q526" s="12"/>
      <x:c r="R526" s="12"/>
    </x:row>
    <x:row r="527">
      <x:c r="A527" s="12" t="str">
        <x:v>EVD-00526</x:v>
      </x:c>
      <x:c r="B527" s="12" t="str">
        <x:v>NEED-0167</x:v>
      </x:c>
      <x:c r="C527" s="12" t="str">
        <x:v>SRC-0003</x:v>
      </x:c>
      <x:c r="D527" s="12" t="str">
        <x:v>SeaDAS – installation has been hard, especially for windows. It causes a lot of extra work for students and teachers. Should seek a way for users to easily use the services without worrying about the installation. (September 22)</x:v>
      </x:c>
      <x:c r="E527" s="12" t="str">
        <x:v>SeaDAS – installation has been hard, especially for windows. It causes a lot of extra work for students and teachers. Should seek a way for users to easily use the services without worrying about the installation. (September 22)</x:v>
      </x:c>
      <x:c r="F527" s="12" t="str">
        <x:v>Action</x:v>
      </x:c>
      <x:c r="G527" s="12" t="str">
        <x:v>Ocean Biology DAAC User Working Group</x:v>
      </x:c>
      <x:c r="H527" s="12" t="n">
        <x:v>2023</x:v>
      </x:c>
      <x:c r="I527" s="12" t="str">
        <x:v>Educators and trainers</x:v>
      </x:c>
      <x:c r="J527" s="12" t="str">
        <x:v>High</x:v>
      </x:c>
      <x:c r="K527" s="16" t="n">
        <x:v>0.75</x:v>
      </x:c>
      <x:c r="L527" s="12" t="str">
        <x:v>LSA similarity cluster; human review pending</x:v>
      </x:c>
      <x:c r="M527" s="12" t="str">
        <x:v>Section: 12.6 New Actions and Recommendations</x:v>
      </x:c>
      <x:c r="N527" s="12" t="str"/>
      <x:c r="O527" s="12" t="str">
        <x:v>No</x:v>
      </x:c>
      <x:c r="P527" s="12" t="str">
        <x:v>No</x:v>
      </x:c>
      <x:c r="Q527" s="12"/>
      <x:c r="R527" s="12"/>
    </x:row>
    <x:row r="528">
      <x:c r="A528" s="12" t="str">
        <x:v>EVD-00527</x:v>
      </x:c>
      <x:c r="B528" s="12" t="str">
        <x:v>NEED-0074</x:v>
      </x:c>
      <x:c r="C528" s="12" t="str">
        <x:v>SRC-0003</x:v>
      </x:c>
      <x:c r="D528" s="12" t="str">
        <x:v>SeaBASS - it needs more explanation about each dataset, such as the time series. (May 8)</x:v>
      </x:c>
      <x:c r="E528" s="12" t="str">
        <x:v>SeaBASS - it needs more explanation about each dataset, such as the time series. (May 8)</x:v>
      </x:c>
      <x:c r="F528" s="12" t="str">
        <x:v>Action</x:v>
      </x:c>
      <x:c r="G528" s="12" t="str">
        <x:v>Ocean Biology DAAC User Working Group</x:v>
      </x:c>
      <x:c r="H528" s="12" t="n">
        <x:v>2023</x:v>
      </x:c>
      <x:c r="I528" s="12" t="str">
        <x:v>Earthdata users</x:v>
      </x:c>
      <x:c r="J528" s="12" t="str">
        <x:v>Medium</x:v>
      </x:c>
      <x:c r="K528" s="16" t="n">
        <x:v>0.75</x:v>
      </x:c>
      <x:c r="L528" s="12" t="str">
        <x:v>LSA similarity cluster; human review pending</x:v>
      </x:c>
      <x:c r="M528" s="12" t="str">
        <x:v>Section: 12.6 New Actions and Recommendations</x:v>
      </x:c>
      <x:c r="N528" s="12" t="str"/>
      <x:c r="O528" s="12" t="str">
        <x:v>No</x:v>
      </x:c>
      <x:c r="P528" s="12" t="str">
        <x:v>No</x:v>
      </x:c>
      <x:c r="Q528" s="12"/>
      <x:c r="R528" s="12"/>
    </x:row>
    <x:row r="529">
      <x:c r="A529" s="12" t="str">
        <x:v>EVD-00528</x:v>
      </x:c>
      <x:c r="B529" s="12" t="str">
        <x:v>NEED-0167</x:v>
      </x:c>
      <x:c r="C529" s="12" t="str">
        <x:v>SRC-0003</x:v>
      </x:c>
      <x:c r="D529" s="12" t="str">
        <x:v>Make data browse tools more intuitive and enhance the visualization capabilities (for the OB portal on Earthdata). (May 8, September 22)</x:v>
      </x:c>
      <x:c r="E529" s="12" t="str">
        <x:v>Make data browse tools more intuitive and enhance the visualization capabilities (for the OB portal on Earthdata). (May 8, September 22)</x:v>
      </x:c>
      <x:c r="F529" s="12" t="str">
        <x:v>Action</x:v>
      </x:c>
      <x:c r="G529" s="12" t="str">
        <x:v>Ocean Biology DAAC User Working Group</x:v>
      </x:c>
      <x:c r="H529" s="12" t="n">
        <x:v>2023</x:v>
      </x:c>
      <x:c r="I529" s="12" t="str">
        <x:v>Earthdata users</x:v>
      </x:c>
      <x:c r="J529" s="12" t="str">
        <x:v>Medium</x:v>
      </x:c>
      <x:c r="K529" s="16" t="n">
        <x:v>0.75</x:v>
      </x:c>
      <x:c r="L529" s="12" t="str">
        <x:v>LSA similarity cluster; human review pending</x:v>
      </x:c>
      <x:c r="M529" s="12" t="str">
        <x:v>Section: 12.6 New Actions and Recommendations</x:v>
      </x:c>
      <x:c r="N529" s="12" t="str"/>
      <x:c r="O529" s="12" t="str">
        <x:v>No</x:v>
      </x:c>
      <x:c r="P529" s="12" t="str">
        <x:v>No</x:v>
      </x:c>
      <x:c r="Q529" s="12"/>
      <x:c r="R529" s="12"/>
    </x:row>
    <x:row r="530">
      <x:c r="A530" s="12" t="str">
        <x:v>EVD-00529</x:v>
      </x:c>
      <x:c r="B530" s="12" t="str">
        <x:v>NEED-0129</x:v>
      </x:c>
      <x:c r="C530" s="12" t="str">
        <x:v>SRC-0003</x:v>
      </x:c>
      <x:c r="D530" s="12" t="str">
        <x:v>DAACs may want to archive the data that is NASA-funded. (May 8)</x:v>
      </x:c>
      <x:c r="E530" s="12" t="str">
        <x:v>DAACs may want to archive the data that is NASA-funded. (May 8)</x:v>
      </x:c>
      <x:c r="F530" s="12" t="str">
        <x:v>Action</x:v>
      </x:c>
      <x:c r="G530" s="12" t="str">
        <x:v>Ocean Biology DAAC User Working Group</x:v>
      </x:c>
      <x:c r="H530" s="12" t="n">
        <x:v>2023</x:v>
      </x:c>
      <x:c r="I530" s="12" t="str">
        <x:v>Data producers and mission teams</x:v>
      </x:c>
      <x:c r="J530" s="12" t="str">
        <x:v>Medium</x:v>
      </x:c>
      <x:c r="K530" s="16" t="n">
        <x:v>0.75</x:v>
      </x:c>
      <x:c r="L530" s="12" t="str">
        <x:v>LSA similarity cluster; human review pending</x:v>
      </x:c>
      <x:c r="M530" s="12" t="str">
        <x:v>Section: 12.6 New Actions and Recommendations</x:v>
      </x:c>
      <x:c r="N530" s="12" t="str"/>
      <x:c r="O530" s="12" t="str">
        <x:v>No</x:v>
      </x:c>
      <x:c r="P530" s="12" t="str">
        <x:v>No</x:v>
      </x:c>
      <x:c r="Q530" s="12"/>
      <x:c r="R530" s="12"/>
    </x:row>
    <x:row r="531">
      <x:c r="A531" s="12" t="str">
        <x:v>EVD-00530</x:v>
      </x:c>
      <x:c r="B531" s="12" t="str">
        <x:v>NEED-0088</x:v>
      </x:c>
      <x:c r="C531" s="12" t="str">
        <x:v>SRC-0003</x:v>
      </x:c>
      <x:c r="D531" s="12" t="str">
        <x:v>Link data to the mission products’ validation figures to allow users to play around and produce their own figures. (May 8)</x:v>
      </x:c>
      <x:c r="E531" s="12" t="str">
        <x:v>Link data to the mission products’ validation figures to allow users to play around and produce their own figures. (May 8)</x:v>
      </x:c>
      <x:c r="F531" s="12" t="str">
        <x:v>Action</x:v>
      </x:c>
      <x:c r="G531" s="12" t="str">
        <x:v>Ocean Biology DAAC User Working Group</x:v>
      </x:c>
      <x:c r="H531" s="12" t="n">
        <x:v>2023</x:v>
      </x:c>
      <x:c r="I531" s="12" t="str">
        <x:v>Data producers and mission teams</x:v>
      </x:c>
      <x:c r="J531" s="12" t="str">
        <x:v>High</x:v>
      </x:c>
      <x:c r="K531" s="16" t="n">
        <x:v>0.75</x:v>
      </x:c>
      <x:c r="L531" s="12" t="str">
        <x:v>LSA similarity cluster; human review pending</x:v>
      </x:c>
      <x:c r="M531" s="12" t="str">
        <x:v>Section: 12.6 New Actions and Recommendations</x:v>
      </x:c>
      <x:c r="N531" s="12" t="str"/>
      <x:c r="O531" s="12" t="str">
        <x:v>No</x:v>
      </x:c>
      <x:c r="P531" s="12" t="str">
        <x:v>No</x:v>
      </x:c>
      <x:c r="Q531" s="12"/>
      <x:c r="R531" s="12"/>
    </x:row>
    <x:row r="532">
      <x:c r="A532" s="12" t="str">
        <x:v>EVD-00531</x:v>
      </x:c>
      <x:c r="B532" s="12" t="str">
        <x:v>NEED-0046</x:v>
      </x:c>
      <x:c r="C532" s="12" t="str">
        <x:v>SRC-0003</x:v>
      </x:c>
      <x:c r="D532" s="12" t="str">
        <x:v>Concerns: Users find it difficult to access some documents, such as the satellite product validation for particular regions.</x:v>
      </x:c>
      <x:c r="E532" s="12" t="str">
        <x:v>Concerns: Users find it difficult to access some documents, such as the satellite product validation for particular regions.</x:v>
      </x:c>
      <x:c r="F532" s="12" t="str">
        <x:v>Action</x:v>
      </x:c>
      <x:c r="G532" s="12" t="str">
        <x:v>Ocean Biology DAAC User Working Group</x:v>
      </x:c>
      <x:c r="H532" s="12" t="n">
        <x:v>2023</x:v>
      </x:c>
      <x:c r="I532" s="12" t="str">
        <x:v>Earthdata users</x:v>
      </x:c>
      <x:c r="J532" s="12" t="str">
        <x:v>Medium</x:v>
      </x:c>
      <x:c r="K532" s="16" t="n">
        <x:v>0.55</x:v>
      </x:c>
      <x:c r="L532" s="12" t="str">
        <x:v>LSA similarity cluster; human review pending</x:v>
      </x:c>
      <x:c r="M532" s="12" t="str">
        <x:v>Section: 12.6 New Actions and Recommendations</x:v>
      </x:c>
      <x:c r="N532" s="12" t="str"/>
      <x:c r="O532" s="12" t="str">
        <x:v>No</x:v>
      </x:c>
      <x:c r="P532" s="12" t="str">
        <x:v>No</x:v>
      </x:c>
      <x:c r="Q532" s="12"/>
      <x:c r="R532" s="12"/>
    </x:row>
    <x:row r="533">
      <x:c r="A533" s="12" t="str">
        <x:v>EVD-00532</x:v>
      </x:c>
      <x:c r="B533" s="12" t="str">
        <x:v>NEED-0023</x:v>
      </x:c>
      <x:c r="C533" s="12" t="str">
        <x:v>SRC-0003</x:v>
      </x:c>
      <x:c r="D533" s="12" t="str">
        <x:v>Educating new audiences about availability and accessibility of data, including where to access data and how to use it. (May 8, September 22)</x:v>
      </x:c>
      <x:c r="E533" s="12" t="str">
        <x:v>Educating new audiences about availability and accessibility of data, including where to access data and how to use it. (May 8, September 22)</x:v>
      </x:c>
      <x:c r="F533" s="12" t="str">
        <x:v>Action</x:v>
      </x:c>
      <x:c r="G533" s="12" t="str">
        <x:v>Ocean Biology DAAC User Working Group</x:v>
      </x:c>
      <x:c r="H533" s="12" t="n">
        <x:v>2023</x:v>
      </x:c>
      <x:c r="I533" s="12" t="str">
        <x:v>Earthdata users</x:v>
      </x:c>
      <x:c r="J533" s="12" t="str">
        <x:v>Medium</x:v>
      </x:c>
      <x:c r="K533" s="16" t="n">
        <x:v>0.75</x:v>
      </x:c>
      <x:c r="L533" s="12" t="str">
        <x:v>LSA similarity cluster; human review pending</x:v>
      </x:c>
      <x:c r="M533" s="12" t="str">
        <x:v>Section: 12.6 New Actions and Recommendations</x:v>
      </x:c>
      <x:c r="N533" s="12" t="str"/>
      <x:c r="O533" s="12" t="str">
        <x:v>No</x:v>
      </x:c>
      <x:c r="P533" s="12" t="str">
        <x:v>No</x:v>
      </x:c>
      <x:c r="Q533" s="12"/>
      <x:c r="R533" s="12"/>
    </x:row>
    <x:row r="534">
      <x:c r="A534" s="12" t="str">
        <x:v>EVD-00533</x:v>
      </x:c>
      <x:c r="B534" s="12" t="str">
        <x:v>NEED-0204</x:v>
      </x:c>
      <x:c r="C534" s="12" t="str">
        <x:v>SRC-0003</x:v>
      </x:c>
      <x:c r="D534" s="12" t="str">
        <x:v>Add case studies in a tutorial/"new to ocean color" section.</x:v>
      </x:c>
      <x:c r="E534" s="12" t="str">
        <x:v>Add case studies in a tutorial/"new to ocean color" section.</x:v>
      </x:c>
      <x:c r="F534" s="12" t="str">
        <x:v>Action</x:v>
      </x:c>
      <x:c r="G534" s="12" t="str">
        <x:v>Ocean Biology DAAC User Working Group</x:v>
      </x:c>
      <x:c r="H534" s="12" t="n">
        <x:v>2023</x:v>
      </x:c>
      <x:c r="I534" s="12" t="str">
        <x:v>Educators and trainers</x:v>
      </x:c>
      <x:c r="J534" s="12" t="str">
        <x:v>Medium</x:v>
      </x:c>
      <x:c r="K534" s="16" t="n">
        <x:v>0.75</x:v>
      </x:c>
      <x:c r="L534" s="12" t="str">
        <x:v>LSA similarity cluster; human review pending</x:v>
      </x:c>
      <x:c r="M534" s="12" t="str">
        <x:v>Section: 12.6 New Actions and Recommendations</x:v>
      </x:c>
      <x:c r="N534" s="12" t="str"/>
      <x:c r="O534" s="12" t="str">
        <x:v>No</x:v>
      </x:c>
      <x:c r="P534" s="12" t="str">
        <x:v>No</x:v>
      </x:c>
      <x:c r="Q534" s="12"/>
      <x:c r="R534" s="12"/>
    </x:row>
    <x:row r="535">
      <x:c r="A535" s="12" t="str">
        <x:v>EVD-00534</x:v>
      </x:c>
      <x:c r="B535" s="12" t="str">
        <x:v>NEED-0169</x:v>
      </x:c>
      <x:c r="C535" s="12" t="str">
        <x:v>SRC-0003</x:v>
      </x:c>
      <x:c r="D535" s="12" t="str">
        <x:v>Use case studies to teach users how to use all tools including how to process data.</x:v>
      </x:c>
      <x:c r="E535" s="12" t="str">
        <x:v>Use case studies to teach users how to use all tools including how to process data.</x:v>
      </x:c>
      <x:c r="F535" s="12" t="str">
        <x:v>Action</x:v>
      </x:c>
      <x:c r="G535" s="12" t="str">
        <x:v>Ocean Biology DAAC User Working Group</x:v>
      </x:c>
      <x:c r="H535" s="12" t="n">
        <x:v>2023</x:v>
      </x:c>
      <x:c r="I535" s="12" t="str">
        <x:v>Earthdata users</x:v>
      </x:c>
      <x:c r="J535" s="12" t="str">
        <x:v>Medium</x:v>
      </x:c>
      <x:c r="K535" s="16" t="n">
        <x:v>0.75</x:v>
      </x:c>
      <x:c r="L535" s="12" t="str">
        <x:v>LSA similarity cluster; human review pending</x:v>
      </x:c>
      <x:c r="M535" s="12" t="str">
        <x:v>Section: 12.6 New Actions and Recommendations</x:v>
      </x:c>
      <x:c r="N535" s="12" t="str"/>
      <x:c r="O535" s="12" t="str">
        <x:v>No</x:v>
      </x:c>
      <x:c r="P535" s="12" t="str">
        <x:v>No</x:v>
      </x:c>
      <x:c r="Q535" s="12"/>
      <x:c r="R535" s="12"/>
    </x:row>
    <x:row r="536">
      <x:c r="A536" s="12" t="str">
        <x:v>EVD-00535</x:v>
      </x:c>
      <x:c r="B536" s="12" t="str">
        <x:v>NEED-0141</x:v>
      </x:c>
      <x:c r="C536" s="12" t="str">
        <x:v>SRC-0003</x:v>
      </x:c>
      <x:c r="D536" s="12" t="str">
        <x:v>How to use and what users can do with the data.</x:v>
      </x:c>
      <x:c r="E536" s="12" t="str">
        <x:v>How to use and what users can do with the data.</x:v>
      </x:c>
      <x:c r="F536" s="12" t="str">
        <x:v>Action</x:v>
      </x:c>
      <x:c r="G536" s="12" t="str">
        <x:v>Ocean Biology DAAC User Working Group</x:v>
      </x:c>
      <x:c r="H536" s="12" t="n">
        <x:v>2023</x:v>
      </x:c>
      <x:c r="I536" s="12" t="str">
        <x:v>Earthdata users</x:v>
      </x:c>
      <x:c r="J536" s="12" t="str">
        <x:v>Medium</x:v>
      </x:c>
      <x:c r="K536" s="16" t="n">
        <x:v>0.75</x:v>
      </x:c>
      <x:c r="L536" s="12" t="str">
        <x:v>LSA similarity cluster; human review pending</x:v>
      </x:c>
      <x:c r="M536" s="12" t="str">
        <x:v>Section: 12.6 New Actions and Recommendations</x:v>
      </x:c>
      <x:c r="N536" s="12" t="str"/>
      <x:c r="O536" s="12" t="str">
        <x:v>No</x:v>
      </x:c>
      <x:c r="P536" s="12" t="str">
        <x:v>No</x:v>
      </x:c>
      <x:c r="Q536" s="12"/>
      <x:c r="R536" s="12"/>
    </x:row>
    <x:row r="537">
      <x:c r="A537" s="12" t="str">
        <x:v>EVD-00536</x:v>
      </x:c>
      <x:c r="B537" s="12" t="str">
        <x:v>NEED-0011</x:v>
      </x:c>
      <x:c r="C537" s="12" t="str">
        <x:v>SRC-0003</x:v>
      </x:c>
      <x:c r="D537" s="12" t="str">
        <x:v>Who will pay for the calculation, data analysis and processing in cloud? And how and what should they pay? (May 8)</x:v>
      </x:c>
      <x:c r="E537" s="12" t="str">
        <x:v>Who will pay for the calculation, data analysis and processing in cloud? And how and what should they pay? (May 8)</x:v>
      </x:c>
      <x:c r="F537" s="12" t="str">
        <x:v>Action</x:v>
      </x:c>
      <x:c r="G537" s="12" t="str">
        <x:v>Ocean Biology DAAC User Working Group</x:v>
      </x:c>
      <x:c r="H537" s="12" t="n">
        <x:v>2023</x:v>
      </x:c>
      <x:c r="I537" s="12" t="str">
        <x:v>Cloud-native researchers; Earth science researchers</x:v>
      </x:c>
      <x:c r="J537" s="12" t="str">
        <x:v>High</x:v>
      </x:c>
      <x:c r="K537" s="16" t="n">
        <x:v>0.75</x:v>
      </x:c>
      <x:c r="L537" s="12" t="str">
        <x:v>LSA similarity cluster; human review pending</x:v>
      </x:c>
      <x:c r="M537" s="12" t="str">
        <x:v>Section: 12.6 New Actions and Recommendations</x:v>
      </x:c>
      <x:c r="N537" s="12" t="str"/>
      <x:c r="O537" s="12" t="str">
        <x:v>No</x:v>
      </x:c>
      <x:c r="P537" s="12" t="str">
        <x:v>No</x:v>
      </x:c>
      <x:c r="Q537" s="12"/>
      <x:c r="R537" s="12"/>
    </x:row>
    <x:row r="538">
      <x:c r="A538" s="12" t="str">
        <x:v>EVD-00537</x:v>
      </x:c>
      <x:c r="B538" s="12" t="str">
        <x:v>NEED-0006</x:v>
      </x:c>
      <x:c r="C538" s="12" t="str">
        <x:v>SRC-0003</x:v>
      </x:c>
      <x:c r="D538" s="12" t="str">
        <x:v>Since credits are limited, it will be helpful to record how to use the data in cloud, and make it clear how much credit each procedure takes to avoid waste of credits. It will also be helpful to explain what the credit is and what one credit means. (May 8)</x:v>
      </x:c>
      <x:c r="E538" s="12" t="str">
        <x:v>Since credits are limited, it will be helpful to record how to use the data in cloud, and make it clear how much credit each procedure takes to avoid waste of credits. It will also be helpful to explain what the credit is and what one credit means. (May 8)</x:v>
      </x:c>
      <x:c r="F538" s="12" t="str">
        <x:v>Action</x:v>
      </x:c>
      <x:c r="G538" s="12" t="str">
        <x:v>Ocean Biology DAAC User Working Group</x:v>
      </x:c>
      <x:c r="H538" s="12" t="n">
        <x:v>2023</x:v>
      </x:c>
      <x:c r="I538" s="12" t="str">
        <x:v>Cloud-native researchers</x:v>
      </x:c>
      <x:c r="J538" s="12" t="str">
        <x:v>Medium</x:v>
      </x:c>
      <x:c r="K538" s="16" t="n">
        <x:v>0.75</x:v>
      </x:c>
      <x:c r="L538" s="12" t="str">
        <x:v>LSA similarity cluster; human review pending</x:v>
      </x:c>
      <x:c r="M538" s="12" t="str">
        <x:v>Section: 12.6 New Actions and Recommendations</x:v>
      </x:c>
      <x:c r="N538" s="12" t="str"/>
      <x:c r="O538" s="12" t="str">
        <x:v>No</x:v>
      </x:c>
      <x:c r="P538" s="12" t="str">
        <x:v>No</x:v>
      </x:c>
      <x:c r="Q538" s="12"/>
      <x:c r="R538" s="12"/>
    </x:row>
    <x:row r="539">
      <x:c r="A539" s="12" t="str">
        <x:v>EVD-00538</x:v>
      </x:c>
      <x:c r="B539" s="12" t="str">
        <x:v>NEED-0006</x:v>
      </x:c>
      <x:c r="C539" s="12" t="str">
        <x:v>SRC-0003</x:v>
      </x:c>
      <x:c r="D539" s="12" t="str">
        <x:v>Tools to process the data in cloud, such as MATLAB scripts, Python, IDL etc. It will be helpful to show users how to use different scripts in cloud. (May 8, September 22)</x:v>
      </x:c>
      <x:c r="E539" s="12" t="str">
        <x:v>Tools to process the data in cloud, such as MATLAB scripts, Python, IDL etc. It will be helpful to show users how to use different scripts in cloud. (May 8, September 22)</x:v>
      </x:c>
      <x:c r="F539" s="12" t="str">
        <x:v>Action</x:v>
      </x:c>
      <x:c r="G539" s="12" t="str">
        <x:v>Ocean Biology DAAC User Working Group</x:v>
      </x:c>
      <x:c r="H539" s="12" t="n">
        <x:v>2023</x:v>
      </x:c>
      <x:c r="I539" s="12" t="str">
        <x:v>Cloud-native researchers; Application developers</x:v>
      </x:c>
      <x:c r="J539" s="12" t="str">
        <x:v>Medium</x:v>
      </x:c>
      <x:c r="K539" s="16" t="n">
        <x:v>0.75</x:v>
      </x:c>
      <x:c r="L539" s="12" t="str">
        <x:v>LSA similarity cluster; human review pending</x:v>
      </x:c>
      <x:c r="M539" s="12" t="str">
        <x:v>Section: 12.6 New Actions and Recommendations</x:v>
      </x:c>
      <x:c r="N539" s="12" t="str"/>
      <x:c r="O539" s="12" t="str">
        <x:v>No</x:v>
      </x:c>
      <x:c r="P539" s="12" t="str">
        <x:v>No</x:v>
      </x:c>
      <x:c r="Q539" s="12"/>
      <x:c r="R539" s="12"/>
    </x:row>
    <x:row r="540">
      <x:c r="A540" s="12" t="str">
        <x:v>EVD-00539</x:v>
      </x:c>
      <x:c r="B540" s="12" t="str">
        <x:v>NEED-0006</x:v>
      </x:c>
      <x:c r="C540" s="12" t="str">
        <x:v>SRC-0003</x:v>
      </x:c>
      <x:c r="D540" s="12" t="str">
        <x:v>Once in the cloud, it will be beneficial if they can keep the selection of different algorithms, key products, key computing abilities – such as the trial of different atmospheric correction schemes, etc. (September 22)</x:v>
      </x:c>
      <x:c r="E540" s="12" t="str">
        <x:v>Once in the cloud, it will be beneficial if they can keep the selection of different algorithms, key products, key computing abilities – such as the trial of different atmospheric correction schemes, etc. (September 22)</x:v>
      </x:c>
      <x:c r="F540" s="12" t="str">
        <x:v>Action</x:v>
      </x:c>
      <x:c r="G540" s="12" t="str">
        <x:v>Ocean Biology DAAC User Working Group</x:v>
      </x:c>
      <x:c r="H540" s="12" t="n">
        <x:v>2023</x:v>
      </x:c>
      <x:c r="I540" s="12" t="str">
        <x:v>Cloud-native researchers</x:v>
      </x:c>
      <x:c r="J540" s="12" t="str">
        <x:v>Medium</x:v>
      </x:c>
      <x:c r="K540" s="16" t="n">
        <x:v>0.75</x:v>
      </x:c>
      <x:c r="L540" s="12" t="str">
        <x:v>LSA similarity cluster; human review pending</x:v>
      </x:c>
      <x:c r="M540" s="12" t="str">
        <x:v>Section: 12.6 New Actions and Recommendations</x:v>
      </x:c>
      <x:c r="N540" s="12" t="str"/>
      <x:c r="O540" s="12" t="str">
        <x:v>No</x:v>
      </x:c>
      <x:c r="P540" s="12" t="str">
        <x:v>No</x:v>
      </x:c>
      <x:c r="Q540" s="12"/>
      <x:c r="R540" s="12"/>
    </x:row>
    <x:row r="541">
      <x:c r="A541" s="12" t="str">
        <x:v>EVD-00540</x:v>
      </x:c>
      <x:c r="B541" s="12" t="str">
        <x:v>NEED-0167</x:v>
      </x:c>
      <x:c r="C541" s="12" t="str">
        <x:v>SRC-0003</x:v>
      </x:c>
      <x:c r="D541" s="12" t="str">
        <x:v>It will be helpful if the DAAC can provide more services and support in this period. (May 8, September 22)</x:v>
      </x:c>
      <x:c r="E541" s="12" t="str">
        <x:v>It will be helpful if the DAAC can provide more services and support in this period. (May 8, September 22)</x:v>
      </x:c>
      <x:c r="F541" s="12" t="str">
        <x:v>Action</x:v>
      </x:c>
      <x:c r="G541" s="12" t="str">
        <x:v>Ocean Biology DAAC User Working Group</x:v>
      </x:c>
      <x:c r="H541" s="12" t="n">
        <x:v>2023</x:v>
      </x:c>
      <x:c r="I541" s="12" t="str">
        <x:v>Earthdata users</x:v>
      </x:c>
      <x:c r="J541" s="12" t="str">
        <x:v>High</x:v>
      </x:c>
      <x:c r="K541" s="16" t="n">
        <x:v>0.75</x:v>
      </x:c>
      <x:c r="L541" s="12" t="str">
        <x:v>LSA similarity cluster; human review pending</x:v>
      </x:c>
      <x:c r="M541" s="12" t="str">
        <x:v>Section: 12.6 New Actions and Recommendations</x:v>
      </x:c>
      <x:c r="N541" s="12" t="str"/>
      <x:c r="O541" s="12" t="str">
        <x:v>No</x:v>
      </x:c>
      <x:c r="P541" s="12" t="str">
        <x:v>No</x:v>
      </x:c>
      <x:c r="Q541" s="12"/>
      <x:c r="R541" s="12"/>
    </x:row>
    <x:row r="542">
      <x:c r="A542" s="12" t="str">
        <x:v>EVD-00541</x:v>
      </x:c>
      <x:c r="B542" s="12" t="str">
        <x:v>NEED-0060</x:v>
      </x:c>
      <x:c r="C542" s="12" t="str">
        <x:v>SRC-0003</x:v>
      </x:c>
      <x:c r="D542" s="12" t="str">
        <x:v>Seek UWG representation from outside core ocean color research community, e.g. applied science; water quality managers. (May 8)</x:v>
      </x:c>
      <x:c r="E542" s="12" t="str">
        <x:v>Seek UWG representation from outside core ocean color research community, e.g. applied science; water quality managers. (May 8)</x:v>
      </x:c>
      <x:c r="F542" s="12" t="str">
        <x:v>Action</x:v>
      </x:c>
      <x:c r="G542" s="12" t="str">
        <x:v>Ocean Biology DAAC User Working Group</x:v>
      </x:c>
      <x:c r="H542" s="12" t="n">
        <x:v>2023</x:v>
      </x:c>
      <x:c r="I542" s="12" t="str">
        <x:v>Earth science researchers</x:v>
      </x:c>
      <x:c r="J542" s="12" t="str">
        <x:v>Medium</x:v>
      </x:c>
      <x:c r="K542" s="16" t="n">
        <x:v>0.75</x:v>
      </x:c>
      <x:c r="L542" s="12" t="str">
        <x:v>LSA similarity cluster; human review pending</x:v>
      </x:c>
      <x:c r="M542" s="12" t="str">
        <x:v>Section: 12.6 New Actions and Recommendations</x:v>
      </x:c>
      <x:c r="N542" s="12" t="str"/>
      <x:c r="O542" s="12" t="str">
        <x:v>No</x:v>
      </x:c>
      <x:c r="P542" s="12" t="str">
        <x:v>No</x:v>
      </x:c>
      <x:c r="Q542" s="12"/>
      <x:c r="R542" s="12"/>
    </x:row>
    <x:row r="543">
      <x:c r="A543" s="12" t="str">
        <x:v>EVD-00542</x:v>
      </x:c>
      <x:c r="B543" s="12" t="str">
        <x:v>NEED-0148</x:v>
      </x:c>
      <x:c r="C543" s="12" t="str">
        <x:v>SRC-0003</x:v>
      </x:c>
      <x:c r="D543" s="12" t="str">
        <x:v>In future UWG terms, recruit members from other science teams (not ocean color) that also use our website and data.</x:v>
      </x:c>
      <x:c r="E543" s="12" t="str">
        <x:v>In future UWG terms, recruit members from other science teams (not ocean color) that also use our website and data.</x:v>
      </x:c>
      <x:c r="F543" s="12" t="str">
        <x:v>Action</x:v>
      </x:c>
      <x:c r="G543" s="12" t="str">
        <x:v>Ocean Biology DAAC User Working Group</x:v>
      </x:c>
      <x:c r="H543" s="12" t="n">
        <x:v>2023</x:v>
      </x:c>
      <x:c r="I543" s="12" t="str">
        <x:v>Earthdata users</x:v>
      </x:c>
      <x:c r="J543" s="12" t="str">
        <x:v>Medium</x:v>
      </x:c>
      <x:c r="K543" s="16" t="n">
        <x:v>0.75</x:v>
      </x:c>
      <x:c r="L543" s="12" t="str">
        <x:v>LSA similarity cluster; human review pending</x:v>
      </x:c>
      <x:c r="M543" s="12" t="str">
        <x:v>Section: 12.6 New Actions and Recommendations</x:v>
      </x:c>
      <x:c r="N543" s="12" t="str"/>
      <x:c r="O543" s="12" t="str">
        <x:v>No</x:v>
      </x:c>
      <x:c r="P543" s="12" t="str">
        <x:v>No</x:v>
      </x:c>
      <x:c r="Q543" s="12"/>
      <x:c r="R543" s="12"/>
    </x:row>
    <x:row r="544">
      <x:c r="A544" s="12" t="str">
        <x:v>EVD-00543</x:v>
      </x:c>
      <x:c r="B544" s="12" t="str">
        <x:v>NEED-0140</x:v>
      </x:c>
      <x:c r="C544" s="12" t="str">
        <x:v>SRC-0003</x:v>
      </x:c>
      <x:c r="D544" s="12" t="str">
        <x:v>The following action items were included in an implementation memo that was submitted in response to the UWG meeting report.</x:v>
      </x:c>
      <x:c r="E544" s="12" t="str">
        <x:v>The following action items were included in an implementation memo that was submitted in response to the UWG meeting report.</x:v>
      </x:c>
      <x:c r="F544" s="12" t="str">
        <x:v>Action</x:v>
      </x:c>
      <x:c r="G544" s="12" t="str">
        <x:v>SEDAC User Working Group</x:v>
      </x:c>
      <x:c r="H544" s="12" t="n">
        <x:v>2023</x:v>
      </x:c>
      <x:c r="I544" s="12" t="str">
        <x:v>Earthdata users</x:v>
      </x:c>
      <x:c r="J544" s="12" t="str">
        <x:v>Medium</x:v>
      </x:c>
      <x:c r="K544" s="16" t="n">
        <x:v>0.75</x:v>
      </x:c>
      <x:c r="L544" s="12" t="str">
        <x:v>LSA similarity cluster; human review pending</x:v>
      </x:c>
      <x:c r="M544" s="12" t="str">
        <x:v>Section: 14.6 New Actions and Recommendations</x:v>
      </x:c>
      <x:c r="N544" s="12" t="str"/>
      <x:c r="O544" s="12" t="str">
        <x:v>No</x:v>
      </x:c>
      <x:c r="P544" s="12" t="str">
        <x:v>No</x:v>
      </x:c>
      <x:c r="Q544" s="12"/>
      <x:c r="R544" s="12"/>
    </x:row>
    <x:row r="545">
      <x:c r="A545" s="12" t="str">
        <x:v>EVD-00544</x:v>
      </x:c>
      <x:c r="B545" s="12" t="str">
        <x:v>NEED-0198</x:v>
      </x:c>
      <x:c r="C545" s="12" t="str">
        <x:v>SRC-0003</x:v>
      </x:c>
      <x:c r="D545" s="12" t="str">
        <x:v>The UWG engaged in an active discussion about the proposed open science workshop in early 2024. Out of this discussion, we have identified the following action items:</x:v>
      </x:c>
      <x:c r="E545" s="12" t="str">
        <x:v>The UWG engaged in an active discussion about the proposed open science workshop in early 2024. Out of this discussion, we have identified the following action items:</x:v>
      </x:c>
      <x:c r="F545" s="12" t="str">
        <x:v>Action</x:v>
      </x:c>
      <x:c r="G545" s="12" t="str">
        <x:v>SEDAC User Working Group</x:v>
      </x:c>
      <x:c r="H545" s="12" t="n">
        <x:v>2023</x:v>
      </x:c>
      <x:c r="I545" s="12" t="str">
        <x:v>Educators and trainers</x:v>
      </x:c>
      <x:c r="J545" s="12" t="str">
        <x:v>Medium</x:v>
      </x:c>
      <x:c r="K545" s="16" t="n">
        <x:v>0.75</x:v>
      </x:c>
      <x:c r="L545" s="12" t="str">
        <x:v>LSA similarity cluster; human review pending</x:v>
      </x:c>
      <x:c r="M545" s="12" t="str">
        <x:v>Section: 14.6 New Actions and Recommendations</x:v>
      </x:c>
      <x:c r="N545" s="12" t="str"/>
      <x:c r="O545" s="12" t="str">
        <x:v>No</x:v>
      </x:c>
      <x:c r="P545" s="12" t="str">
        <x:v>No</x:v>
      </x:c>
      <x:c r="Q545" s="12"/>
      <x:c r="R545" s="12"/>
    </x:row>
    <x:row r="546">
      <x:c r="A546" s="12" t="str">
        <x:v>EVD-00545</x:v>
      </x:c>
      <x:c r="B546" s="12" t="str">
        <x:v>NEED-0198</x:v>
      </x:c>
      <x:c r="C546" s="12" t="str">
        <x:v>SRC-0003</x:v>
      </x:c>
      <x:c r="D546" s="12" t="str">
        <x:v>Action UWG23-01. Develop a draft announcement for the open science workshop, along with a proposed invitation list, including representatives from the UWG and underrepresented communities, to be vetted by the UWG. Status: Ongoing. Target Date: August 2023.</x:v>
      </x:c>
      <x:c r="E546" s="12" t="str">
        <x:v>Action UWG23-01. Develop a draft announcement for the open science workshop, along with a proposed invitation list, including representatives from the UWG and underrepresented communities, to be vetted by the UWG. Status: Ongoing. Target Date: August 2023.</x:v>
      </x:c>
      <x:c r="F546" s="12" t="str">
        <x:v>Action</x:v>
      </x:c>
      <x:c r="G546" s="12" t="str">
        <x:v>SEDAC User Working Group</x:v>
      </x:c>
      <x:c r="H546" s="12" t="n">
        <x:v>2023</x:v>
      </x:c>
      <x:c r="I546" s="12" t="str">
        <x:v>Educators and trainers; Indigenous and underrepresented communities</x:v>
      </x:c>
      <x:c r="J546" s="12" t="str">
        <x:v>High</x:v>
      </x:c>
      <x:c r="K546" s="16" t="n">
        <x:v>0.75</x:v>
      </x:c>
      <x:c r="L546" s="12" t="str">
        <x:v>LSA similarity cluster; human review pending</x:v>
      </x:c>
      <x:c r="M546" s="12" t="str">
        <x:v>Section: 14.6 New Actions and Recommendations</x:v>
      </x:c>
      <x:c r="N546" s="12" t="str"/>
      <x:c r="O546" s="12" t="str">
        <x:v>No</x:v>
      </x:c>
      <x:c r="P546" s="12" t="str">
        <x:v>No</x:v>
      </x:c>
      <x:c r="Q546" s="12"/>
      <x:c r="R546" s="12"/>
    </x:row>
    <x:row r="547">
      <x:c r="A547" s="12" t="str">
        <x:v>EVD-00546</x:v>
      </x:c>
      <x:c r="B547" s="12" t="str">
        <x:v>NEED-0198</x:v>
      </x:c>
      <x:c r="C547" s="12" t="str">
        <x:v>SRC-0003</x:v>
      </x:c>
      <x:c r="D547" s="12" t="str">
        <x:v>Action UWG23-02. Send invitations to the open science workshop and begin to develop the materials and agenda. Status: Open. Target Date: September 2023.</x:v>
      </x:c>
      <x:c r="E547" s="12" t="str">
        <x:v>Action UWG23-02. Send invitations to the open science workshop and begin to develop the materials and agenda. Status: Open. Target Date: September 2023.</x:v>
      </x:c>
      <x:c r="F547" s="12" t="str">
        <x:v>Action</x:v>
      </x:c>
      <x:c r="G547" s="12" t="str">
        <x:v>SEDAC User Working Group</x:v>
      </x:c>
      <x:c r="H547" s="12" t="n">
        <x:v>2023</x:v>
      </x:c>
      <x:c r="I547" s="12" t="str">
        <x:v>Educators and trainers</x:v>
      </x:c>
      <x:c r="J547" s="12" t="str">
        <x:v>High</x:v>
      </x:c>
      <x:c r="K547" s="16" t="n">
        <x:v>0.75</x:v>
      </x:c>
      <x:c r="L547" s="12" t="str">
        <x:v>LSA similarity cluster; human review pending</x:v>
      </x:c>
      <x:c r="M547" s="12" t="str">
        <x:v>Section: 14.6 New Actions and Recommendations</x:v>
      </x:c>
      <x:c r="N547" s="12" t="str"/>
      <x:c r="O547" s="12" t="str">
        <x:v>No</x:v>
      </x:c>
      <x:c r="P547" s="12" t="str">
        <x:v>No</x:v>
      </x:c>
      <x:c r="Q547" s="12"/>
      <x:c r="R547" s="12"/>
    </x:row>
    <x:row r="548">
      <x:c r="A548" s="12" t="str">
        <x:v>EVD-00547</x:v>
      </x:c>
      <x:c r="B548" s="12" t="str">
        <x:v>NEED-0198</x:v>
      </x:c>
      <x:c r="C548" s="12" t="str">
        <x:v>SRC-0003</x:v>
      </x:c>
      <x:c r="D548" s="12" t="str">
        <x:v>Action UWG23-03. Conduct the open science workshop in a hybrid format, possibly in conjunction with the ESIP Federation winter meeting in January 2024, and report back on results. Status: Open. Target Date: next UWG meeting.</x:v>
      </x:c>
      <x:c r="E548" s="12" t="str">
        <x:v>Action UWG23-03. Conduct the open science workshop in a hybrid format, possibly in conjunction with the ESIP Federation winter meeting in January 2024, and report back on results. Status: Open. Target Date: next UWG meeting.</x:v>
      </x:c>
      <x:c r="F548" s="12" t="str">
        <x:v>Action</x:v>
      </x:c>
      <x:c r="G548" s="12" t="str">
        <x:v>SEDAC User Working Group</x:v>
      </x:c>
      <x:c r="H548" s="12" t="n">
        <x:v>2023</x:v>
      </x:c>
      <x:c r="I548" s="12" t="str">
        <x:v>Educators and trainers</x:v>
      </x:c>
      <x:c r="J548" s="12" t="str">
        <x:v>Medium</x:v>
      </x:c>
      <x:c r="K548" s="16" t="n">
        <x:v>0.75</x:v>
      </x:c>
      <x:c r="L548" s="12" t="str">
        <x:v>LSA similarity cluster; human review pending</x:v>
      </x:c>
      <x:c r="M548" s="12" t="str">
        <x:v>Section: 14.6 New Actions and Recommendations</x:v>
      </x:c>
      <x:c r="N548" s="12" t="str"/>
      <x:c r="O548" s="12" t="str">
        <x:v>No</x:v>
      </x:c>
      <x:c r="P548" s="12" t="str">
        <x:v>No</x:v>
      </x:c>
      <x:c r="Q548" s="12"/>
      <x:c r="R548" s="12"/>
    </x:row>
    <x:row r="549">
      <x:c r="A549" s="12" t="str">
        <x:v>EVD-00548</x:v>
      </x:c>
      <x:c r="B549" s="12" t="str">
        <x:v>NEED-0198</x:v>
      </x:c>
      <x:c r="C549" s="12" t="str">
        <x:v>SRC-0003</x:v>
      </x:c>
      <x:c r="D549" s="12" t="str">
        <x:v>Action UWG23-04. During and after the workshop, explore the possibility of developing a code-sharing hub for users of SEDAC data. Status: Open. Target Date: next UWG meeting.</x:v>
      </x:c>
      <x:c r="E549" s="12" t="str">
        <x:v>Action UWG23-04. During and after the workshop, explore the possibility of developing a code-sharing hub for users of SEDAC data. Status: Open. Target Date: next UWG meeting.</x:v>
      </x:c>
      <x:c r="F549" s="12" t="str">
        <x:v>Action</x:v>
      </x:c>
      <x:c r="G549" s="12" t="str">
        <x:v>SEDAC User Working Group</x:v>
      </x:c>
      <x:c r="H549" s="12" t="n">
        <x:v>2023</x:v>
      </x:c>
      <x:c r="I549" s="12" t="str">
        <x:v>Application developers; Educators and trainers</x:v>
      </x:c>
      <x:c r="J549" s="12" t="str">
        <x:v>Medium</x:v>
      </x:c>
      <x:c r="K549" s="16" t="n">
        <x:v>0.75</x:v>
      </x:c>
      <x:c r="L549" s="12" t="str">
        <x:v>LSA similarity cluster; human review pending</x:v>
      </x:c>
      <x:c r="M549" s="12" t="str">
        <x:v>Section: 14.6 New Actions and Recommendations</x:v>
      </x:c>
      <x:c r="N549" s="12" t="str"/>
      <x:c r="O549" s="12" t="str">
        <x:v>No</x:v>
      </x:c>
      <x:c r="P549" s="12" t="str">
        <x:v>No</x:v>
      </x:c>
      <x:c r="Q549" s="12"/>
      <x:c r="R549" s="12"/>
    </x:row>
    <x:row r="550">
      <x:c r="A550" s="12" t="str">
        <x:v>EVD-00549</x:v>
      </x:c>
      <x:c r="B550" s="12" t="str">
        <x:v>NEED-0022</x:v>
      </x:c>
      <x:c r="C550" s="12" t="str">
        <x:v>SRC-0003</x:v>
      </x:c>
      <x:c r="D550" s="12" t="str">
        <x:v>The UWG received with interest the reports on activities conducted in response to the July 2022 UWG meeting report, including analysis of SEDAC’s user community and data download and access statistics. There was agreement that in a next stage, results should be more closely analyzed before further investment is made.</x:v>
      </x:c>
      <x:c r="E550" s="12" t="str">
        <x:v>The UWG received with interest the reports on activities conducted in response to the July 2022 UWG meeting report, including analysis of SEDAC’s user community and data download and access statistics. There was agreement that in a next stage, results should be more closely analyzed before further investment is made.</x:v>
      </x:c>
      <x:c r="F550" s="12" t="str">
        <x:v>Action</x:v>
      </x:c>
      <x:c r="G550" s="12" t="str">
        <x:v>SEDAC User Working Group</x:v>
      </x:c>
      <x:c r="H550" s="12" t="n">
        <x:v>2023</x:v>
      </x:c>
      <x:c r="I550" s="12" t="str">
        <x:v>Earth science researchers</x:v>
      </x:c>
      <x:c r="J550" s="12" t="str">
        <x:v>High</x:v>
      </x:c>
      <x:c r="K550" s="16" t="n">
        <x:v>0.75</x:v>
      </x:c>
      <x:c r="L550" s="12" t="str">
        <x:v>LSA similarity cluster; human review pending</x:v>
      </x:c>
      <x:c r="M550" s="12" t="str">
        <x:v>Section: 14.6 New Actions and Recommendations</x:v>
      </x:c>
      <x:c r="N550" s="12" t="str"/>
      <x:c r="O550" s="12" t="str">
        <x:v>No</x:v>
      </x:c>
      <x:c r="P550" s="12" t="str">
        <x:v>No</x:v>
      </x:c>
      <x:c r="Q550" s="12"/>
      <x:c r="R550" s="12"/>
    </x:row>
    <x:row r="551">
      <x:c r="A551" s="12" t="str">
        <x:v>EVD-00550</x:v>
      </x:c>
      <x:c r="B551" s="12" t="str">
        <x:v>NEED-0011</x:v>
      </x:c>
      <x:c r="C551" s="12" t="str">
        <x:v>SRC-0003</x:v>
      </x:c>
      <x:c r="D551" s="12" t="str">
        <x:v>Action UWG23-05. Develop a plan for tracking usage of cloud-based/application programming interface (API) services (i.e., population services such as the Population Estimation Service (PES) or the POPGRID query interface). Status: Open. Target Date: next UWG telecon.</x:v>
      </x:c>
      <x:c r="E551" s="12" t="str">
        <x:v>Action UWG23-05. Develop a plan for tracking usage of cloud-based/application programming interface (API) services (i.e., population services such as the Population Estimation Service (PES) or the POPGRID query interface). Status: Open. Target Date: next UWG telecon.</x:v>
      </x:c>
      <x:c r="F551" s="12" t="str">
        <x:v>Action</x:v>
      </x:c>
      <x:c r="G551" s="12" t="str">
        <x:v>SEDAC User Working Group</x:v>
      </x:c>
      <x:c r="H551" s="12" t="n">
        <x:v>2023</x:v>
      </x:c>
      <x:c r="I551" s="12" t="str">
        <x:v>Cloud-native researchers; Application developers</x:v>
      </x:c>
      <x:c r="J551" s="12" t="str">
        <x:v>High</x:v>
      </x:c>
      <x:c r="K551" s="16" t="n">
        <x:v>0.75</x:v>
      </x:c>
      <x:c r="L551" s="12" t="str">
        <x:v>LSA similarity cluster; human review pending</x:v>
      </x:c>
      <x:c r="M551" s="12" t="str">
        <x:v>Section: 14.6 New Actions and Recommendations</x:v>
      </x:c>
      <x:c r="N551" s="12" t="str"/>
      <x:c r="O551" s="12" t="str">
        <x:v>No</x:v>
      </x:c>
      <x:c r="P551" s="12" t="str">
        <x:v>No</x:v>
      </x:c>
      <x:c r="Q551" s="12"/>
      <x:c r="R551" s="12"/>
    </x:row>
    <x:row r="552">
      <x:c r="A552" s="12" t="str">
        <x:v>EVD-00551</x:v>
      </x:c>
      <x:c r="B552" s="12" t="str">
        <x:v>NEED-0209</x:v>
      </x:c>
      <x:c r="C552" s="12" t="str">
        <x:v>SRC-0003</x:v>
      </x:c>
      <x:c r="D552" s="12" t="str">
        <x:v>Action UWG23-06. Reach out to organizations that are repackaging, redistributing or promoting SEDAC data – e.g., the Sub-National Data Archive System for Social and Behavior Data (SUNGEO) and geoQuery from the US Agency for International Development (USAID) – for feedback and insight into end-user communities. Status: Open. Target Date: next UWG telecon.</x:v>
      </x:c>
      <x:c r="E552" s="12" t="str">
        <x:v>Action UWG23-06. Reach out to organizations that are repackaging, redistributing or promoting SEDAC data – e.g., the Sub-National Data Archive System for Social and Behavior Data (SUNGEO) and geoQuery from the US Agency for International Development (USAID) – for feedback and insight into end-user communities. Status: Open. Target Date: next UWG telecon.</x:v>
      </x:c>
      <x:c r="F552" s="12" t="str">
        <x:v>Action</x:v>
      </x:c>
      <x:c r="G552" s="12" t="str">
        <x:v>SEDAC User Working Group</x:v>
      </x:c>
      <x:c r="H552" s="12" t="n">
        <x:v>2023</x:v>
      </x:c>
      <x:c r="I552" s="12" t="str">
        <x:v>Data producers and mission teams; International users</x:v>
      </x:c>
      <x:c r="J552" s="12" t="str">
        <x:v>Medium</x:v>
      </x:c>
      <x:c r="K552" s="16" t="n">
        <x:v>0.75</x:v>
      </x:c>
      <x:c r="L552" s="12" t="str">
        <x:v>LSA similarity cluster; human review pending</x:v>
      </x:c>
      <x:c r="M552" s="12" t="str">
        <x:v>Section: 14.6 New Actions and Recommendations</x:v>
      </x:c>
      <x:c r="N552" s="12" t="str"/>
      <x:c r="O552" s="12" t="str">
        <x:v>No</x:v>
      </x:c>
      <x:c r="P552" s="12" t="str">
        <x:v>No</x:v>
      </x:c>
      <x:c r="Q552" s="12"/>
      <x:c r="R552" s="12"/>
    </x:row>
    <x:row r="553">
      <x:c r="A553" s="12" t="str">
        <x:v>EVD-00552</x:v>
      </x:c>
      <x:c r="B553" s="12" t="str">
        <x:v>NEED-0186</x:v>
      </x:c>
      <x:c r="C553" s="12" t="str">
        <x:v>SRC-0003</x:v>
      </x:c>
      <x:c r="D553" s="12" t="str">
        <x:v>Action UWG23-07. Conduct a deeper analysis of traffic on the SEDAC web site, including possible use of Altmetric attention scores, and cull statistics on web map service requests (e.g., queries of the PES after major disasters) to better understand non-academic uses of SEDAC data. Status: Open. Target Date: next UWG telecon.</x:v>
      </x:c>
      <x:c r="E553" s="12" t="str">
        <x:v>Action UWG23-07. Conduct a deeper analysis of traffic on the SEDAC web site, including possible use of Altmetric attention scores, and cull statistics on web map service requests (e.g., queries of the PES after major disasters) to better understand non-academic uses of SEDAC data. Status: Open. Target Date: next UWG telecon.</x:v>
      </x:c>
      <x:c r="F553" s="12" t="str">
        <x:v>Action</x:v>
      </x:c>
      <x:c r="G553" s="12" t="str">
        <x:v>SEDAC User Working Group</x:v>
      </x:c>
      <x:c r="H553" s="12" t="n">
        <x:v>2023</x:v>
      </x:c>
      <x:c r="I553" s="12" t="str">
        <x:v>Operational and near-real-time users; Earth science researchers</x:v>
      </x:c>
      <x:c r="J553" s="12" t="str">
        <x:v>Medium</x:v>
      </x:c>
      <x:c r="K553" s="16" t="n">
        <x:v>0.75</x:v>
      </x:c>
      <x:c r="L553" s="12" t="str">
        <x:v>LSA similarity cluster; human review pending</x:v>
      </x:c>
      <x:c r="M553" s="12" t="str">
        <x:v>Section: 14.6 New Actions and Recommendations</x:v>
      </x:c>
      <x:c r="N553" s="12" t="str"/>
      <x:c r="O553" s="12" t="str">
        <x:v>No</x:v>
      </x:c>
      <x:c r="P553" s="12" t="str">
        <x:v>No</x:v>
      </x:c>
      <x:c r="Q553" s="12"/>
      <x:c r="R553" s="12"/>
    </x:row>
    <x:row r="554">
      <x:c r="A554" s="12" t="str">
        <x:v>EVD-00553</x:v>
      </x:c>
      <x:c r="B554" s="12" t="str">
        <x:v>NEED-0022</x:v>
      </x:c>
      <x:c r="C554" s="12" t="str">
        <x:v>SRC-0003</x:v>
      </x:c>
      <x:c r="D554" s="12" t="str">
        <x:v>Action UWG23-08. Review the user community citation analysis, analyze the trends in download statistics, explore attention scores and other metrics (cf. action item 07), and probe more deeply into uses of SEDAC data by applied users, and using this material, develop a report on implications for SEDAC data development activities and potential trajectories for SEDAC data development and use. Status: Open. Target Date: next UWG telecon.</x:v>
      </x:c>
      <x:c r="E554" s="12" t="str">
        <x:v>Action UWG23-08. Review the user community citation analysis, analyze the trends in download statistics, explore attention scores and other metrics (cf. action item 07), and probe more deeply into uses of SEDAC data by applied users, and using this material, develop a report on implications for SEDAC data development activities and potential trajectories for SEDAC data development and use. Status: Open. Target Date: next UWG telecon.</x:v>
      </x:c>
      <x:c r="F554" s="12" t="str">
        <x:v>Action</x:v>
      </x:c>
      <x:c r="G554" s="12" t="str">
        <x:v>SEDAC User Working Group</x:v>
      </x:c>
      <x:c r="H554" s="12" t="n">
        <x:v>2023</x:v>
      </x:c>
      <x:c r="I554" s="12" t="str">
        <x:v>Earth science researchers</x:v>
      </x:c>
      <x:c r="J554" s="12" t="str">
        <x:v>High</x:v>
      </x:c>
      <x:c r="K554" s="16" t="n">
        <x:v>0.75</x:v>
      </x:c>
      <x:c r="L554" s="12" t="str">
        <x:v>LSA similarity cluster; human review pending</x:v>
      </x:c>
      <x:c r="M554" s="12" t="str">
        <x:v>Section: 14.6 New Actions and Recommendations</x:v>
      </x:c>
      <x:c r="N554" s="12" t="str"/>
      <x:c r="O554" s="12" t="str">
        <x:v>No</x:v>
      </x:c>
      <x:c r="P554" s="12" t="str">
        <x:v>No</x:v>
      </x:c>
      <x:c r="Q554" s="12"/>
      <x:c r="R554" s="12"/>
    </x:row>
    <x:row r="555">
      <x:c r="A555" s="12" t="str">
        <x:v>EVD-00554</x:v>
      </x:c>
      <x:c r="B555" s="12" t="str">
        <x:v>NEED-0186</x:v>
      </x:c>
      <x:c r="C555" s="12" t="str">
        <x:v>SRC-0003</x:v>
      </x:c>
      <x:c r="D555" s="12" t="str">
        <x:v>Action UWG23-09. Based on the analyses and inputs gathered in action items 06-08, identify 2-3 specific application areas and associated user communities that could be selected for targeted outreach efforts, and develop initial plans for review and prioritization by the UWG. Status: Open. Target Date: next UWG meeting.</x:v>
      </x:c>
      <x:c r="E555" s="12" t="str">
        <x:v>Action UWG23-09. Based on the analyses and inputs gathered in action items 06-08, identify 2-3 specific application areas and associated user communities that could be selected for targeted outreach efforts, and develop initial plans for review and prioritization by the UWG. Status: Open. Target Date: next UWG meeting.</x:v>
      </x:c>
      <x:c r="F555" s="12" t="str">
        <x:v>Action</x:v>
      </x:c>
      <x:c r="G555" s="12" t="str">
        <x:v>SEDAC User Working Group</x:v>
      </x:c>
      <x:c r="H555" s="12" t="n">
        <x:v>2023</x:v>
      </x:c>
      <x:c r="I555" s="12" t="str">
        <x:v>Earthdata users</x:v>
      </x:c>
      <x:c r="J555" s="12" t="str">
        <x:v>High</x:v>
      </x:c>
      <x:c r="K555" s="16" t="n">
        <x:v>0.75</x:v>
      </x:c>
      <x:c r="L555" s="12" t="str">
        <x:v>LSA similarity cluster; human review pending</x:v>
      </x:c>
      <x:c r="M555" s="12" t="str">
        <x:v>Section: 14.6 New Actions and Recommendations</x:v>
      </x:c>
      <x:c r="N555" s="12" t="str"/>
      <x:c r="O555" s="12" t="str">
        <x:v>No</x:v>
      </x:c>
      <x:c r="P555" s="12" t="str">
        <x:v>No</x:v>
      </x:c>
      <x:c r="Q555" s="12"/>
      <x:c r="R555" s="12"/>
    </x:row>
    <x:row r="556">
      <x:c r="A556" s="12" t="str">
        <x:v>EVD-00555</x:v>
      </x:c>
      <x:c r="B556" s="12" t="str">
        <x:v>NEED-0156</x:v>
      </x:c>
      <x:c r="C556" s="12" t="str">
        <x:v>SRC-0003</x:v>
      </x:c>
      <x:c r="D556" s="12" t="str">
        <x:v>Action UWG23-10. Report on the website update and the status of web unification. Status: Open. Target Date: next UWG telecon.</x:v>
      </x:c>
      <x:c r="E556" s="12" t="str">
        <x:v>Action UWG23-10. Report on the website update and the status of web unification. Status: Open. Target Date: next UWG telecon.</x:v>
      </x:c>
      <x:c r="F556" s="12" t="str">
        <x:v>Action</x:v>
      </x:c>
      <x:c r="G556" s="12" t="str">
        <x:v>SEDAC User Working Group</x:v>
      </x:c>
      <x:c r="H556" s="12" t="n">
        <x:v>2023</x:v>
      </x:c>
      <x:c r="I556" s="12" t="str">
        <x:v>Earthdata users</x:v>
      </x:c>
      <x:c r="J556" s="12" t="str">
        <x:v>Medium</x:v>
      </x:c>
      <x:c r="K556" s="16" t="n">
        <x:v>0.55</x:v>
      </x:c>
      <x:c r="L556" s="12" t="str">
        <x:v>LSA similarity cluster; human review pending</x:v>
      </x:c>
      <x:c r="M556" s="12" t="str">
        <x:v>Section: 14.6 New Actions and Recommendations</x:v>
      </x:c>
      <x:c r="N556" s="12" t="str"/>
      <x:c r="O556" s="12" t="str">
        <x:v>No</x:v>
      </x:c>
      <x:c r="P556" s="12" t="str">
        <x:v>No</x:v>
      </x:c>
      <x:c r="Q556" s="12"/>
      <x:c r="R556" s="12"/>
    </x:row>
    <x:row r="557">
      <x:c r="A557" s="12" t="str">
        <x:v>EVD-00556</x:v>
      </x:c>
      <x:c r="B557" s="12" t="str">
        <x:v>NEED-0160</x:v>
      </x:c>
      <x:c r="C557" s="12" t="str">
        <x:v>SRC-0003</x:v>
      </x:c>
      <x:c r="D557" s="12" t="str">
        <x:v>Action UWG23-11. Post a notification on SEDAC’s web site of changes in availability of MODIS data along with pointers to substitutes such as the Visible Infrared Imaging Radiometer Suite (VIIRS) as well as Sentinel-2 data. Status: Open. Target Date: Next UWG meeting.</x:v>
      </x:c>
      <x:c r="E557" s="12" t="str">
        <x:v>Action UWG23-11. Post a notification on SEDAC’s web site of changes in availability of MODIS data along with pointers to substitutes such as the Visible Infrared Imaging Radiometer Suite (VIIRS) as well as Sentinel-2 data. Status: Open. Target Date: Next UWG meeting.</x:v>
      </x:c>
      <x:c r="F557" s="12" t="str">
        <x:v>Action</x:v>
      </x:c>
      <x:c r="G557" s="12" t="str">
        <x:v>SEDAC User Working Group</x:v>
      </x:c>
      <x:c r="H557" s="12" t="n">
        <x:v>2023</x:v>
      </x:c>
      <x:c r="I557" s="12" t="str">
        <x:v>Earthdata users</x:v>
      </x:c>
      <x:c r="J557" s="12" t="str">
        <x:v>Medium</x:v>
      </x:c>
      <x:c r="K557" s="16" t="n">
        <x:v>0.75</x:v>
      </x:c>
      <x:c r="L557" s="12" t="str">
        <x:v>LSA similarity cluster; human review pending</x:v>
      </x:c>
      <x:c r="M557" s="12" t="str">
        <x:v>Section: 14.6 New Actions and Recommendations</x:v>
      </x:c>
      <x:c r="N557" s="12" t="str"/>
      <x:c r="O557" s="12" t="str">
        <x:v>No</x:v>
      </x:c>
      <x:c r="P557" s="12" t="str">
        <x:v>No</x:v>
      </x:c>
      <x:c r="Q557" s="12"/>
      <x:c r="R557" s="12"/>
    </x:row>
    <x:row r="558">
      <x:c r="A558" s="12" t="str">
        <x:v>EVD-00557</x:v>
      </x:c>
      <x:c r="B558" s="12" t="str">
        <x:v>NEED-0066</x:v>
      </x:c>
      <x:c r="C558" s="12" t="str">
        <x:v>SRC-0003</x:v>
      </x:c>
      <x:c r="D558" s="12" t="str">
        <x:v>Action UWG23-12. Identify SEDAC representatives to participate in new mission design and planning, e.g., for the planned NISAR (NASA-Indian Space Research Organisation (ISRO) Synthetic Aperture Radar) and SBG (Surface Biology and Geology) missions. Status: Ongoing. Target Date: Next UWG meeting.</x:v>
      </x:c>
      <x:c r="E558" s="12" t="str">
        <x:v>Action UWG23-12. Identify SEDAC representatives to participate in new mission design and planning, e.g., for the planned NISAR (NASA-Indian Space Research Organisation (ISRO) Synthetic Aperture Radar) and SBG (Surface Biology and Geology) missions. Status: Ongoing. Target Date: Next UWG meeting.</x:v>
      </x:c>
      <x:c r="F558" s="12" t="str">
        <x:v>Action</x:v>
      </x:c>
      <x:c r="G558" s="12" t="str">
        <x:v>SEDAC User Working Group</x:v>
      </x:c>
      <x:c r="H558" s="12" t="n">
        <x:v>2023</x:v>
      </x:c>
      <x:c r="I558" s="12" t="str">
        <x:v>Data producers and mission teams; Earth science researchers</x:v>
      </x:c>
      <x:c r="J558" s="12" t="str">
        <x:v>Medium</x:v>
      </x:c>
      <x:c r="K558" s="16" t="n">
        <x:v>0.55</x:v>
      </x:c>
      <x:c r="L558" s="12" t="str">
        <x:v>LSA similarity cluster; human review pending</x:v>
      </x:c>
      <x:c r="M558" s="12" t="str">
        <x:v>Section: 14.6 New Actions and Recommendations</x:v>
      </x:c>
      <x:c r="N558" s="12" t="str"/>
      <x:c r="O558" s="12" t="str">
        <x:v>No</x:v>
      </x:c>
      <x:c r="P558" s="12" t="str">
        <x:v>No</x:v>
      </x:c>
      <x:c r="Q558" s="12"/>
      <x:c r="R558" s="12"/>
    </x:row>
    <x:row r="559">
      <x:c r="A559" s="12" t="str">
        <x:v>EVD-00558</x:v>
      </x:c>
      <x:c r="B559" s="12" t="str">
        <x:v>NEED-0209</x:v>
      </x:c>
      <x:c r="C559" s="12" t="str">
        <x:v>SRC-0003</x:v>
      </x:c>
      <x:c r="D559" s="12" t="str">
        <x:v>Action UWG23-13. Explore ways in which SEDAC could interact with and provide data support to the EJ projects funded by NASA, especially those engaged in participatory mapping or other citizen science efforts. Status: Ongoing. Target Date: Next UWG telecon.</x:v>
      </x:c>
      <x:c r="E559" s="12" t="str">
        <x:v>Action UWG23-13. Explore ways in which SEDAC could interact with and provide data support to the EJ projects funded by NASA, especially those engaged in participatory mapping or other citizen science efforts. Status: Ongoing. Target Date: Next UWG telecon.</x:v>
      </x:c>
      <x:c r="F559" s="12" t="str">
        <x:v>Action</x:v>
      </x:c>
      <x:c r="G559" s="12" t="str">
        <x:v>SEDAC User Working Group</x:v>
      </x:c>
      <x:c r="H559" s="12" t="n">
        <x:v>2023</x:v>
      </x:c>
      <x:c r="I559" s="12" t="str">
        <x:v>Earthdata users</x:v>
      </x:c>
      <x:c r="J559" s="12" t="str">
        <x:v>High</x:v>
      </x:c>
      <x:c r="K559" s="16" t="n">
        <x:v>0.75</x:v>
      </x:c>
      <x:c r="L559" s="12" t="str">
        <x:v>LSA similarity cluster; human review pending</x:v>
      </x:c>
      <x:c r="M559" s="12" t="str">
        <x:v>Section: 14.6 New Actions and Recommendations</x:v>
      </x:c>
      <x:c r="N559" s="12" t="str"/>
      <x:c r="O559" s="12" t="str">
        <x:v>No</x:v>
      </x:c>
      <x:c r="P559" s="12" t="str">
        <x:v>No</x:v>
      </x:c>
      <x:c r="Q559" s="12"/>
      <x:c r="R559" s="12"/>
    </x:row>
    <x:row r="560">
      <x:c r="A560" s="12" t="str">
        <x:v>EVD-00559</x:v>
      </x:c>
      <x:c r="B560" s="12" t="str">
        <x:v>NEED-0134</x:v>
      </x:c>
      <x:c r="C560" s="12" t="str">
        <x:v>SRC-0003</x:v>
      </x:c>
      <x:c r="D560" s="12" t="str">
        <x:v>Action UWG23-14. Explore possible SEDAC contribution(s) to a potential climate justice data initiative as part of a proposed Environmental and Climate Justice Center within the Columbia Climate School. Status: Ongoing. Target Date: Next UWG telecon.</x:v>
      </x:c>
      <x:c r="E560" s="12" t="str">
        <x:v>Action UWG23-14. Explore possible SEDAC contribution(s) to a potential climate justice data initiative as part of a proposed Environmental and Climate Justice Center within the Columbia Climate School. Status: Ongoing. Target Date: Next UWG telecon.</x:v>
      </x:c>
      <x:c r="F560" s="12" t="str">
        <x:v>Action</x:v>
      </x:c>
      <x:c r="G560" s="12" t="str">
        <x:v>SEDAC User Working Group</x:v>
      </x:c>
      <x:c r="H560" s="12" t="n">
        <x:v>2023</x:v>
      </x:c>
      <x:c r="I560" s="12" t="str">
        <x:v>Earthdata users</x:v>
      </x:c>
      <x:c r="J560" s="12" t="str">
        <x:v>Medium</x:v>
      </x:c>
      <x:c r="K560" s="16" t="n">
        <x:v>0.75</x:v>
      </x:c>
      <x:c r="L560" s="12" t="str">
        <x:v>LSA similarity cluster; human review pending</x:v>
      </x:c>
      <x:c r="M560" s="12" t="str">
        <x:v>Section: 14.6 New Actions and Recommendations</x:v>
      </x:c>
      <x:c r="N560" s="12" t="str"/>
      <x:c r="O560" s="12" t="str">
        <x:v>No</x:v>
      </x:c>
      <x:c r="P560" s="12" t="str">
        <x:v>No</x:v>
      </x:c>
      <x:c r="Q560" s="12"/>
      <x:c r="R560" s="12"/>
    </x:row>
    <x:row r="561">
      <x:c r="A561" s="12" t="str">
        <x:v>EVD-00560</x:v>
      </x:c>
      <x:c r="B561" s="12" t="str">
        <x:v>NEED-0078</x:v>
      </x:c>
      <x:c r="C561" s="12" t="str">
        <x:v>SRC-0003</x:v>
      </x:c>
      <x:c r="D561" s="12" t="str">
        <x:v>UWG members appear to be generally satisfied with the cadence of meetings and telecons, and there is general recognition that a hybrid format is necessary to accommodate busy schedules and professional and personal obligations. Greater effort will be made at the 2024 face-to-face meeting to ensure that hybrid participants are fully integrated, e.g., through a designated monitor of online chat content.</x:v>
      </x:c>
      <x:c r="E561" s="12" t="str">
        <x:v>UWG members appear to be generally satisfied with the cadence of meetings and telecons, and there is general recognition that a hybrid format is necessary to accommodate busy schedules and professional and personal obligations. Greater effort will be made at the 2024 face-to-face meeting to ensure that hybrid participants are fully integrated, e.g., through a designated monitor of online chat content.</x:v>
      </x:c>
      <x:c r="F561" s="12" t="str">
        <x:v>Action</x:v>
      </x:c>
      <x:c r="G561" s="12" t="str">
        <x:v>SEDAC User Working Group</x:v>
      </x:c>
      <x:c r="H561" s="12" t="n">
        <x:v>2023</x:v>
      </x:c>
      <x:c r="I561" s="12" t="str">
        <x:v>Earthdata users</x:v>
      </x:c>
      <x:c r="J561" s="12" t="str">
        <x:v>High</x:v>
      </x:c>
      <x:c r="K561" s="16" t="n">
        <x:v>0.75</x:v>
      </x:c>
      <x:c r="L561" s="12" t="str">
        <x:v>LSA similarity cluster; human review pending</x:v>
      </x:c>
      <x:c r="M561" s="12" t="str">
        <x:v>Section: 14.6 New Actions and Recommendations</x:v>
      </x:c>
      <x:c r="N561" s="12" t="str"/>
      <x:c r="O561" s="12" t="str">
        <x:v>No</x:v>
      </x:c>
      <x:c r="P561" s="12" t="str">
        <x:v>No</x:v>
      </x:c>
      <x:c r="Q561" s="12"/>
      <x:c r="R561" s="12"/>
    </x:row>
    <x:row r="562">
      <x:c r="A562" s="12" t="str">
        <x:v>EVD-00561</x:v>
      </x:c>
      <x:c r="B562" s="12" t="str">
        <x:v>NEED-0124</x:v>
      </x:c>
      <x:c r="C562" s="12" t="str">
        <x:v>SRC-0003</x:v>
      </x:c>
      <x:c r="D562" s="12" t="str">
        <x:v>Action: UWG23-15. Work with the UWG Chair, members, and NASA staff to identify a date and agenda for a telecon in the January-March 2024 time frame. Status: Open. Target Date: November 2023.</x:v>
      </x:c>
      <x:c r="E562" s="12" t="str">
        <x:v>UWG23-15. Work with the UWG Chair, members, and NASA staff to identify a date and agenda for a telecon in the January-March 2024 time frame. Status: Open. Target Date: November 2023.</x:v>
      </x:c>
      <x:c r="F562" s="12" t="str">
        <x:v>Action</x:v>
      </x:c>
      <x:c r="G562" s="12" t="str">
        <x:v>SEDAC User Working Group</x:v>
      </x:c>
      <x:c r="H562" s="12" t="n">
        <x:v>2023</x:v>
      </x:c>
      <x:c r="I562" s="12" t="str">
        <x:v>Earthdata users</x:v>
      </x:c>
      <x:c r="J562" s="12" t="str">
        <x:v>Medium</x:v>
      </x:c>
      <x:c r="K562" s="16" t="n">
        <x:v>0.75</x:v>
      </x:c>
      <x:c r="L562" s="12" t="str">
        <x:v>LSA similarity cluster; human review pending</x:v>
      </x:c>
      <x:c r="M562" s="12" t="str">
        <x:v>Section: 14.6 New Actions and Recommendations</x:v>
      </x:c>
      <x:c r="N562" s="12" t="str"/>
      <x:c r="O562" s="12" t="str">
        <x:v>No</x:v>
      </x:c>
      <x:c r="P562" s="12" t="str">
        <x:v>No</x:v>
      </x:c>
      <x:c r="Q562" s="12"/>
      <x:c r="R562" s="12"/>
    </x:row>
    <x:row r="563">
      <x:c r="A563" s="12" t="str">
        <x:v>EVD-00562</x:v>
      </x:c>
      <x:c r="B563" s="12" t="str">
        <x:v>NEED-0124</x:v>
      </x:c>
      <x:c r="C563" s="12" t="str">
        <x:v>SRC-0003</x:v>
      </x:c>
      <x:c r="D563" s="12" t="str">
        <x:v>Action: UWG23-16. Work with the UWG Chair, members, and NASA staff to identify a date, place and agenda for an in-person meeting in the May-June 2024 time frame. Status: Open. Target Date: January 2024.</x:v>
      </x:c>
      <x:c r="E563" s="12" t="str">
        <x:v>UWG23-16. Work with the UWG Chair, members, and NASA staff to identify a date, place and agenda for an in-person meeting in the May-June 2024 time frame. Status: Open. Target Date: January 2024.</x:v>
      </x:c>
      <x:c r="F563" s="12" t="str">
        <x:v>Action</x:v>
      </x:c>
      <x:c r="G563" s="12" t="str">
        <x:v>SEDAC User Working Group</x:v>
      </x:c>
      <x:c r="H563" s="12" t="n">
        <x:v>2023</x:v>
      </x:c>
      <x:c r="I563" s="12" t="str">
        <x:v>Earthdata users</x:v>
      </x:c>
      <x:c r="J563" s="12" t="str">
        <x:v>Medium</x:v>
      </x:c>
      <x:c r="K563" s="16" t="n">
        <x:v>0.75</x:v>
      </x:c>
      <x:c r="L563" s="12" t="str">
        <x:v>LSA similarity cluster; human review pending</x:v>
      </x:c>
      <x:c r="M563" s="12" t="str">
        <x:v>Section: 14.6 New Actions and Recommendations</x:v>
      </x:c>
      <x:c r="N563" s="12" t="str"/>
      <x:c r="O563" s="12" t="str">
        <x:v>No</x:v>
      </x:c>
      <x:c r="P563" s="12" t="str">
        <x:v>No</x:v>
      </x:c>
      <x:c r="Q563" s="12"/>
      <x:c r="R563" s="12"/>
    </x:row>
    <x:row r="564">
      <x:c r="A564" s="12" t="str">
        <x:v>EVD-00563</x:v>
      </x:c>
      <x:c r="B564" s="12" t="str">
        <x:v>NEED-0124</x:v>
      </x:c>
      <x:c r="C564" s="12" t="str">
        <x:v>SRC-0003</x:v>
      </x:c>
      <x:c r="D564" s="12" t="str">
        <x:v>Action: UWG23-17. Designate one person to monitor the chat and ensure that remote participants’ views are shared with in-person participants and that their views are integrated as much as possible, and encourage all in-person participants to join the Zoom. Status: Open. Target Date: One week before the May-June meeting.</x:v>
      </x:c>
      <x:c r="E564" s="12" t="str">
        <x:v>UWG23-17. Designate one person to monitor the chat and ensure that remote participants’ views are shared with in-person participants and that their views are integrated as much as possible, and encourage all in-person participants to join the Zoom. Status: Open. Target Date: One week before the May-June meeting.</x:v>
      </x:c>
      <x:c r="F564" s="12" t="str">
        <x:v>Action</x:v>
      </x:c>
      <x:c r="G564" s="12" t="str">
        <x:v>SEDAC User Working Group</x:v>
      </x:c>
      <x:c r="H564" s="12" t="n">
        <x:v>2023</x:v>
      </x:c>
      <x:c r="I564" s="12" t="str">
        <x:v>Earthdata users</x:v>
      </x:c>
      <x:c r="J564" s="12" t="str">
        <x:v>High</x:v>
      </x:c>
      <x:c r="K564" s="16" t="n">
        <x:v>0.75</x:v>
      </x:c>
      <x:c r="L564" s="12" t="str">
        <x:v>LSA similarity cluster; human review pending</x:v>
      </x:c>
      <x:c r="M564" s="12" t="str">
        <x:v>Section: 14.6 New Actions and Recommendations</x:v>
      </x:c>
      <x:c r="N564" s="12" t="str"/>
      <x:c r="O564" s="12" t="str">
        <x:v>No</x:v>
      </x:c>
      <x:c r="P564" s="12" t="str">
        <x:v>No</x:v>
      </x:c>
      <x:c r="Q564" s="12"/>
      <x:c r="R564" s="12"/>
    </x:row>
    <x:row r="565">
      <x:c r="A565" s="12" t="str">
        <x:v>EVD-00564</x:v>
      </x:c>
      <x:c r="B565" s="12" t="str">
        <x:v>NEED-0093</x:v>
      </x:c>
      <x:c r="C565" s="12" t="str">
        <x:v>SRC-0003</x:v>
      </x:c>
      <x:c r="D565" s="12" t="str">
        <x:v>Action: UWG23-18. Work with the UWG Chair and SEDAC’s program scientist to finalize the list of invitations to candidates for the UWG to replace those members whose terms are ending in December 2023, including a candidate with expertise in environmental justice and/or indigenous peoples’ data issues. Status: Open. Target Date: September 2023.</x:v>
      </x:c>
      <x:c r="E565" s="12" t="str">
        <x:v>UWG23-18. Work with the UWG Chair and SEDAC’s program scientist to finalize the list of invitations to candidates for the UWG to replace those members whose terms are ending in December 2023, including a candidate with expertise in environmental justice and/or indigenous peoples’ data issues. Status: Open. Target Date: September 2023.</x:v>
      </x:c>
      <x:c r="F565" s="12" t="str">
        <x:v>Action</x:v>
      </x:c>
      <x:c r="G565" s="12" t="str">
        <x:v>SEDAC User Working Group</x:v>
      </x:c>
      <x:c r="H565" s="12" t="n">
        <x:v>2023</x:v>
      </x:c>
      <x:c r="I565" s="12" t="str">
        <x:v>Indigenous and underrepresented communities; Earth science researchers</x:v>
      </x:c>
      <x:c r="J565" s="12" t="str">
        <x:v>Medium</x:v>
      </x:c>
      <x:c r="K565" s="16" t="n">
        <x:v>0.75</x:v>
      </x:c>
      <x:c r="L565" s="12" t="str">
        <x:v>LSA similarity cluster; human review pending</x:v>
      </x:c>
      <x:c r="M565" s="12" t="str">
        <x:v>Section: 14.6 New Actions and Recommendations</x:v>
      </x:c>
      <x:c r="N565" s="12" t="str"/>
      <x:c r="O565" s="12" t="str">
        <x:v>No</x:v>
      </x:c>
      <x:c r="P565" s="12" t="str">
        <x:v>No</x:v>
      </x:c>
      <x:c r="Q565" s="12"/>
      <x:c r="R565" s="12"/>
    </x:row>
    <x:row r="566">
      <x:c r="A566" s="12" t="str">
        <x:v>EVD-00565</x:v>
      </x:c>
      <x:c r="B566" s="12" t="str">
        <x:v>NEED-0136</x:v>
      </x:c>
      <x:c r="C566" s="12" t="str">
        <x:v>SRC-0002</x:v>
      </x:c>
      <x:c r="D566" s="12" t="str">
        <x:v>The UWG unanimously commends ASF for exceptional work done and significant progress achieved over the year.</x:v>
      </x:c>
      <x:c r="E566" s="12" t="str">
        <x:v>The UWG unanimously commends ASF for exceptional work done and significant progress achieved over the year.</x:v>
      </x:c>
      <x:c r="F566" s="12" t="str">
        <x:v>Suggestion</x:v>
      </x:c>
      <x:c r="G566" s="12" t="str">
        <x:v>ASF DAAC User Working Group</x:v>
      </x:c>
      <x:c r="H566" s="12" t="n">
        <x:v>2022</x:v>
      </x:c>
      <x:c r="I566" s="12" t="str">
        <x:v>Earthdata users</x:v>
      </x:c>
      <x:c r="J566" s="12" t="str">
        <x:v>Low</x:v>
      </x:c>
      <x:c r="K566" s="16" t="n">
        <x:v>0.75</x:v>
      </x:c>
      <x:c r="L566" s="12" t="str">
        <x:v>LSA similarity cluster; human review pending</x:v>
      </x:c>
      <x:c r="M566" s="12" t="str">
        <x:v>Section: 2.2 Key UWG Suggestions</x:v>
      </x:c>
      <x:c r="N566" s="12" t="str"/>
      <x:c r="O566" s="12" t="str">
        <x:v>No</x:v>
      </x:c>
      <x:c r="P566" s="12" t="str">
        <x:v>No</x:v>
      </x:c>
      <x:c r="Q566" s="12"/>
      <x:c r="R566" s="12"/>
    </x:row>
    <x:row r="567">
      <x:c r="A567" s="12" t="str">
        <x:v>EVD-00566</x:v>
      </x:c>
      <x:c r="B567" s="12" t="str">
        <x:v>NEED-0014</x:v>
      </x:c>
      <x:c r="C567" s="12" t="str">
        <x:v>SRC-0002</x:v>
      </x:c>
      <x:c r="D567" s="12" t="str">
        <x:v>UWG particularly compliments ASF management on their hard work and dedication to make ASF a world-class center on SAR data archiving, processing and discovery. Throughout the year, ASF has provided excellent tools for SAR data analysis and cloud-processing recipes. ASF shows a forward-thinking mindset, and shows an openness to input from the UWG for improvement.</x:v>
      </x:c>
      <x:c r="E567" s="12" t="str">
        <x:v>UWG particularly compliments ASF management on their hard work and dedication to make ASF a world-class center on SAR data archiving, processing and discovery. Throughout the year, ASF has provided excellent tools for SAR data analysis and cloud-processing recipes. ASF shows a forward-thinking mindset, and shows an openness to input from the UWG for improvement.</x:v>
      </x:c>
      <x:c r="F567" s="12" t="str">
        <x:v>Suggestion</x:v>
      </x:c>
      <x:c r="G567" s="12" t="str">
        <x:v>ASF DAAC User Working Group</x:v>
      </x:c>
      <x:c r="H567" s="12" t="n">
        <x:v>2022</x:v>
      </x:c>
      <x:c r="I567" s="12" t="str">
        <x:v>Cloud-native researchers; Earth science researchers</x:v>
      </x:c>
      <x:c r="J567" s="12" t="str">
        <x:v>Low</x:v>
      </x:c>
      <x:c r="K567" s="16" t="n">
        <x:v>0.75</x:v>
      </x:c>
      <x:c r="L567" s="12" t="str">
        <x:v>LSA similarity cluster; human review pending</x:v>
      </x:c>
      <x:c r="M567" s="12" t="str">
        <x:v>Section: 2.2 Key UWG Suggestions</x:v>
      </x:c>
      <x:c r="N567" s="12" t="str"/>
      <x:c r="O567" s="12" t="str">
        <x:v>No</x:v>
      </x:c>
      <x:c r="P567" s="12" t="str">
        <x:v>No</x:v>
      </x:c>
      <x:c r="Q567" s="12"/>
      <x:c r="R567" s="12"/>
    </x:row>
    <x:row r="568">
      <x:c r="A568" s="12" t="str">
        <x:v>EVD-00567</x:v>
      </x:c>
      <x:c r="B568" s="12" t="str">
        <x:v>NEED-0173</x:v>
      </x:c>
      <x:c r="C568" s="12" t="str">
        <x:v>SRC-0002</x:v>
      </x:c>
      <x:c r="D568" s="12" t="str">
        <x:v>The UWG suggests that ASF further enhances communication with user communities on new tools and functionalities of ASF DAAC (Action included).</x:v>
      </x:c>
      <x:c r="E568" s="12" t="str">
        <x:v>The UWG suggests that ASF further enhances communication with user communities on new tools and functionalities of ASF DAAC (Action included).</x:v>
      </x:c>
      <x:c r="F568" s="12" t="str">
        <x:v>Action</x:v>
      </x:c>
      <x:c r="G568" s="12" t="str">
        <x:v>ASF DAAC User Working Group</x:v>
      </x:c>
      <x:c r="H568" s="12" t="n">
        <x:v>2022</x:v>
      </x:c>
      <x:c r="I568" s="12" t="str">
        <x:v>Earthdata users</x:v>
      </x:c>
      <x:c r="J568" s="12" t="str">
        <x:v>Medium</x:v>
      </x:c>
      <x:c r="K568" s="16" t="n">
        <x:v>0.75</x:v>
      </x:c>
      <x:c r="L568" s="12" t="str">
        <x:v>LSA similarity cluster; human review pending</x:v>
      </x:c>
      <x:c r="M568" s="12" t="str">
        <x:v>Section: 2.2 Key UWG Suggestions</x:v>
      </x:c>
      <x:c r="N568" s="12" t="str"/>
      <x:c r="O568" s="12" t="str">
        <x:v>No</x:v>
      </x:c>
      <x:c r="P568" s="12" t="str">
        <x:v>No</x:v>
      </x:c>
      <x:c r="Q568" s="12"/>
      <x:c r="R568" s="12"/>
    </x:row>
    <x:row r="569">
      <x:c r="A569" s="12" t="str">
        <x:v>EVD-00568</x:v>
      </x:c>
      <x:c r="B569" s="12" t="str">
        <x:v>NEED-0149</x:v>
      </x:c>
      <x:c r="C569" s="12" t="str">
        <x:v>SRC-0002</x:v>
      </x:c>
      <x:c r="D569" s="12" t="str">
        <x:v>The UWG suggests that ASF works on enhancing engagement with indigenous and other underrepresented communities (Action included).</x:v>
      </x:c>
      <x:c r="E569" s="12" t="str">
        <x:v>The UWG suggests that ASF works on enhancing engagement with indigenous and other underrepresented communities (Action included).</x:v>
      </x:c>
      <x:c r="F569" s="12" t="str">
        <x:v>Action</x:v>
      </x:c>
      <x:c r="G569" s="12" t="str">
        <x:v>ASF DAAC User Working Group</x:v>
      </x:c>
      <x:c r="H569" s="12" t="n">
        <x:v>2022</x:v>
      </x:c>
      <x:c r="I569" s="12" t="str">
        <x:v>Indigenous and underrepresented communities</x:v>
      </x:c>
      <x:c r="J569" s="12" t="str">
        <x:v>Medium</x:v>
      </x:c>
      <x:c r="K569" s="16" t="n">
        <x:v>0.75</x:v>
      </x:c>
      <x:c r="L569" s="12" t="str">
        <x:v>LSA similarity cluster; human review pending</x:v>
      </x:c>
      <x:c r="M569" s="12" t="str">
        <x:v>Section: 2.2 Key UWG Suggestions</x:v>
      </x:c>
      <x:c r="N569" s="12" t="str"/>
      <x:c r="O569" s="12" t="str">
        <x:v>No</x:v>
      </x:c>
      <x:c r="P569" s="12" t="str">
        <x:v>No</x:v>
      </x:c>
      <x:c r="Q569" s="12"/>
      <x:c r="R569" s="12"/>
    </x:row>
    <x:row r="570">
      <x:c r="A570" s="12" t="str">
        <x:v>EVD-00569</x:v>
      </x:c>
      <x:c r="B570" s="12" t="str">
        <x:v>NEED-0173</x:v>
      </x:c>
      <x:c r="C570" s="12" t="str">
        <x:v>SRC-0002</x:v>
      </x:c>
      <x:c r="D570" s="12" t="str">
        <x:v>The UWG suggests that ASF and JPL work on addressing duplication of efforts. Capabilities should be shared (e.g. on-demand services for ST Cal/Val activities developed at JPL should run on OpenSAR Lab and other ASF environments to address users' needs beyond the standard products). That said, the UWG acknowledges an improvement of the bilateral collaboration between ASF and JPL in the past few years.</x:v>
      </x:c>
      <x:c r="E570" s="12" t="str">
        <x:v>The UWG suggests that ASF and JPL work on addressing duplication of efforts. Capabilities should be shared (e.g. on-demand services for ST Cal/Val activities developed at JPL should run on OpenSAR Lab and other ASF environments to address users' needs beyond the standard products). That said, the UWG acknowledges an improvement of the bilateral collaboration between ASF and JPL in the past few years.</x:v>
      </x:c>
      <x:c r="F570" s="12" t="str">
        <x:v>Suggestion</x:v>
      </x:c>
      <x:c r="G570" s="12" t="str">
        <x:v>ASF DAAC User Working Group</x:v>
      </x:c>
      <x:c r="H570" s="12" t="n">
        <x:v>2022</x:v>
      </x:c>
      <x:c r="I570" s="12" t="str">
        <x:v>Data producers and mission teams</x:v>
      </x:c>
      <x:c r="J570" s="12" t="str">
        <x:v>High</x:v>
      </x:c>
      <x:c r="K570" s="16" t="n">
        <x:v>0.75</x:v>
      </x:c>
      <x:c r="L570" s="12" t="str">
        <x:v>LSA similarity cluster; human review pending</x:v>
      </x:c>
      <x:c r="M570" s="12" t="str">
        <x:v>Section: 2.2 Key UWG Suggestions</x:v>
      </x:c>
      <x:c r="N570" s="12" t="str"/>
      <x:c r="O570" s="12" t="str">
        <x:v>No</x:v>
      </x:c>
      <x:c r="P570" s="12" t="str">
        <x:v>No</x:v>
      </x:c>
      <x:c r="Q570" s="12"/>
      <x:c r="R570" s="12"/>
    </x:row>
    <x:row r="571">
      <x:c r="A571" s="12" t="str">
        <x:v>EVD-00570</x:v>
      </x:c>
      <x:c r="B571" s="12" t="str">
        <x:v>NEED-0201</x:v>
      </x:c>
      <x:c r="C571" s="12" t="str">
        <x:v>SRC-0002</x:v>
      </x:c>
      <x:c r="D571" s="12" t="str">
        <x:v>The UWG is in favor of Gerald Bawden’s suggestion for an increase in training opportunities (Action included). That said, the UWG commends the excellent work on training and outreach already done at ASF.</x:v>
      </x:c>
      <x:c r="E571" s="12" t="str">
        <x:v>The UWG is in favor of Gerald Bawden’s suggestion for an increase in training opportunities (Action included). That said, the UWG commends the excellent work on training and outreach already done at ASF.</x:v>
      </x:c>
      <x:c r="F571" s="12" t="str">
        <x:v>Action</x:v>
      </x:c>
      <x:c r="G571" s="12" t="str">
        <x:v>ASF DAAC User Working Group</x:v>
      </x:c>
      <x:c r="H571" s="12" t="n">
        <x:v>2022</x:v>
      </x:c>
      <x:c r="I571" s="12" t="str">
        <x:v>Educators and trainers</x:v>
      </x:c>
      <x:c r="J571" s="12" t="str">
        <x:v>Low</x:v>
      </x:c>
      <x:c r="K571" s="16" t="n">
        <x:v>0.75</x:v>
      </x:c>
      <x:c r="L571" s="12" t="str">
        <x:v>LSA similarity cluster; human review pending</x:v>
      </x:c>
      <x:c r="M571" s="12" t="str">
        <x:v>Section: 2.2 Key UWG Suggestions</x:v>
      </x:c>
      <x:c r="N571" s="12" t="str"/>
      <x:c r="O571" s="12" t="str">
        <x:v>No</x:v>
      </x:c>
      <x:c r="P571" s="12" t="str">
        <x:v>No</x:v>
      </x:c>
      <x:c r="Q571" s="12"/>
      <x:c r="R571" s="12"/>
    </x:row>
    <x:row r="572">
      <x:c r="A572" s="12" t="str">
        <x:v>EVD-00571</x:v>
      </x:c>
      <x:c r="B572" s="12" t="str">
        <x:v>NEED-0160</x:v>
      </x:c>
      <x:c r="C572" s="12" t="str">
        <x:v>SRC-0002</x:v>
      </x:c>
      <x:c r="D572" s="12" t="str">
        <x:v>The UWG suggests that NASA and ASF reach out to the community in an effort to find and recover additional SIR-A/B/C scenes in the context of SIR data preservation efforts (Action included).</x:v>
      </x:c>
      <x:c r="E572" s="12" t="str">
        <x:v>The UWG suggests that NASA and ASF reach out to the community in an effort to find and recover additional SIR-A/B/C scenes in the context of SIR data preservation efforts (Action included).</x:v>
      </x:c>
      <x:c r="F572" s="12" t="str">
        <x:v>Action</x:v>
      </x:c>
      <x:c r="G572" s="12" t="str">
        <x:v>ASF DAAC User Working Group</x:v>
      </x:c>
      <x:c r="H572" s="12" t="n">
        <x:v>2022</x:v>
      </x:c>
      <x:c r="I572" s="12" t="str">
        <x:v>Earthdata users</x:v>
      </x:c>
      <x:c r="J572" s="12" t="str">
        <x:v>Medium</x:v>
      </x:c>
      <x:c r="K572" s="16" t="n">
        <x:v>0.75</x:v>
      </x:c>
      <x:c r="L572" s="12" t="str">
        <x:v>LSA similarity cluster; human review pending</x:v>
      </x:c>
      <x:c r="M572" s="12" t="str">
        <x:v>Section: 2.2 Key UWG Suggestions</x:v>
      </x:c>
      <x:c r="N572" s="12" t="str"/>
      <x:c r="O572" s="12" t="str">
        <x:v>No</x:v>
      </x:c>
      <x:c r="P572" s="12" t="str">
        <x:v>No</x:v>
      </x:c>
      <x:c r="Q572" s="12"/>
      <x:c r="R572" s="12"/>
    </x:row>
    <x:row r="573">
      <x:c r="A573" s="12" t="str">
        <x:v>EVD-00572</x:v>
      </x:c>
      <x:c r="B573" s="12" t="str">
        <x:v>NEED-0119</x:v>
      </x:c>
      <x:c r="C573" s="12" t="str">
        <x:v>SRC-0002</x:v>
      </x:c>
      <x:c r="D573" s="12" t="str">
        <x:v>Share ASF NISAR Community debrief with Sue Owen</x:v>
      </x:c>
      <x:c r="E573" s="12" t="str">
        <x:v>Share ASF NISAR Community debrief with Sue Owen</x:v>
      </x:c>
      <x:c r="F573" s="12" t="str">
        <x:v>Action</x:v>
      </x:c>
      <x:c r="G573" s="12" t="str">
        <x:v>ASF DAAC User Working Group</x:v>
      </x:c>
      <x:c r="H573" s="12" t="n">
        <x:v>2022</x:v>
      </x:c>
      <x:c r="I573" s="12" t="str">
        <x:v>Earthdata users</x:v>
      </x:c>
      <x:c r="J573" s="12" t="str">
        <x:v>Medium</x:v>
      </x:c>
      <x:c r="K573" s="16" t="n">
        <x:v>0.75</x:v>
      </x:c>
      <x:c r="L573" s="12" t="str">
        <x:v>LSA similarity cluster; human review pending</x:v>
      </x:c>
      <x:c r="M573" s="12" t="str">
        <x:v>Section: 2.5 Action Items; table row 2</x:v>
      </x:c>
      <x:c r="N573" s="12" t="str"/>
      <x:c r="O573" s="12" t="str">
        <x:v>No</x:v>
      </x:c>
      <x:c r="P573" s="12" t="str">
        <x:v>No</x:v>
      </x:c>
      <x:c r="Q573" s="12"/>
      <x:c r="R573" s="12"/>
    </x:row>
    <x:row r="574">
      <x:c r="A574" s="12" t="str">
        <x:v>EVD-00573</x:v>
      </x:c>
      <x:c r="B574" s="12" t="str">
        <x:v>NEED-0161</x:v>
      </x:c>
      <x:c r="C574" s="12" t="str">
        <x:v>SRC-0002</x:v>
      </x:c>
      <x:c r="D574" s="12" t="str">
        <x:v>Prioritize ALOS-2 ScanSAR from JAXA and increase transfers speeds</x:v>
      </x:c>
      <x:c r="E574" s="12" t="str">
        <x:v>Prioritize ALOS-2 ScanSAR from JAXA and increase transfers speeds</x:v>
      </x:c>
      <x:c r="F574" s="12" t="str">
        <x:v>Action</x:v>
      </x:c>
      <x:c r="G574" s="12" t="str">
        <x:v>ASF DAAC User Working Group</x:v>
      </x:c>
      <x:c r="H574" s="12" t="n">
        <x:v>2022</x:v>
      </x:c>
      <x:c r="I574" s="12" t="str">
        <x:v>Earthdata users</x:v>
      </x:c>
      <x:c r="J574" s="12" t="str">
        <x:v>Medium</x:v>
      </x:c>
      <x:c r="K574" s="16" t="n">
        <x:v>0.55</x:v>
      </x:c>
      <x:c r="L574" s="12" t="str">
        <x:v>LSA similarity cluster; human review pending</x:v>
      </x:c>
      <x:c r="M574" s="12" t="str">
        <x:v>Section: 2.5 Action Items; table row 3</x:v>
      </x:c>
      <x:c r="N574" s="12" t="str"/>
      <x:c r="O574" s="12" t="str">
        <x:v>No</x:v>
      </x:c>
      <x:c r="P574" s="12" t="str">
        <x:v>No</x:v>
      </x:c>
      <x:c r="Q574" s="12"/>
      <x:c r="R574" s="12"/>
    </x:row>
    <x:row r="575">
      <x:c r="A575" s="12" t="str">
        <x:v>EVD-00574</x:v>
      </x:c>
      <x:c r="B575" s="12" t="str">
        <x:v>NEED-0152</x:v>
      </x:c>
      <x:c r="C575" s="12" t="str">
        <x:v>SRC-0002</x:v>
      </x:c>
      <x:c r="D575" s="12" t="str">
        <x:v>Expand outreach: newsletter, additional languages…updates (email? - one paragraph); sprint reviews?...keep it quick</x:v>
      </x:c>
      <x:c r="E575" s="12" t="str">
        <x:v>Expand outreach: newsletter, additional languages…updates (email? - one paragraph); sprint reviews?...keep it quick</x:v>
      </x:c>
      <x:c r="F575" s="12" t="str">
        <x:v>Action</x:v>
      </x:c>
      <x:c r="G575" s="12" t="str">
        <x:v>ASF DAAC User Working Group</x:v>
      </x:c>
      <x:c r="H575" s="12" t="n">
        <x:v>2022</x:v>
      </x:c>
      <x:c r="I575" s="12" t="str">
        <x:v>Earthdata users</x:v>
      </x:c>
      <x:c r="J575" s="12" t="str">
        <x:v>High</x:v>
      </x:c>
      <x:c r="K575" s="16" t="n">
        <x:v>0.75</x:v>
      </x:c>
      <x:c r="L575" s="12" t="str">
        <x:v>LSA similarity cluster; human review pending</x:v>
      </x:c>
      <x:c r="M575" s="12" t="str">
        <x:v>Section: 2.5 Action Items; table row 4</x:v>
      </x:c>
      <x:c r="N575" s="12" t="str"/>
      <x:c r="O575" s="12" t="str">
        <x:v>No</x:v>
      </x:c>
      <x:c r="P575" s="12" t="str">
        <x:v>No</x:v>
      </x:c>
      <x:c r="Q575" s="12"/>
      <x:c r="R575" s="12"/>
    </x:row>
    <x:row r="576">
      <x:c r="A576" s="12" t="str">
        <x:v>EVD-00575</x:v>
      </x:c>
      <x:c r="B576" s="12" t="str">
        <x:v>NEED-0001</x:v>
      </x:c>
      <x:c r="C576" s="12" t="str">
        <x:v>SRC-0002</x:v>
      </x:c>
      <x:c r="D576" s="12" t="str">
        <x:v>Increase training opportunities. It could even be recording existing training. Meet with ARSET or NISAR ST. Systematic look of SAR Training needs. Need a coherent SAR Training approach. Specifically need more cloud training. Make them short? (work with others in OpenScapes, ARSET, on methods and distribution)</x:v>
      </x:c>
      <x:c r="E576" s="12" t="str">
        <x:v>Increase training opportunities. It could even be recording existing training. Meet with ARSET or NISAR ST. Systematic look of SAR Training needs. Need a coherent SAR Training approach. Specifically need more cloud training. Make them short? (work with others in OpenScapes, ARSET, on methods and distribution)</x:v>
      </x:c>
      <x:c r="F576" s="12" t="str">
        <x:v>Action</x:v>
      </x:c>
      <x:c r="G576" s="12" t="str">
        <x:v>ASF DAAC User Working Group</x:v>
      </x:c>
      <x:c r="H576" s="12" t="n">
        <x:v>2022</x:v>
      </x:c>
      <x:c r="I576" s="12" t="str">
        <x:v>Cloud-native researchers; Educators and trainers</x:v>
      </x:c>
      <x:c r="J576" s="12" t="str">
        <x:v>High</x:v>
      </x:c>
      <x:c r="K576" s="16" t="n">
        <x:v>0.75</x:v>
      </x:c>
      <x:c r="L576" s="12" t="str">
        <x:v>LSA similarity cluster; human review pending</x:v>
      </x:c>
      <x:c r="M576" s="12" t="str">
        <x:v>Section: 2.5 Action Items; table row 5</x:v>
      </x:c>
      <x:c r="N576" s="12" t="str"/>
      <x:c r="O576" s="12" t="str">
        <x:v>No</x:v>
      </x:c>
      <x:c r="P576" s="12" t="str">
        <x:v>No</x:v>
      </x:c>
      <x:c r="Q576" s="12"/>
      <x:c r="R576" s="12"/>
    </x:row>
    <x:row r="577">
      <x:c r="A577" s="12" t="str">
        <x:v>EVD-00576</x:v>
      </x:c>
      <x:c r="B577" s="12" t="str">
        <x:v>NEED-0058</x:v>
      </x:c>
      <x:c r="C577" s="12" t="str">
        <x:v>SRC-0002</x:v>
      </x:c>
      <x:c r="D577" s="12" t="str">
        <x:v>Wave mode / ocean searches / wind speed?</x:v>
      </x:c>
      <x:c r="E577" s="12" t="str">
        <x:v>Wave mode / ocean searches / wind speed?</x:v>
      </x:c>
      <x:c r="F577" s="12" t="str">
        <x:v>Action</x:v>
      </x:c>
      <x:c r="G577" s="12" t="str">
        <x:v>ASF DAAC User Working Group</x:v>
      </x:c>
      <x:c r="H577" s="12" t="n">
        <x:v>2022</x:v>
      </x:c>
      <x:c r="I577" s="12" t="str">
        <x:v>Earthdata users</x:v>
      </x:c>
      <x:c r="J577" s="12" t="str">
        <x:v>Medium</x:v>
      </x:c>
      <x:c r="K577" s="16" t="n">
        <x:v>0.75</x:v>
      </x:c>
      <x:c r="L577" s="12" t="str">
        <x:v>LSA similarity cluster; human review pending</x:v>
      </x:c>
      <x:c r="M577" s="12" t="str">
        <x:v>Section: 2.5 Action Items; table row 6</x:v>
      </x:c>
      <x:c r="N577" s="12" t="str"/>
      <x:c r="O577" s="12" t="str">
        <x:v>No</x:v>
      </x:c>
      <x:c r="P577" s="12" t="str">
        <x:v>No</x:v>
      </x:c>
      <x:c r="Q577" s="12"/>
      <x:c r="R577" s="12"/>
    </x:row>
    <x:row r="578">
      <x:c r="A578" s="12" t="str">
        <x:v>EVD-00577</x:v>
      </x:c>
      <x:c r="B578" s="12" t="str">
        <x:v>NEED-0190</x:v>
      </x:c>
      <x:c r="C578" s="12" t="str">
        <x:v>SRC-0002</x:v>
      </x:c>
      <x:c r="D578" s="12" t="str">
        <x:v>Help exploit CSDA data via ASF tools and services</x:v>
      </x:c>
      <x:c r="E578" s="12" t="str">
        <x:v>Help exploit CSDA data via ASF tools and services</x:v>
      </x:c>
      <x:c r="F578" s="12" t="str">
        <x:v>Action</x:v>
      </x:c>
      <x:c r="G578" s="12" t="str">
        <x:v>ASF DAAC User Working Group</x:v>
      </x:c>
      <x:c r="H578" s="12" t="n">
        <x:v>2022</x:v>
      </x:c>
      <x:c r="I578" s="12" t="str">
        <x:v>Earthdata users</x:v>
      </x:c>
      <x:c r="J578" s="12" t="str">
        <x:v>Medium</x:v>
      </x:c>
      <x:c r="K578" s="16" t="n">
        <x:v>0.75</x:v>
      </x:c>
      <x:c r="L578" s="12" t="str">
        <x:v>LSA similarity cluster; human review pending</x:v>
      </x:c>
      <x:c r="M578" s="12" t="str">
        <x:v>Section: 2.5 Action Items; table row 7</x:v>
      </x:c>
      <x:c r="N578" s="12" t="str"/>
      <x:c r="O578" s="12" t="str">
        <x:v>No</x:v>
      </x:c>
      <x:c r="P578" s="12" t="str">
        <x:v>No</x:v>
      </x:c>
      <x:c r="Q578" s="12"/>
      <x:c r="R578" s="12"/>
    </x:row>
    <x:row r="579">
      <x:c r="A579" s="12" t="str">
        <x:v>EVD-00578</x:v>
      </x:c>
      <x:c r="B579" s="12" t="str">
        <x:v>NEED-0123</x:v>
      </x:c>
      <x:c r="C579" s="12" t="str">
        <x:v>SRC-0002</x:v>
      </x:c>
      <x:c r="D579" s="12" t="str">
        <x:v>Facilitate TOPS</x:v>
      </x:c>
      <x:c r="E579" s="12" t="str">
        <x:v>Facilitate TOPS</x:v>
      </x:c>
      <x:c r="F579" s="12" t="str">
        <x:v>Action</x:v>
      </x:c>
      <x:c r="G579" s="12" t="str">
        <x:v>ASF DAAC User Working Group</x:v>
      </x:c>
      <x:c r="H579" s="12" t="n">
        <x:v>2022</x:v>
      </x:c>
      <x:c r="I579" s="12" t="str">
        <x:v>Earthdata users</x:v>
      </x:c>
      <x:c r="J579" s="12" t="str">
        <x:v>Medium</x:v>
      </x:c>
      <x:c r="K579" s="16" t="n">
        <x:v>0.75</x:v>
      </x:c>
      <x:c r="L579" s="12" t="str">
        <x:v>LSA similarity cluster; human review pending</x:v>
      </x:c>
      <x:c r="M579" s="12" t="str">
        <x:v>Section: 2.5 Action Items; table row 8</x:v>
      </x:c>
      <x:c r="N579" s="12" t="str"/>
      <x:c r="O579" s="12" t="str">
        <x:v>No</x:v>
      </x:c>
      <x:c r="P579" s="12" t="str">
        <x:v>No</x:v>
      </x:c>
      <x:c r="Q579" s="12"/>
      <x:c r="R579" s="12"/>
    </x:row>
    <x:row r="580">
      <x:c r="A580" s="12" t="str">
        <x:v>EVD-00579</x:v>
      </x:c>
      <x:c r="B580" s="12" t="str">
        <x:v>NEED-0021</x:v>
      </x:c>
      <x:c r="C580" s="12" t="str">
        <x:v>SRC-0002</x:v>
      </x:c>
      <x:c r="D580" s="12" t="str">
        <x:v>S-1C data access from ASF in a similar fashion to S-1A/B</x:v>
      </x:c>
      <x:c r="E580" s="12" t="str">
        <x:v>S-1C data access from ASF in a similar fashion to S-1A/B</x:v>
      </x:c>
      <x:c r="F580" s="12" t="str">
        <x:v>Action</x:v>
      </x:c>
      <x:c r="G580" s="12" t="str">
        <x:v>ASF DAAC User Working Group</x:v>
      </x:c>
      <x:c r="H580" s="12" t="n">
        <x:v>2022</x:v>
      </x:c>
      <x:c r="I580" s="12" t="str">
        <x:v>Earthdata users</x:v>
      </x:c>
      <x:c r="J580" s="12" t="str">
        <x:v>Medium</x:v>
      </x:c>
      <x:c r="K580" s="16" t="n">
        <x:v>0.75</x:v>
      </x:c>
      <x:c r="L580" s="12" t="str">
        <x:v>LSA similarity cluster; human review pending</x:v>
      </x:c>
      <x:c r="M580" s="12" t="str">
        <x:v>Section: 2.5 Action Items; table row 9</x:v>
      </x:c>
      <x:c r="N580" s="12" t="str"/>
      <x:c r="O580" s="12" t="str">
        <x:v>No</x:v>
      </x:c>
      <x:c r="P580" s="12" t="str">
        <x:v>No</x:v>
      </x:c>
      <x:c r="Q580" s="12"/>
      <x:c r="R580" s="12"/>
    </x:row>
    <x:row r="581">
      <x:c r="A581" s="12" t="str">
        <x:v>EVD-00580</x:v>
      </x:c>
      <x:c r="B581" s="12" t="str">
        <x:v>NEED-0121</x:v>
      </x:c>
      <x:c r="C581" s="12" t="str">
        <x:v>SRC-0002</x:v>
      </x:c>
      <x:c r="D581" s="12" t="str">
        <x:v>Explore synergies with SWOT</x:v>
      </x:c>
      <x:c r="E581" s="12" t="str">
        <x:v>Explore synergies with SWOT</x:v>
      </x:c>
      <x:c r="F581" s="12" t="str">
        <x:v>Action</x:v>
      </x:c>
      <x:c r="G581" s="12" t="str">
        <x:v>ASF DAAC User Working Group</x:v>
      </x:c>
      <x:c r="H581" s="12" t="n">
        <x:v>2022</x:v>
      </x:c>
      <x:c r="I581" s="12" t="str">
        <x:v>Earthdata users</x:v>
      </x:c>
      <x:c r="J581" s="12" t="str">
        <x:v>Medium</x:v>
      </x:c>
      <x:c r="K581" s="16" t="n">
        <x:v>0.75</x:v>
      </x:c>
      <x:c r="L581" s="12" t="str">
        <x:v>LSA similarity cluster; human review pending</x:v>
      </x:c>
      <x:c r="M581" s="12" t="str">
        <x:v>Section: 2.5 Action Items; table row 10</x:v>
      </x:c>
      <x:c r="N581" s="12" t="str"/>
      <x:c r="O581" s="12" t="str">
        <x:v>No</x:v>
      </x:c>
      <x:c r="P581" s="12" t="str">
        <x:v>No</x:v>
      </x:c>
      <x:c r="Q581" s="12"/>
      <x:c r="R581" s="12"/>
    </x:row>
    <x:row r="582">
      <x:c r="A582" s="12" t="str">
        <x:v>EVD-00581</x:v>
      </x:c>
      <x:c r="B582" s="12" t="str">
        <x:v>NEED-0129</x:v>
      </x:c>
      <x:c r="C582" s="12" t="str">
        <x:v>SRC-0002</x:v>
      </x:c>
      <x:c r="D582" s="12" t="str">
        <x:v>Evaluate the scientific utility of UMBRA data</x:v>
      </x:c>
      <x:c r="E582" s="12" t="str">
        <x:v>Evaluate the scientific utility of UMBRA data</x:v>
      </x:c>
      <x:c r="F582" s="12" t="str">
        <x:v>Action</x:v>
      </x:c>
      <x:c r="G582" s="12" t="str">
        <x:v>ASF DAAC User Working Group</x:v>
      </x:c>
      <x:c r="H582" s="12" t="n">
        <x:v>2022</x:v>
      </x:c>
      <x:c r="I582" s="12" t="str">
        <x:v>Earthdata users</x:v>
      </x:c>
      <x:c r="J582" s="12" t="str">
        <x:v>Medium</x:v>
      </x:c>
      <x:c r="K582" s="16" t="n">
        <x:v>0.75</x:v>
      </x:c>
      <x:c r="L582" s="12" t="str">
        <x:v>LSA similarity cluster; human review pending</x:v>
      </x:c>
      <x:c r="M582" s="12" t="str">
        <x:v>Section: 2.5 Action Items; table row 11</x:v>
      </x:c>
      <x:c r="N582" s="12" t="str"/>
      <x:c r="O582" s="12" t="str">
        <x:v>No</x:v>
      </x:c>
      <x:c r="P582" s="12" t="str">
        <x:v>No</x:v>
      </x:c>
      <x:c r="Q582" s="12"/>
      <x:c r="R582" s="12"/>
    </x:row>
    <x:row r="583">
      <x:c r="A583" s="12" t="str">
        <x:v>EVD-00582</x:v>
      </x:c>
      <x:c r="B583" s="12" t="str">
        <x:v>NEED-0095</x:v>
      </x:c>
      <x:c r="C583" s="12" t="str">
        <x:v>SRC-0002</x:v>
      </x:c>
      <x:c r="D583" s="12" t="str">
        <x:v>Brainstorm ways for ASF and UWG to engage historically underrepresented communities</x:v>
      </x:c>
      <x:c r="E583" s="12" t="str">
        <x:v>Brainstorm ways for ASF and UWG to engage historically underrepresented communities</x:v>
      </x:c>
      <x:c r="F583" s="12" t="str">
        <x:v>Action</x:v>
      </x:c>
      <x:c r="G583" s="12" t="str">
        <x:v>ASF DAAC User Working Group</x:v>
      </x:c>
      <x:c r="H583" s="12" t="n">
        <x:v>2022</x:v>
      </x:c>
      <x:c r="I583" s="12" t="str">
        <x:v>Indigenous and underrepresented communities</x:v>
      </x:c>
      <x:c r="J583" s="12" t="str">
        <x:v>Medium</x:v>
      </x:c>
      <x:c r="K583" s="16" t="n">
        <x:v>0.75</x:v>
      </x:c>
      <x:c r="L583" s="12" t="str">
        <x:v>LSA similarity cluster; human review pending</x:v>
      </x:c>
      <x:c r="M583" s="12" t="str">
        <x:v>Section: 2.5 Action Items; table row 12</x:v>
      </x:c>
      <x:c r="N583" s="12" t="str"/>
      <x:c r="O583" s="12" t="str">
        <x:v>No</x:v>
      </x:c>
      <x:c r="P583" s="12" t="str">
        <x:v>No</x:v>
      </x:c>
      <x:c r="Q583" s="12"/>
      <x:c r="R583" s="12"/>
    </x:row>
    <x:row r="584">
      <x:c r="A584" s="12" t="str">
        <x:v>EVD-00583</x:v>
      </x:c>
      <x:c r="B584" s="12" t="str">
        <x:v>NEED-0138</x:v>
      </x:c>
      <x:c r="C584" s="12" t="str">
        <x:v>SRC-0002</x:v>
      </x:c>
      <x:c r="D584" s="12" t="str">
        <x:v>RTC at native resolution and multiple outputs (gamma0, sigma0, etc.)</x:v>
      </x:c>
      <x:c r="E584" s="12" t="str">
        <x:v>RTC at native resolution and multiple outputs (gamma0, sigma0, etc.)</x:v>
      </x:c>
      <x:c r="F584" s="12" t="str">
        <x:v>Action</x:v>
      </x:c>
      <x:c r="G584" s="12" t="str">
        <x:v>ASF DAAC User Working Group</x:v>
      </x:c>
      <x:c r="H584" s="12" t="n">
        <x:v>2022</x:v>
      </x:c>
      <x:c r="I584" s="12" t="str">
        <x:v>Earthdata users</x:v>
      </x:c>
      <x:c r="J584" s="12" t="str">
        <x:v>Medium</x:v>
      </x:c>
      <x:c r="K584" s="16" t="n">
        <x:v>0.75</x:v>
      </x:c>
      <x:c r="L584" s="12" t="str">
        <x:v>LSA similarity cluster; human review pending</x:v>
      </x:c>
      <x:c r="M584" s="12" t="str">
        <x:v>Section: 2.5 Action Items; table row 13</x:v>
      </x:c>
      <x:c r="N584" s="12" t="str"/>
      <x:c r="O584" s="12" t="str">
        <x:v>No</x:v>
      </x:c>
      <x:c r="P584" s="12" t="str">
        <x:v>No</x:v>
      </x:c>
      <x:c r="Q584" s="12"/>
      <x:c r="R584" s="12"/>
    </x:row>
    <x:row r="585">
      <x:c r="A585" s="12" t="str">
        <x:v>EVD-00584</x:v>
      </x:c>
      <x:c r="B585" s="12" t="str">
        <x:v>NEED-0142</x:v>
      </x:c>
      <x:c r="C585" s="12" t="str">
        <x:v>SRC-0002</x:v>
      </x:c>
      <x:c r="D585" s="12" t="str">
        <x:v>Attend Association of State Geologists</x:v>
      </x:c>
      <x:c r="E585" s="12" t="str">
        <x:v>Attend Association of State Geologists</x:v>
      </x:c>
      <x:c r="F585" s="12" t="str">
        <x:v>Action</x:v>
      </x:c>
      <x:c r="G585" s="12" t="str">
        <x:v>ASF DAAC User Working Group</x:v>
      </x:c>
      <x:c r="H585" s="12" t="n">
        <x:v>2022</x:v>
      </x:c>
      <x:c r="I585" s="12" t="str">
        <x:v>GIS users</x:v>
      </x:c>
      <x:c r="J585" s="12" t="str">
        <x:v>Medium</x:v>
      </x:c>
      <x:c r="K585" s="16" t="n">
        <x:v>0.75</x:v>
      </x:c>
      <x:c r="L585" s="12" t="str">
        <x:v>LSA similarity cluster; human review pending</x:v>
      </x:c>
      <x:c r="M585" s="12" t="str">
        <x:v>Section: 2.5 Action Items; table row 14</x:v>
      </x:c>
      <x:c r="N585" s="12" t="str"/>
      <x:c r="O585" s="12" t="str">
        <x:v>No</x:v>
      </x:c>
      <x:c r="P585" s="12" t="str">
        <x:v>No</x:v>
      </x:c>
      <x:c r="Q585" s="12"/>
      <x:c r="R585" s="12"/>
    </x:row>
    <x:row r="586">
      <x:c r="A586" s="12" t="str">
        <x:v>EVD-00585</x:v>
      </x:c>
      <x:c r="B586" s="12" t="str">
        <x:v>NEED-0190</x:v>
      </x:c>
      <x:c r="C586" s="12" t="str">
        <x:v>SRC-0002</x:v>
      </x:c>
      <x:c r="D586" s="12" t="str">
        <x:v>Make ASF tools and services to work with all ASF platforms</x:v>
      </x:c>
      <x:c r="E586" s="12" t="str">
        <x:v>Make ASF tools and services to work with all ASF platforms</x:v>
      </x:c>
      <x:c r="F586" s="12" t="str">
        <x:v>Action</x:v>
      </x:c>
      <x:c r="G586" s="12" t="str">
        <x:v>ASF DAAC User Working Group</x:v>
      </x:c>
      <x:c r="H586" s="12" t="n">
        <x:v>2022</x:v>
      </x:c>
      <x:c r="I586" s="12" t="str">
        <x:v>Earthdata users</x:v>
      </x:c>
      <x:c r="J586" s="12" t="str">
        <x:v>Medium</x:v>
      </x:c>
      <x:c r="K586" s="16" t="n">
        <x:v>0.75</x:v>
      </x:c>
      <x:c r="L586" s="12" t="str">
        <x:v>LSA similarity cluster; human review pending</x:v>
      </x:c>
      <x:c r="M586" s="12" t="str">
        <x:v>Section: 2.5 Action Items; table row 15</x:v>
      </x:c>
      <x:c r="N586" s="12" t="str"/>
      <x:c r="O586" s="12" t="str">
        <x:v>No</x:v>
      </x:c>
      <x:c r="P586" s="12" t="str">
        <x:v>No</x:v>
      </x:c>
      <x:c r="Q586" s="12"/>
      <x:c r="R586" s="12"/>
    </x:row>
    <x:row r="587">
      <x:c r="A587" s="12" t="str">
        <x:v>EVD-00586</x:v>
      </x:c>
      <x:c r="B587" s="12" t="str">
        <x:v>NEED-0027</x:v>
      </x:c>
      <x:c r="C587" s="12" t="str">
        <x:v>SRC-0002</x:v>
      </x:c>
      <x:c r="D587" s="12" t="str">
        <x:v>Explore working with WInSAR to gain access to ERS-1 &amp; 2 data products</x:v>
      </x:c>
      <x:c r="E587" s="12" t="str">
        <x:v>Explore working with WInSAR to gain access to ERS-1 &amp; 2 data products</x:v>
      </x:c>
      <x:c r="F587" s="12" t="str">
        <x:v>Action</x:v>
      </x:c>
      <x:c r="G587" s="12" t="str">
        <x:v>ASF DAAC User Working Group</x:v>
      </x:c>
      <x:c r="H587" s="12" t="n">
        <x:v>2022</x:v>
      </x:c>
      <x:c r="I587" s="12" t="str">
        <x:v>Earthdata users</x:v>
      </x:c>
      <x:c r="J587" s="12" t="str">
        <x:v>Medium</x:v>
      </x:c>
      <x:c r="K587" s="16" t="n">
        <x:v>0.75</x:v>
      </x:c>
      <x:c r="L587" s="12" t="str">
        <x:v>LSA similarity cluster; human review pending</x:v>
      </x:c>
      <x:c r="M587" s="12" t="str">
        <x:v>Section: 2.5 Action Items; table row 16</x:v>
      </x:c>
      <x:c r="N587" s="12" t="str"/>
      <x:c r="O587" s="12" t="str">
        <x:v>No</x:v>
      </x:c>
      <x:c r="P587" s="12" t="str">
        <x:v>No</x:v>
      </x:c>
      <x:c r="Q587" s="12"/>
      <x:c r="R587" s="12"/>
    </x:row>
    <x:row r="588">
      <x:c r="A588" s="12" t="str">
        <x:v>EVD-00587</x:v>
      </x:c>
      <x:c r="B588" s="12" t="str">
        <x:v>NEED-0129</x:v>
      </x:c>
      <x:c r="C588" s="12" t="str">
        <x:v>SRC-0002</x:v>
      </x:c>
      <x:c r="D588" s="12" t="str">
        <x:v>Prioritize NISAR S-Band</x:v>
      </x:c>
      <x:c r="E588" s="12" t="str">
        <x:v>Prioritize NISAR S-Band</x:v>
      </x:c>
      <x:c r="F588" s="12" t="str">
        <x:v>Action</x:v>
      </x:c>
      <x:c r="G588" s="12" t="str">
        <x:v>ASF DAAC User Working Group</x:v>
      </x:c>
      <x:c r="H588" s="12" t="n">
        <x:v>2022</x:v>
      </x:c>
      <x:c r="I588" s="12" t="str">
        <x:v>Earthdata users</x:v>
      </x:c>
      <x:c r="J588" s="12" t="str">
        <x:v>Medium</x:v>
      </x:c>
      <x:c r="K588" s="16" t="n">
        <x:v>0.75</x:v>
      </x:c>
      <x:c r="L588" s="12" t="str">
        <x:v>LSA similarity cluster; human review pending</x:v>
      </x:c>
      <x:c r="M588" s="12" t="str">
        <x:v>Section: 2.5 Action Items; table row 17</x:v>
      </x:c>
      <x:c r="N588" s="12" t="str"/>
      <x:c r="O588" s="12" t="str">
        <x:v>No</x:v>
      </x:c>
      <x:c r="P588" s="12" t="str">
        <x:v>No</x:v>
      </x:c>
      <x:c r="Q588" s="12"/>
      <x:c r="R588" s="12"/>
    </x:row>
    <x:row r="589">
      <x:c r="A589" s="12" t="str">
        <x:v>EVD-00588</x:v>
      </x:c>
      <x:c r="B589" s="12" t="str">
        <x:v>NEED-0085</x:v>
      </x:c>
      <x:c r="C589" s="12" t="str">
        <x:v>SRC-0002</x:v>
      </x:c>
      <x:c r="D589" s="12" t="str">
        <x:v>Explore possibility of using NRO Lacrosse dataset</x:v>
      </x:c>
      <x:c r="E589" s="12" t="str">
        <x:v>Explore possibility of using NRO Lacrosse dataset</x:v>
      </x:c>
      <x:c r="F589" s="12" t="str">
        <x:v>Action</x:v>
      </x:c>
      <x:c r="G589" s="12" t="str">
        <x:v>ASF DAAC User Working Group</x:v>
      </x:c>
      <x:c r="H589" s="12" t="n">
        <x:v>2022</x:v>
      </x:c>
      <x:c r="I589" s="12" t="str">
        <x:v>Earthdata users</x:v>
      </x:c>
      <x:c r="J589" s="12" t="str">
        <x:v>Medium</x:v>
      </x:c>
      <x:c r="K589" s="16" t="n">
        <x:v>0.75</x:v>
      </x:c>
      <x:c r="L589" s="12" t="str">
        <x:v>LSA similarity cluster; human review pending</x:v>
      </x:c>
      <x:c r="M589" s="12" t="str">
        <x:v>Section: 2.5 Action Items; table row 18</x:v>
      </x:c>
      <x:c r="N589" s="12" t="str"/>
      <x:c r="O589" s="12" t="str">
        <x:v>No</x:v>
      </x:c>
      <x:c r="P589" s="12" t="str">
        <x:v>No</x:v>
      </x:c>
      <x:c r="Q589" s="12"/>
      <x:c r="R589" s="12"/>
    </x:row>
    <x:row r="590">
      <x:c r="A590" s="12" t="str">
        <x:v>EVD-00589</x:v>
      </x:c>
      <x:c r="B590" s="12" t="str">
        <x:v>NEED-0027</x:v>
      </x:c>
      <x:c r="C590" s="12" t="str">
        <x:v>SRC-0002</x:v>
      </x:c>
      <x:c r="D590" s="12" t="str">
        <x:v>Explore ALOS-4 data access</x:v>
      </x:c>
      <x:c r="E590" s="12" t="str">
        <x:v>Explore ALOS-4 data access</x:v>
      </x:c>
      <x:c r="F590" s="12" t="str">
        <x:v>Action</x:v>
      </x:c>
      <x:c r="G590" s="12" t="str">
        <x:v>ASF DAAC User Working Group</x:v>
      </x:c>
      <x:c r="H590" s="12" t="n">
        <x:v>2022</x:v>
      </x:c>
      <x:c r="I590" s="12" t="str">
        <x:v>Earthdata users</x:v>
      </x:c>
      <x:c r="J590" s="12" t="str">
        <x:v>Medium</x:v>
      </x:c>
      <x:c r="K590" s="16" t="n">
        <x:v>0.75</x:v>
      </x:c>
      <x:c r="L590" s="12" t="str">
        <x:v>LSA similarity cluster; human review pending</x:v>
      </x:c>
      <x:c r="M590" s="12" t="str">
        <x:v>Section: 2.5 Action Items; table row 19</x:v>
      </x:c>
      <x:c r="N590" s="12" t="str"/>
      <x:c r="O590" s="12" t="str">
        <x:v>No</x:v>
      </x:c>
      <x:c r="P590" s="12" t="str">
        <x:v>No</x:v>
      </x:c>
      <x:c r="Q590" s="12"/>
      <x:c r="R590" s="12"/>
    </x:row>
    <x:row r="591">
      <x:c r="A591" s="12" t="str">
        <x:v>EVD-00590</x:v>
      </x:c>
      <x:c r="B591" s="12" t="str">
        <x:v>NEED-0123</x:v>
      </x:c>
      <x:c r="C591" s="12" t="str">
        <x:v>SRC-0002</x:v>
      </x:c>
      <x:c r="D591" s="12" t="str">
        <x:v>Work with DAAC managers and ESDIS to provide definition of SEC</x:v>
      </x:c>
      <x:c r="E591" s="12" t="str">
        <x:v>Work with DAAC managers and ESDIS to provide definition of SEC</x:v>
      </x:c>
      <x:c r="F591" s="12" t="str">
        <x:v>Action</x:v>
      </x:c>
      <x:c r="G591" s="12" t="str">
        <x:v>ASF DAAC User Working Group</x:v>
      </x:c>
      <x:c r="H591" s="12" t="n">
        <x:v>2022</x:v>
      </x:c>
      <x:c r="I591" s="12" t="str">
        <x:v>Earthdata users</x:v>
      </x:c>
      <x:c r="J591" s="12" t="str">
        <x:v>High</x:v>
      </x:c>
      <x:c r="K591" s="16" t="n">
        <x:v>0.75</x:v>
      </x:c>
      <x:c r="L591" s="12" t="str">
        <x:v>LSA similarity cluster; human review pending</x:v>
      </x:c>
      <x:c r="M591" s="12" t="str">
        <x:v>Section: 2.5 Action Items; table row 20</x:v>
      </x:c>
      <x:c r="N591" s="12" t="str"/>
      <x:c r="O591" s="12" t="str">
        <x:v>No</x:v>
      </x:c>
      <x:c r="P591" s="12" t="str">
        <x:v>No</x:v>
      </x:c>
      <x:c r="Q591" s="12"/>
      <x:c r="R591" s="12"/>
    </x:row>
    <x:row r="592">
      <x:c r="A592" s="12" t="str">
        <x:v>EVD-00591</x:v>
      </x:c>
      <x:c r="B592" s="12" t="str">
        <x:v>NEED-0204</x:v>
      </x:c>
      <x:c r="C592" s="12" t="str">
        <x:v>SRC-0002</x:v>
      </x:c>
      <x:c r="D592" s="12" t="str">
        <x:v>Github video tutorial for OSL. Sharing code in OSL and Hyp3 is hard</x:v>
      </x:c>
      <x:c r="E592" s="12" t="str">
        <x:v>Github video tutorial for OSL. Sharing code in OSL and Hyp3 is hard</x:v>
      </x:c>
      <x:c r="F592" s="12" t="str">
        <x:v>Action</x:v>
      </x:c>
      <x:c r="G592" s="12" t="str">
        <x:v>ASF DAAC User Working Group</x:v>
      </x:c>
      <x:c r="H592" s="12" t="n">
        <x:v>2022</x:v>
      </x:c>
      <x:c r="I592" s="12" t="str">
        <x:v>Application developers; Educators and trainers</x:v>
      </x:c>
      <x:c r="J592" s="12" t="str">
        <x:v>Medium</x:v>
      </x:c>
      <x:c r="K592" s="16" t="n">
        <x:v>0.75</x:v>
      </x:c>
      <x:c r="L592" s="12" t="str">
        <x:v>LSA similarity cluster; human review pending</x:v>
      </x:c>
      <x:c r="M592" s="12" t="str">
        <x:v>Section: 2.5 Action Items; table row 21</x:v>
      </x:c>
      <x:c r="N592" s="12" t="str"/>
      <x:c r="O592" s="12" t="str">
        <x:v>No</x:v>
      </x:c>
      <x:c r="P592" s="12" t="str">
        <x:v>No</x:v>
      </x:c>
      <x:c r="Q592" s="12"/>
      <x:c r="R592" s="12"/>
    </x:row>
    <x:row r="593">
      <x:c r="A593" s="12" t="str">
        <x:v>EVD-00592</x:v>
      </x:c>
      <x:c r="B593" s="12" t="str">
        <x:v>NEED-0144</x:v>
      </x:c>
      <x:c r="C593" s="12" t="str">
        <x:v>SRC-0002</x:v>
      </x:c>
      <x:c r="D593" s="12" t="str">
        <x:v>Attach shuttle photographs to SIR-C data products (Steve has them on his website as well)</x:v>
      </x:c>
      <x:c r="E593" s="12" t="str">
        <x:v>Attach shuttle photographs to SIR-C data products (Steve has them on his website as well)</x:v>
      </x:c>
      <x:c r="F593" s="12" t="str">
        <x:v>Action</x:v>
      </x:c>
      <x:c r="G593" s="12" t="str">
        <x:v>ASF DAAC User Working Group</x:v>
      </x:c>
      <x:c r="H593" s="12" t="n">
        <x:v>2022</x:v>
      </x:c>
      <x:c r="I593" s="12" t="str">
        <x:v>Earthdata users</x:v>
      </x:c>
      <x:c r="J593" s="12" t="str">
        <x:v>Medium</x:v>
      </x:c>
      <x:c r="K593" s="16" t="n">
        <x:v>0.75</x:v>
      </x:c>
      <x:c r="L593" s="12" t="str">
        <x:v>LSA similarity cluster; human review pending</x:v>
      </x:c>
      <x:c r="M593" s="12" t="str">
        <x:v>Section: 2.5 Action Items; table row 22</x:v>
      </x:c>
      <x:c r="N593" s="12" t="str"/>
      <x:c r="O593" s="12" t="str">
        <x:v>No</x:v>
      </x:c>
      <x:c r="P593" s="12" t="str">
        <x:v>No</x:v>
      </x:c>
      <x:c r="Q593" s="12"/>
      <x:c r="R593" s="12"/>
    </x:row>
    <x:row r="594">
      <x:c r="A594" s="12" t="str">
        <x:v>EVD-00593</x:v>
      </x:c>
      <x:c r="B594" s="12" t="str">
        <x:v>NEED-0139</x:v>
      </x:c>
      <x:c r="C594" s="12" t="str">
        <x:v>SRC-0002</x:v>
      </x:c>
      <x:c r="D594" s="12" t="str">
        <x:v>Send email out to science community asking if scientists have SIR-A/B/C data</x:v>
      </x:c>
      <x:c r="E594" s="12" t="str">
        <x:v>Send email out to science community asking if scientists have SIR-A/B/C data</x:v>
      </x:c>
      <x:c r="F594" s="12" t="str">
        <x:v>Action</x:v>
      </x:c>
      <x:c r="G594" s="12" t="str">
        <x:v>ASF DAAC User Working Group</x:v>
      </x:c>
      <x:c r="H594" s="12" t="n">
        <x:v>2022</x:v>
      </x:c>
      <x:c r="I594" s="12" t="str">
        <x:v>Earth science researchers</x:v>
      </x:c>
      <x:c r="J594" s="12" t="str">
        <x:v>Medium</x:v>
      </x:c>
      <x:c r="K594" s="16" t="n">
        <x:v>0.75</x:v>
      </x:c>
      <x:c r="L594" s="12" t="str">
        <x:v>LSA similarity cluster; human review pending</x:v>
      </x:c>
      <x:c r="M594" s="12" t="str">
        <x:v>Section: 2.5 Action Items; table row 23</x:v>
      </x:c>
      <x:c r="N594" s="12" t="str"/>
      <x:c r="O594" s="12" t="str">
        <x:v>No</x:v>
      </x:c>
      <x:c r="P594" s="12" t="str">
        <x:v>No</x:v>
      </x:c>
      <x:c r="Q594" s="12"/>
      <x:c r="R594" s="12"/>
    </x:row>
    <x:row r="595">
      <x:c r="A595" s="12" t="str">
        <x:v>EVD-00594</x:v>
      </x:c>
      <x:c r="B595" s="12" t="str">
        <x:v>NEED-0071</x:v>
      </x:c>
      <x:c r="C595" s="12" t="str">
        <x:v>SRC-0002</x:v>
      </x:c>
      <x:c r="D595" s="12" t="str">
        <x:v>Educate the public and communities that span beyond space geodesy about CDDIS resources, capabilities, and data and derived product collections that are available.</x:v>
      </x:c>
      <x:c r="E595" s="12" t="str">
        <x:v>Educate the public and communities that span beyond space geodesy about CDDIS resources, capabilities, and data and derived product collections that are available.</x:v>
      </x:c>
      <x:c r="F595" s="12" t="str">
        <x:v>Finding</x:v>
      </x:c>
      <x:c r="G595" s="12" t="str">
        <x:v>Crustal Dynamics Data Information System DAAC User Working Group</x:v>
      </x:c>
      <x:c r="H595" s="12" t="n">
        <x:v>2022</x:v>
      </x:c>
      <x:c r="I595" s="12" t="str">
        <x:v>Earthdata users</x:v>
      </x:c>
      <x:c r="J595" s="12" t="str">
        <x:v>Medium</x:v>
      </x:c>
      <x:c r="K595" s="16" t="n">
        <x:v>0.75</x:v>
      </x:c>
      <x:c r="L595" s="12" t="str">
        <x:v>LSA similarity cluster; human review pending</x:v>
      </x:c>
      <x:c r="M595" s="12" t="str">
        <x:v>Section: 3.3 Key Findings</x:v>
      </x:c>
      <x:c r="N595" s="12" t="str"/>
      <x:c r="O595" s="12" t="str">
        <x:v>No</x:v>
      </x:c>
      <x:c r="P595" s="12" t="str">
        <x:v>No</x:v>
      </x:c>
      <x:c r="Q595" s="12"/>
      <x:c r="R595" s="12"/>
    </x:row>
    <x:row r="596">
      <x:c r="A596" s="12" t="str">
        <x:v>EVD-00595</x:v>
      </x:c>
      <x:c r="B596" s="12" t="str">
        <x:v>NEED-0136</x:v>
      </x:c>
      <x:c r="C596" s="12" t="str">
        <x:v>SRC-0002</x:v>
      </x:c>
      <x:c r="D596" s="12" t="str">
        <x:v>Give talks and presentations to National Space-Based Positioning, Navigation, and Timing (PNT) Advisory Board, and other organizations to increase CDDIS’s visibility.</x:v>
      </x:c>
      <x:c r="E596" s="12" t="str">
        <x:v>Give talks and presentations to National Space-Based Positioning, Navigation, and Timing (PNT) Advisory Board, and other organizations to increase CDDIS’s visibility.</x:v>
      </x:c>
      <x:c r="F596" s="12" t="str">
        <x:v>Finding</x:v>
      </x:c>
      <x:c r="G596" s="12" t="str">
        <x:v>Crustal Dynamics Data Information System DAAC User Working Group</x:v>
      </x:c>
      <x:c r="H596" s="12" t="n">
        <x:v>2022</x:v>
      </x:c>
      <x:c r="I596" s="12" t="str">
        <x:v>Earthdata users</x:v>
      </x:c>
      <x:c r="J596" s="12" t="str">
        <x:v>Medium</x:v>
      </x:c>
      <x:c r="K596" s="16" t="n">
        <x:v>0.75</x:v>
      </x:c>
      <x:c r="L596" s="12" t="str">
        <x:v>LSA similarity cluster; human review pending</x:v>
      </x:c>
      <x:c r="M596" s="12" t="str">
        <x:v>Section: 3.3 Key Findings</x:v>
      </x:c>
      <x:c r="N596" s="12" t="str"/>
      <x:c r="O596" s="12" t="str">
        <x:v>No</x:v>
      </x:c>
      <x:c r="P596" s="12" t="str">
        <x:v>No</x:v>
      </x:c>
      <x:c r="Q596" s="12"/>
      <x:c r="R596" s="12"/>
    </x:row>
    <x:row r="597">
      <x:c r="A597" s="12" t="str">
        <x:v>EVD-00596</x:v>
      </x:c>
      <x:c r="B597" s="12" t="str">
        <x:v>NEED-0136</x:v>
      </x:c>
      <x:c r="C597" s="12" t="str">
        <x:v>SRC-0002</x:v>
      </x:c>
      <x:c r="D597" s="12" t="str">
        <x:v>Record talks and presentations and upload online to increase visibility.</x:v>
      </x:c>
      <x:c r="E597" s="12" t="str">
        <x:v>Record talks and presentations and upload online to increase visibility.</x:v>
      </x:c>
      <x:c r="F597" s="12" t="str">
        <x:v>Finding</x:v>
      </x:c>
      <x:c r="G597" s="12" t="str">
        <x:v>Crustal Dynamics Data Information System DAAC User Working Group</x:v>
      </x:c>
      <x:c r="H597" s="12" t="n">
        <x:v>2022</x:v>
      </x:c>
      <x:c r="I597" s="12" t="str">
        <x:v>Earthdata users</x:v>
      </x:c>
      <x:c r="J597" s="12" t="str">
        <x:v>Medium</x:v>
      </x:c>
      <x:c r="K597" s="16" t="n">
        <x:v>0.75</x:v>
      </x:c>
      <x:c r="L597" s="12" t="str">
        <x:v>LSA similarity cluster; human review pending</x:v>
      </x:c>
      <x:c r="M597" s="12" t="str">
        <x:v>Section: 3.3 Key Findings</x:v>
      </x:c>
      <x:c r="N597" s="12" t="str"/>
      <x:c r="O597" s="12" t="str">
        <x:v>No</x:v>
      </x:c>
      <x:c r="P597" s="12" t="str">
        <x:v>No</x:v>
      </x:c>
      <x:c r="Q597" s="12"/>
      <x:c r="R597" s="12"/>
    </x:row>
    <x:row r="598">
      <x:c r="A598" s="12" t="str">
        <x:v>EVD-00597</x:v>
      </x:c>
      <x:c r="B598" s="12" t="str">
        <x:v>NEED-0054</x:v>
      </x:c>
      <x:c r="C598" s="12" t="str">
        <x:v>SRC-0002</x:v>
      </x:c>
      <x:c r="D598" s="12" t="str">
        <x:v>Improve and enhance the functionality and searchability of the CDDIS website.</x:v>
      </x:c>
      <x:c r="E598" s="12" t="str">
        <x:v>Improve and enhance the functionality and searchability of the CDDIS website.</x:v>
      </x:c>
      <x:c r="F598" s="12" t="str">
        <x:v>Finding</x:v>
      </x:c>
      <x:c r="G598" s="12" t="str">
        <x:v>Crustal Dynamics Data Information System DAAC User Working Group</x:v>
      </x:c>
      <x:c r="H598" s="12" t="n">
        <x:v>2022</x:v>
      </x:c>
      <x:c r="I598" s="12" t="str">
        <x:v>Earthdata users</x:v>
      </x:c>
      <x:c r="J598" s="12" t="str">
        <x:v>High</x:v>
      </x:c>
      <x:c r="K598" s="16" t="n">
        <x:v>0.75</x:v>
      </x:c>
      <x:c r="L598" s="12" t="str">
        <x:v>LSA similarity cluster; human review pending</x:v>
      </x:c>
      <x:c r="M598" s="12" t="str">
        <x:v>Section: 3.3 Key Findings</x:v>
      </x:c>
      <x:c r="N598" s="12" t="str"/>
      <x:c r="O598" s="12" t="str">
        <x:v>No</x:v>
      </x:c>
      <x:c r="P598" s="12" t="str">
        <x:v>No</x:v>
      </x:c>
      <x:c r="Q598" s="12"/>
      <x:c r="R598" s="12"/>
    </x:row>
    <x:row r="599">
      <x:c r="A599" s="12" t="str">
        <x:v>EVD-00598</x:v>
      </x:c>
      <x:c r="B599" s="12" t="str">
        <x:v>NEED-0168</x:v>
      </x:c>
      <x:c r="C599" s="12" t="str">
        <x:v>SRC-0002</x:v>
      </x:c>
      <x:c r="D599" s="12" t="str">
        <x:v>Utilize CDDIS homepage to showcase data and product collections, and/or other user application stories, etc. (rather than the current static, outdated, and non-functional map) to increase visibility to the user community and beyond.</x:v>
      </x:c>
      <x:c r="E599" s="12" t="str">
        <x:v>Utilize CDDIS homepage to showcase data and product collections, and/or other user application stories, etc. (rather than the current static, outdated, and non-functional map) to increase visibility to the user community and beyond.</x:v>
      </x:c>
      <x:c r="F599" s="12" t="str">
        <x:v>Finding</x:v>
      </x:c>
      <x:c r="G599" s="12" t="str">
        <x:v>Crustal Dynamics Data Information System DAAC User Working Group</x:v>
      </x:c>
      <x:c r="H599" s="12" t="n">
        <x:v>2022</x:v>
      </x:c>
      <x:c r="I599" s="12" t="str">
        <x:v>Earthdata users</x:v>
      </x:c>
      <x:c r="J599" s="12" t="str">
        <x:v>Medium</x:v>
      </x:c>
      <x:c r="K599" s="16" t="n">
        <x:v>0.75</x:v>
      </x:c>
      <x:c r="L599" s="12" t="str">
        <x:v>LSA similarity cluster; human review pending</x:v>
      </x:c>
      <x:c r="M599" s="12" t="str">
        <x:v>Section: 3.3 Key Findings</x:v>
      </x:c>
      <x:c r="N599" s="12" t="str"/>
      <x:c r="O599" s="12" t="str">
        <x:v>No</x:v>
      </x:c>
      <x:c r="P599" s="12" t="str">
        <x:v>No</x:v>
      </x:c>
      <x:c r="Q599" s="12"/>
      <x:c r="R599" s="12"/>
    </x:row>
    <x:row r="600">
      <x:c r="A600" s="12" t="str">
        <x:v>EVD-00599</x:v>
      </x:c>
      <x:c r="B600" s="12" t="str">
        <x:v>NEED-0049</x:v>
      </x:c>
      <x:c r="C600" s="12" t="str">
        <x:v>SRC-0002</x:v>
      </x:c>
      <x:c r="D600" s="12" t="str">
        <x:v>Common Metadata Repository (CMR) collections need to be created, corrected, and expanded to properly represent all data and derived product sets that exist in the archive. This will enable these collections to be properly searched and accessed via NASA’s Earthdata Search.</x:v>
      </x:c>
      <x:c r="E600" s="12" t="str">
        <x:v>Common Metadata Repository (CMR) collections need to be created, corrected, and expanded to properly represent all data and derived product sets that exist in the archive. This will enable these collections to be properly searched and accessed via NASA’s Earthdata Search.</x:v>
      </x:c>
      <x:c r="F600" s="12" t="str">
        <x:v>Finding</x:v>
      </x:c>
      <x:c r="G600" s="12" t="str">
        <x:v>Crustal Dynamics Data Information System DAAC User Working Group</x:v>
      </x:c>
      <x:c r="H600" s="12" t="n">
        <x:v>2022</x:v>
      </x:c>
      <x:c r="I600" s="12" t="str">
        <x:v>Data producers and mission teams</x:v>
      </x:c>
      <x:c r="J600" s="12" t="str">
        <x:v>High</x:v>
      </x:c>
      <x:c r="K600" s="16" t="n">
        <x:v>0.75</x:v>
      </x:c>
      <x:c r="L600" s="12" t="str">
        <x:v>LSA similarity cluster; human review pending</x:v>
      </x:c>
      <x:c r="M600" s="12" t="str">
        <x:v>Section: 3.3 Key Findings</x:v>
      </x:c>
      <x:c r="N600" s="12" t="str"/>
      <x:c r="O600" s="12" t="str">
        <x:v>No</x:v>
      </x:c>
      <x:c r="P600" s="12" t="str">
        <x:v>No</x:v>
      </x:c>
      <x:c r="Q600" s="12"/>
      <x:c r="R600" s="12"/>
    </x:row>
    <x:row r="601">
      <x:c r="A601" s="12" t="str">
        <x:v>EVD-00600</x:v>
      </x:c>
      <x:c r="B601" s="12" t="str">
        <x:v>NEED-0060</x:v>
      </x:c>
      <x:c r="C601" s="12" t="str">
        <x:v>SRC-0002</x:v>
      </x:c>
      <x:c r="D601" s="12" t="str">
        <x:v>It would benefit NASA’s Jet Propulsion Laboratory (JPL), and other research, science, and applied science institutions and organizations if CDDIS takes a leadership role and helps develop a central/common Application Programming Interface (API) used to access other archive to access and download geodetic files.</x:v>
      </x:c>
      <x:c r="E601" s="12" t="str">
        <x:v>It would benefit NASA’s Jet Propulsion Laboratory (JPL), and other research, science, and applied science institutions and organizations if CDDIS takes a leadership role and helps develop a central/common Application Programming Interface (API) used to access other archive to access and download geodetic files.</x:v>
      </x:c>
      <x:c r="F601" s="12" t="str">
        <x:v>Finding</x:v>
      </x:c>
      <x:c r="G601" s="12" t="str">
        <x:v>Crustal Dynamics Data Information System DAAC User Working Group</x:v>
      </x:c>
      <x:c r="H601" s="12" t="n">
        <x:v>2022</x:v>
      </x:c>
      <x:c r="I601" s="12" t="str">
        <x:v>Application developers; Data producers and mission teams; Earth science researchers</x:v>
      </x:c>
      <x:c r="J601" s="12" t="str">
        <x:v>High</x:v>
      </x:c>
      <x:c r="K601" s="16" t="n">
        <x:v>0.75</x:v>
      </x:c>
      <x:c r="L601" s="12" t="str">
        <x:v>LSA similarity cluster; human review pending</x:v>
      </x:c>
      <x:c r="M601" s="12" t="str">
        <x:v>Section: 3.3 Key Findings</x:v>
      </x:c>
      <x:c r="N601" s="12" t="str"/>
      <x:c r="O601" s="12" t="str">
        <x:v>No</x:v>
      </x:c>
      <x:c r="P601" s="12" t="str">
        <x:v>No</x:v>
      </x:c>
      <x:c r="Q601" s="12"/>
      <x:c r="R601" s="12"/>
    </x:row>
    <x:row r="602">
      <x:c r="A602" s="12" t="str">
        <x:v>EVD-00601</x:v>
      </x:c>
      <x:c r="B602" s="12" t="str">
        <x:v>NEED-0162</x:v>
      </x:c>
      <x:c r="C602" s="12" t="str">
        <x:v>SRC-0002</x:v>
      </x:c>
      <x:c r="D602" s="12" t="str">
        <x:v>The CDDIS DAAC is critical and the UWG is extremely impressed with its consistency and uptime. The CDDIS has been very robust in the last few years.</x:v>
      </x:c>
      <x:c r="E602" s="12" t="str">
        <x:v>The CDDIS DAAC is critical and the UWG is extremely impressed with its consistency and uptime. The CDDIS has been very robust in the last few years.</x:v>
      </x:c>
      <x:c r="F602" s="12" t="str">
        <x:v>Finding</x:v>
      </x:c>
      <x:c r="G602" s="12" t="str">
        <x:v>Crustal Dynamics Data Information System DAAC User Working Group</x:v>
      </x:c>
      <x:c r="H602" s="12" t="n">
        <x:v>2022</x:v>
      </x:c>
      <x:c r="I602" s="12" t="str">
        <x:v>Earthdata users</x:v>
      </x:c>
      <x:c r="J602" s="12" t="str">
        <x:v>Medium</x:v>
      </x:c>
      <x:c r="K602" s="16" t="n">
        <x:v>0.55</x:v>
      </x:c>
      <x:c r="L602" s="12" t="str">
        <x:v>LSA similarity cluster; human review pending</x:v>
      </x:c>
      <x:c r="M602" s="12" t="str">
        <x:v>Section: 3.3 Key Findings</x:v>
      </x:c>
      <x:c r="N602" s="12" t="str"/>
      <x:c r="O602" s="12" t="str">
        <x:v>No</x:v>
      </x:c>
      <x:c r="P602" s="12" t="str">
        <x:v>No</x:v>
      </x:c>
      <x:c r="Q602" s="12"/>
      <x:c r="R602" s="12"/>
    </x:row>
    <x:row r="603">
      <x:c r="A603" s="12" t="str">
        <x:v>EVD-00602</x:v>
      </x:c>
      <x:c r="B603" s="12" t="str">
        <x:v>NEED-0123</x:v>
      </x:c>
      <x:c r="C603" s="12" t="str">
        <x:v>SRC-0002</x:v>
      </x:c>
      <x:c r="D603" s="12" t="str">
        <x:v>The UWG members have worked directly with CDDIS staff over the years and have found it to be a pleasant experience.</x:v>
      </x:c>
      <x:c r="E603" s="12" t="str">
        <x:v>The UWG members have worked directly with CDDIS staff over the years and have found it to be a pleasant experience.</x:v>
      </x:c>
      <x:c r="F603" s="12" t="str">
        <x:v>Finding</x:v>
      </x:c>
      <x:c r="G603" s="12" t="str">
        <x:v>Crustal Dynamics Data Information System DAAC User Working Group</x:v>
      </x:c>
      <x:c r="H603" s="12" t="n">
        <x:v>2022</x:v>
      </x:c>
      <x:c r="I603" s="12" t="str">
        <x:v>Earthdata users</x:v>
      </x:c>
      <x:c r="J603" s="12" t="str">
        <x:v>Medium</x:v>
      </x:c>
      <x:c r="K603" s="16" t="n">
        <x:v>0.75</x:v>
      </x:c>
      <x:c r="L603" s="12" t="str">
        <x:v>LSA similarity cluster; human review pending</x:v>
      </x:c>
      <x:c r="M603" s="12" t="str">
        <x:v>Section: 3.3 Key Findings</x:v>
      </x:c>
      <x:c r="N603" s="12" t="str"/>
      <x:c r="O603" s="12" t="str">
        <x:v>No</x:v>
      </x:c>
      <x:c r="P603" s="12" t="str">
        <x:v>No</x:v>
      </x:c>
      <x:c r="Q603" s="12"/>
      <x:c r="R603" s="12"/>
    </x:row>
    <x:row r="604">
      <x:c r="A604" s="12" t="str">
        <x:v>EVD-00603</x:v>
      </x:c>
      <x:c r="B604" s="12" t="str">
        <x:v>NEED-0114</x:v>
      </x:c>
      <x:c r="C604" s="12" t="str">
        <x:v>SRC-0002</x:v>
      </x:c>
      <x:c r="D604" s="12" t="str">
        <x:v>Karen Michael and Sean Helfrich agreed to schedule a follow-up meeting to explore how synergies between CoastWatch and LANCE might be leveraged. Sean will invite the CoastWatch Director, Veronica Lance to the meeting.</x:v>
      </x:c>
      <x:c r="E604" s="12" t="str">
        <x:v>Karen Michael and Sean Helfrich agreed to schedule a follow-up meeting to explore how synergies between CoastWatch and LANCE might be leveraged. Sean will invite the CoastWatch Director, Veronica Lance to the meeting.</x:v>
      </x:c>
      <x:c r="F604" s="12" t="str">
        <x:v>Action</x:v>
      </x:c>
      <x:c r="G604" s="12" t="str">
        <x:v>Land, Atmosphere Near real-time Capability for EOS User Working Group</x:v>
      </x:c>
      <x:c r="H604" s="12" t="n">
        <x:v>2022</x:v>
      </x:c>
      <x:c r="I604" s="12" t="str">
        <x:v>Operational and near-real-time users</x:v>
      </x:c>
      <x:c r="J604" s="12" t="str">
        <x:v>Medium</x:v>
      </x:c>
      <x:c r="K604" s="16" t="n">
        <x:v>0.75</x:v>
      </x:c>
      <x:c r="L604" s="12" t="str">
        <x:v>LSA similarity cluster; human review pending</x:v>
      </x:c>
      <x:c r="M604" s="12" t="str">
        <x:v>Section: 6.1.5 Actions and Recommendations</x:v>
      </x:c>
      <x:c r="N604" s="12" t="str"/>
      <x:c r="O604" s="12" t="str">
        <x:v>No</x:v>
      </x:c>
      <x:c r="P604" s="12" t="str">
        <x:v>No</x:v>
      </x:c>
      <x:c r="Q604" s="12"/>
      <x:c r="R604" s="12"/>
    </x:row>
    <x:row r="605">
      <x:c r="A605" s="12" t="str">
        <x:v>EVD-00604</x:v>
      </x:c>
      <x:c r="B605" s="12" t="str">
        <x:v>NEED-0113</x:v>
      </x:c>
      <x:c r="C605" s="12" t="str">
        <x:v>SRC-0002</x:v>
      </x:c>
      <x:c r="D605" s="12" t="str">
        <x:v>David Green recommended that LANCE UWG engage with NGOs to collect user needs.</x:v>
      </x:c>
      <x:c r="E605" s="12" t="str">
        <x:v>David Green recommended that LANCE UWG engage with NGOs to collect user needs.</x:v>
      </x:c>
      <x:c r="F605" s="12" t="str">
        <x:v>Action</x:v>
      </x:c>
      <x:c r="G605" s="12" t="str">
        <x:v>Land, Atmosphere Near real-time Capability for EOS User Working Group</x:v>
      </x:c>
      <x:c r="H605" s="12" t="n">
        <x:v>2022</x:v>
      </x:c>
      <x:c r="I605" s="12" t="str">
        <x:v>Operational and near-real-time users</x:v>
      </x:c>
      <x:c r="J605" s="12" t="str">
        <x:v>Low</x:v>
      </x:c>
      <x:c r="K605" s="16" t="n">
        <x:v>0.75</x:v>
      </x:c>
      <x:c r="L605" s="12" t="str">
        <x:v>LSA similarity cluster; human review pending</x:v>
      </x:c>
      <x:c r="M605" s="12" t="str">
        <x:v>Section: 6.1.5 Actions and Recommendations</x:v>
      </x:c>
      <x:c r="N605" s="12" t="str"/>
      <x:c r="O605" s="12" t="str">
        <x:v>No</x:v>
      </x:c>
      <x:c r="P605" s="12" t="str">
        <x:v>No</x:v>
      </x:c>
      <x:c r="Q605" s="12"/>
      <x:c r="R605" s="12"/>
    </x:row>
    <x:row r="606">
      <x:c r="A606" s="12" t="str">
        <x:v>EVD-00605</x:v>
      </x:c>
      <x:c r="B606" s="12" t="str">
        <x:v>NEED-0113</x:v>
      </x:c>
      <x:c r="C606" s="12" t="str">
        <x:v>SRC-0002</x:v>
      </x:c>
      <x:c r="D606" s="12" t="str">
        <x:v>David Green recommended that the Wildfire Program and LANCE address what should be done collectively over the next 5 years.</x:v>
      </x:c>
      <x:c r="E606" s="12" t="str">
        <x:v>David Green recommended that the Wildfire Program and LANCE address what should be done collectively over the next 5 years.</x:v>
      </x:c>
      <x:c r="F606" s="12" t="str">
        <x:v>Action</x:v>
      </x:c>
      <x:c r="G606" s="12" t="str">
        <x:v>Land, Atmosphere Near real-time Capability for EOS User Working Group</x:v>
      </x:c>
      <x:c r="H606" s="12" t="n">
        <x:v>2022</x:v>
      </x:c>
      <x:c r="I606" s="12" t="str">
        <x:v>Operational and near-real-time users</x:v>
      </x:c>
      <x:c r="J606" s="12" t="str">
        <x:v>High</x:v>
      </x:c>
      <x:c r="K606" s="16" t="n">
        <x:v>0.75</x:v>
      </x:c>
      <x:c r="L606" s="12" t="str">
        <x:v>LSA similarity cluster; human review pending</x:v>
      </x:c>
      <x:c r="M606" s="12" t="str">
        <x:v>Section: 6.1.5 Actions and Recommendations</x:v>
      </x:c>
      <x:c r="N606" s="12" t="str"/>
      <x:c r="O606" s="12" t="str">
        <x:v>No</x:v>
      </x:c>
      <x:c r="P606" s="12" t="str">
        <x:v>No</x:v>
      </x:c>
      <x:c r="Q606" s="12"/>
      <x:c r="R606" s="12"/>
    </x:row>
    <x:row r="607">
      <x:c r="A607" s="12" t="str">
        <x:v>EVD-00606</x:v>
      </x:c>
      <x:c r="B607" s="12" t="str">
        <x:v>NEED-0028</x:v>
      </x:c>
      <x:c r="C607" s="12" t="str">
        <x:v>SRC-0002</x:v>
      </x:c>
      <x:c r="D607" s="12" t="str">
        <x:v>Christine Lee asked that the UWG take an action to identify additional needs or questions regarding NISAR data latency.</x:v>
      </x:c>
      <x:c r="E607" s="12" t="str">
        <x:v>Christine Lee asked that the UWG take an action to identify additional needs or questions regarding NISAR data latency.</x:v>
      </x:c>
      <x:c r="F607" s="12" t="str">
        <x:v>Action</x:v>
      </x:c>
      <x:c r="G607" s="12" t="str">
        <x:v>Land, Atmosphere Near real-time Capability for EOS User Working Group</x:v>
      </x:c>
      <x:c r="H607" s="12" t="n">
        <x:v>2022</x:v>
      </x:c>
      <x:c r="I607" s="12" t="str">
        <x:v>Earthdata users</x:v>
      </x:c>
      <x:c r="J607" s="12" t="str">
        <x:v>Medium</x:v>
      </x:c>
      <x:c r="K607" s="16" t="n">
        <x:v>0.75</x:v>
      </x:c>
      <x:c r="L607" s="12" t="str">
        <x:v>LSA similarity cluster; human review pending</x:v>
      </x:c>
      <x:c r="M607" s="12" t="str">
        <x:v>Section: 6.1.5 Actions and Recommendations</x:v>
      </x:c>
      <x:c r="N607" s="12" t="str"/>
      <x:c r="O607" s="12" t="str">
        <x:v>No</x:v>
      </x:c>
      <x:c r="P607" s="12" t="str">
        <x:v>No</x:v>
      </x:c>
      <x:c r="Q607" s="12"/>
      <x:c r="R607" s="12"/>
    </x:row>
    <x:row r="608">
      <x:c r="A608" s="12" t="str">
        <x:v>EVD-00607</x:v>
      </x:c>
      <x:c r="B608" s="12" t="str">
        <x:v>NEED-0113</x:v>
      </x:c>
      <x:c r="C608" s="12" t="str">
        <x:v>SRC-0002</x:v>
      </x:c>
      <x:c r="D608" s="12" t="str">
        <x:v>Robert Wolfe requested the LANCE UWG evaluate the impact of switching off Terra and Aqua. Concerns should be voiced by both the LANCE UWG and the Satellite Needs Working Group (SNWG). UWG members should consider:</x:v>
      </x:c>
      <x:c r="E608" s="12" t="str">
        <x:v>Robert Wolfe requested the LANCE UWG evaluate the impact of switching off Terra and Aqua. Concerns should be voiced by both the LANCE UWG and the Satellite Needs Working Group (SNWG). UWG members should consider:</x:v>
      </x:c>
      <x:c r="F608" s="12" t="str">
        <x:v>Action</x:v>
      </x:c>
      <x:c r="G608" s="12" t="str">
        <x:v>Land, Atmosphere Near real-time Capability for EOS User Working Group</x:v>
      </x:c>
      <x:c r="H608" s="12" t="n">
        <x:v>2022</x:v>
      </x:c>
      <x:c r="I608" s="12" t="str">
        <x:v>Operational and near-real-time users</x:v>
      </x:c>
      <x:c r="J608" s="12" t="str">
        <x:v>High</x:v>
      </x:c>
      <x:c r="K608" s="16" t="n">
        <x:v>0.75</x:v>
      </x:c>
      <x:c r="L608" s="12" t="str">
        <x:v>LSA similarity cluster; human review pending</x:v>
      </x:c>
      <x:c r="M608" s="12" t="str">
        <x:v>Section: 6.1.5 Actions and Recommendations</x:v>
      </x:c>
      <x:c r="N608" s="12" t="str"/>
      <x:c r="O608" s="12" t="str">
        <x:v>No</x:v>
      </x:c>
      <x:c r="P608" s="12" t="str">
        <x:v>No</x:v>
      </x:c>
      <x:c r="Q608" s="12"/>
      <x:c r="R608" s="12"/>
    </x:row>
    <x:row r="609">
      <x:c r="A609" s="12" t="str">
        <x:v>EVD-00608</x:v>
      </x:c>
      <x:c r="B609" s="12" t="str">
        <x:v>NEED-0078</x:v>
      </x:c>
      <x:c r="C609" s="12" t="str">
        <x:v>SRC-0002</x:v>
      </x:c>
      <x:c r="D609" s="12" t="str">
        <x:v>Making a strong case for MODIS Terra (AM) Land product continuity needs.</x:v>
      </x:c>
      <x:c r="E609" s="12" t="str">
        <x:v>Making a strong case for MODIS Terra (AM) Land product continuity needs.</x:v>
      </x:c>
      <x:c r="F609" s="12" t="str">
        <x:v>Action</x:v>
      </x:c>
      <x:c r="G609" s="12" t="str">
        <x:v>Land, Atmosphere Near real-time Capability for EOS User Working Group</x:v>
      </x:c>
      <x:c r="H609" s="12" t="n">
        <x:v>2022</x:v>
      </x:c>
      <x:c r="I609" s="12" t="str">
        <x:v>Earthdata users</x:v>
      </x:c>
      <x:c r="J609" s="12" t="str">
        <x:v>Medium</x:v>
      </x:c>
      <x:c r="K609" s="16" t="n">
        <x:v>0.75</x:v>
      </x:c>
      <x:c r="L609" s="12" t="str">
        <x:v>LSA similarity cluster; human review pending</x:v>
      </x:c>
      <x:c r="M609" s="12" t="str">
        <x:v>Section: 6.1.5 Actions and Recommendations</x:v>
      </x:c>
      <x:c r="N609" s="12" t="str"/>
      <x:c r="O609" s="12" t="str">
        <x:v>No</x:v>
      </x:c>
      <x:c r="P609" s="12" t="str">
        <x:v>No</x:v>
      </x:c>
      <x:c r="Q609" s="12"/>
      <x:c r="R609" s="12"/>
    </x:row>
    <x:row r="610">
      <x:c r="A610" s="12" t="str">
        <x:v>EVD-00609</x:v>
      </x:c>
      <x:c r="B610" s="12" t="str">
        <x:v>NEED-0126</x:v>
      </x:c>
      <x:c r="C610" s="12" t="str">
        <x:v>SRC-0002</x:v>
      </x:c>
      <x:c r="D610" s="12" t="str">
        <x:v>Notifying users.</x:v>
      </x:c>
      <x:c r="E610" s="12" t="str">
        <x:v>Notifying users.</x:v>
      </x:c>
      <x:c r="F610" s="12" t="str">
        <x:v>Action</x:v>
      </x:c>
      <x:c r="G610" s="12" t="str">
        <x:v>Land, Atmosphere Near real-time Capability for EOS User Working Group</x:v>
      </x:c>
      <x:c r="H610" s="12" t="n">
        <x:v>2022</x:v>
      </x:c>
      <x:c r="I610" s="12" t="str">
        <x:v>Earthdata users</x:v>
      </x:c>
      <x:c r="J610" s="12" t="str">
        <x:v>Medium</x:v>
      </x:c>
      <x:c r="K610" s="16" t="n">
        <x:v>0.75</x:v>
      </x:c>
      <x:c r="L610" s="12" t="str">
        <x:v>LSA similarity cluster; human review pending</x:v>
      </x:c>
      <x:c r="M610" s="12" t="str">
        <x:v>Section: 6.1.5 Actions and Recommendations</x:v>
      </x:c>
      <x:c r="N610" s="12" t="str"/>
      <x:c r="O610" s="12" t="str">
        <x:v>No</x:v>
      </x:c>
      <x:c r="P610" s="12" t="str">
        <x:v>No</x:v>
      </x:c>
      <x:c r="Q610" s="12"/>
      <x:c r="R610" s="12"/>
    </x:row>
    <x:row r="611">
      <x:c r="A611" s="12" t="str">
        <x:v>EVD-00610</x:v>
      </x:c>
      <x:c r="B611" s="12" t="str">
        <x:v>NEED-0114</x:v>
      </x:c>
      <x:c r="C611" s="12" t="str">
        <x:v>SRC-0002</x:v>
      </x:c>
      <x:c r="D611" s="12" t="str">
        <x:v>Miguel asked the UWG to consider how AI/ML might be applied to LANCE/NRT.</x:v>
      </x:c>
      <x:c r="E611" s="12" t="str">
        <x:v>Miguel asked the UWG to consider how AI/ML might be applied to LANCE/NRT.</x:v>
      </x:c>
      <x:c r="F611" s="12" t="str">
        <x:v>Action</x:v>
      </x:c>
      <x:c r="G611" s="12" t="str">
        <x:v>Land, Atmosphere Near real-time Capability for EOS User Working Group</x:v>
      </x:c>
      <x:c r="H611" s="12" t="n">
        <x:v>2022</x:v>
      </x:c>
      <x:c r="I611" s="12" t="str">
        <x:v>Operational and near-real-time users</x:v>
      </x:c>
      <x:c r="J611" s="12" t="str">
        <x:v>High</x:v>
      </x:c>
      <x:c r="K611" s="16" t="n">
        <x:v>0.75</x:v>
      </x:c>
      <x:c r="L611" s="12" t="str">
        <x:v>LSA similarity cluster; human review pending</x:v>
      </x:c>
      <x:c r="M611" s="12" t="str">
        <x:v>Section: 6.1.5 Actions and Recommendations</x:v>
      </x:c>
      <x:c r="N611" s="12" t="str"/>
      <x:c r="O611" s="12" t="str">
        <x:v>No</x:v>
      </x:c>
      <x:c r="P611" s="12" t="str">
        <x:v>No</x:v>
      </x:c>
      <x:c r="Q611" s="12"/>
      <x:c r="R611" s="12"/>
    </x:row>
    <x:row r="612">
      <x:c r="A612" s="12" t="str">
        <x:v>EVD-00611</x:v>
      </x:c>
      <x:c r="B612" s="12" t="str">
        <x:v>NEED-0114</x:v>
      </x:c>
      <x:c r="C612" s="12" t="str">
        <x:v>SRC-0002</x:v>
      </x:c>
      <x:c r="D612" s="12" t="str">
        <x:v>Arlindo asked if LANCE would consider facilitating the implementation of NRT GEO aerosol data. Diane/Karen to follow up.</x:v>
      </x:c>
      <x:c r="E612" s="12" t="str">
        <x:v>Arlindo asked if LANCE would consider facilitating the implementation of NRT GEO aerosol data. Diane/Karen to follow up.</x:v>
      </x:c>
      <x:c r="F612" s="12" t="str">
        <x:v>Action</x:v>
      </x:c>
      <x:c r="G612" s="12" t="str">
        <x:v>Land, Atmosphere Near real-time Capability for EOS User Working Group</x:v>
      </x:c>
      <x:c r="H612" s="12" t="n">
        <x:v>2022</x:v>
      </x:c>
      <x:c r="I612" s="12" t="str">
        <x:v>Operational and near-real-time users</x:v>
      </x:c>
      <x:c r="J612" s="12" t="str">
        <x:v>High</x:v>
      </x:c>
      <x:c r="K612" s="16" t="n">
        <x:v>0.75</x:v>
      </x:c>
      <x:c r="L612" s="12" t="str">
        <x:v>LSA similarity cluster; human review pending</x:v>
      </x:c>
      <x:c r="M612" s="12" t="str">
        <x:v>Section: 6.1.5 Actions and Recommendations</x:v>
      </x:c>
      <x:c r="N612" s="12" t="str"/>
      <x:c r="O612" s="12" t="str">
        <x:v>No</x:v>
      </x:c>
      <x:c r="P612" s="12" t="str">
        <x:v>No</x:v>
      </x:c>
      <x:c r="Q612" s="12"/>
      <x:c r="R612" s="12"/>
    </x:row>
    <x:row r="613">
      <x:c r="A613" s="12" t="str">
        <x:v>EVD-00612</x:v>
      </x:c>
      <x:c r="B613" s="12" t="str">
        <x:v>NEED-0176</x:v>
      </x:c>
      <x:c r="C613" s="12" t="str">
        <x:v>SRC-0002</x:v>
      </x:c>
      <x:c r="D613" s="12" t="str">
        <x:v>Ryan Boller asked UWG members to let him know if they want to test the final GIBS/Worldview Granule/Swath Visualization prototype.</x:v>
      </x:c>
      <x:c r="E613" s="12" t="str">
        <x:v>Ryan Boller asked UWG members to let him know if they want to test the final GIBS/Worldview Granule/Swath Visualization prototype.</x:v>
      </x:c>
      <x:c r="F613" s="12" t="str">
        <x:v>Action</x:v>
      </x:c>
      <x:c r="G613" s="12" t="str">
        <x:v>Land, Atmosphere Near real-time Capability for EOS User Working Group</x:v>
      </x:c>
      <x:c r="H613" s="12" t="n">
        <x:v>2022</x:v>
      </x:c>
      <x:c r="I613" s="12" t="str">
        <x:v>Earthdata users</x:v>
      </x:c>
      <x:c r="J613" s="12" t="str">
        <x:v>Medium</x:v>
      </x:c>
      <x:c r="K613" s="16" t="n">
        <x:v>0.75</x:v>
      </x:c>
      <x:c r="L613" s="12" t="str">
        <x:v>LSA similarity cluster; human review pending</x:v>
      </x:c>
      <x:c r="M613" s="12" t="str">
        <x:v>Section: 6.1.5 Actions and Recommendations</x:v>
      </x:c>
      <x:c r="N613" s="12" t="str"/>
      <x:c r="O613" s="12" t="str">
        <x:v>No</x:v>
      </x:c>
      <x:c r="P613" s="12" t="str">
        <x:v>No</x:v>
      </x:c>
      <x:c r="Q613" s="12"/>
      <x:c r="R613" s="12"/>
    </x:row>
    <x:row r="614">
      <x:c r="A614" s="12" t="str">
        <x:v>EVD-00613</x:v>
      </x:c>
      <x:c r="B614" s="12" t="str">
        <x:v>NEED-0115</x:v>
      </x:c>
      <x:c r="C614" s="12" t="str">
        <x:v>SRC-0002</x:v>
      </x:c>
      <x:c r="D614" s="12" t="str">
        <x:v>The NASA Sentinel Gateway currently acquires the OLCI NRT data, and distributes it to the OB.DAAC in less than 3 hours from observation. If requested, the SLSTR NRT data can also be acquired and distributed by the NSG in less than 3 hours from observation.</x:v>
      </x:c>
      <x:c r="E614" s="12" t="str">
        <x:v>The NASA Sentinel Gateway currently acquires the OLCI NRT data, and distributes it to the OB.DAAC in less than 3 hours from observation. If requested, the SLSTR NRT data can also be acquired and distributed by the NSG in less than 3 hours from observation.</x:v>
      </x:c>
      <x:c r="F614" s="12" t="str">
        <x:v>Action</x:v>
      </x:c>
      <x:c r="G614" s="12" t="str">
        <x:v>Land, Atmosphere Near real-time Capability for EOS User Working Group</x:v>
      </x:c>
      <x:c r="H614" s="12" t="n">
        <x:v>2022</x:v>
      </x:c>
      <x:c r="I614" s="12" t="str">
        <x:v>Operational and near-real-time users</x:v>
      </x:c>
      <x:c r="J614" s="12" t="str">
        <x:v>Medium</x:v>
      </x:c>
      <x:c r="K614" s="16" t="n">
        <x:v>0.55</x:v>
      </x:c>
      <x:c r="L614" s="12" t="str">
        <x:v>LSA similarity cluster; human review pending</x:v>
      </x:c>
      <x:c r="M614" s="12" t="str">
        <x:v>Section: 6.1.5 Actions and Recommendations</x:v>
      </x:c>
      <x:c r="N614" s="12" t="str"/>
      <x:c r="O614" s="12" t="str">
        <x:v>No</x:v>
      </x:c>
      <x:c r="P614" s="12" t="str">
        <x:v>No</x:v>
      </x:c>
      <x:c r="Q614" s="12"/>
      <x:c r="R614" s="12"/>
    </x:row>
    <x:row r="615">
      <x:c r="A615" s="12" t="str">
        <x:v>EVD-00614</x:v>
      </x:c>
      <x:c r="B615" s="12" t="str">
        <x:v>NEED-0193</x:v>
      </x:c>
      <x:c r="C615" s="12" t="str">
        <x:v>SRC-0002</x:v>
      </x:c>
      <x:c r="D615" s="12" t="str">
        <x:v>Look into what can be done in the way of additional training.</x:v>
      </x:c>
      <x:c r="E615" s="12" t="str">
        <x:v>Look into what can be done in the way of additional training.</x:v>
      </x:c>
      <x:c r="F615" s="12" t="str">
        <x:v>Action</x:v>
      </x:c>
      <x:c r="G615" s="12" t="str">
        <x:v>Land, Atmosphere Near real-time Capability for EOS User Working Group</x:v>
      </x:c>
      <x:c r="H615" s="12" t="n">
        <x:v>2022</x:v>
      </x:c>
      <x:c r="I615" s="12" t="str">
        <x:v>Educators and trainers</x:v>
      </x:c>
      <x:c r="J615" s="12" t="str">
        <x:v>Medium</x:v>
      </x:c>
      <x:c r="K615" s="16" t="n">
        <x:v>0.75</x:v>
      </x:c>
      <x:c r="L615" s="12" t="str">
        <x:v>LSA similarity cluster; human review pending</x:v>
      </x:c>
      <x:c r="M615" s="12" t="str">
        <x:v>Section: 6.1.5 Actions and Recommendations</x:v>
      </x:c>
      <x:c r="N615" s="12" t="str"/>
      <x:c r="O615" s="12" t="str">
        <x:v>No</x:v>
      </x:c>
      <x:c r="P615" s="12" t="str">
        <x:v>No</x:v>
      </x:c>
      <x:c r="Q615" s="12"/>
      <x:c r="R615" s="12"/>
    </x:row>
    <x:row r="616">
      <x:c r="A616" s="12" t="str">
        <x:v>EVD-00615</x:v>
      </x:c>
      <x:c r="B616" s="12" t="str">
        <x:v>NEED-0089</x:v>
      </x:c>
      <x:c r="C616" s="12" t="str">
        <x:v>SRC-0002</x:v>
      </x:c>
      <x:c r="D616" s="12" t="str">
        <x:v>Colin Seftor to put together a LANCE enhancement request to continue the Aerosol Index (AI) product, generated from the OMPS sensor, for NOAA-20/21. This should include flow charts on how AI triggers more in-depth analysis and be submitted to the LANCE managers prior to the next LANCE UWG meeting.</x:v>
      </x:c>
      <x:c r="E616" s="12" t="str">
        <x:v>Colin Seftor to put together a LANCE enhancement request to continue the Aerosol Index (AI) product, generated from the OMPS sensor, for NOAA-20/21. This should include flow charts on how AI triggers more in-depth analysis and be submitted to the LANCE managers prior to the next LANCE UWG meeting.</x:v>
      </x:c>
      <x:c r="F616" s="12" t="str">
        <x:v>Action</x:v>
      </x:c>
      <x:c r="G616" s="12" t="str">
        <x:v>Land, Atmosphere Near real-time Capability for EOS User Working Group</x:v>
      </x:c>
      <x:c r="H616" s="12" t="n">
        <x:v>2022</x:v>
      </x:c>
      <x:c r="I616" s="12" t="str">
        <x:v>Operational and near-real-time users; Earth science researchers</x:v>
      </x:c>
      <x:c r="J616" s="12" t="str">
        <x:v>High</x:v>
      </x:c>
      <x:c r="K616" s="16" t="n">
        <x:v>0.75</x:v>
      </x:c>
      <x:c r="L616" s="12" t="str">
        <x:v>LSA similarity cluster; human review pending</x:v>
      </x:c>
      <x:c r="M616" s="12" t="str">
        <x:v>Section: 6.2.6 Actions and Recommendations</x:v>
      </x:c>
      <x:c r="N616" s="12" t="str"/>
      <x:c r="O616" s="12" t="str">
        <x:v>No</x:v>
      </x:c>
      <x:c r="P616" s="12" t="str">
        <x:v>No</x:v>
      </x:c>
      <x:c r="Q616" s="12"/>
      <x:c r="R616" s="12"/>
    </x:row>
    <x:row r="617">
      <x:c r="A617" s="12" t="str">
        <x:v>EVD-00616</x:v>
      </x:c>
      <x:c r="B617" s="12" t="str">
        <x:v>NEED-0182</x:v>
      </x:c>
      <x:c r="C617" s="12" t="str">
        <x:v>SRC-0002</x:v>
      </x:c>
      <x:c r="D617" s="12" t="str">
        <x:v>Arlindo da Silva to finalize a LANCE Enhancement Request to determine a NRT path to Assimilate Geostationary Aerosol Data which will also include the generation of concurrent GIBS imagery with aerosol properties for Worldview. This should be submitted to the LANCE managers prior to the next LANCE UWG meeting.</x:v>
      </x:c>
      <x:c r="E617" s="12" t="str">
        <x:v>Arlindo da Silva to finalize a LANCE Enhancement Request to determine a NRT path to Assimilate Geostationary Aerosol Data which will also include the generation of concurrent GIBS imagery with aerosol properties for Worldview. This should be submitted to the LANCE managers prior to the next LANCE UWG meeting.</x:v>
      </x:c>
      <x:c r="F617" s="12" t="str">
        <x:v>Action</x:v>
      </x:c>
      <x:c r="G617" s="12" t="str">
        <x:v>Land, Atmosphere Near real-time Capability for EOS User Working Group</x:v>
      </x:c>
      <x:c r="H617" s="12" t="n">
        <x:v>2022</x:v>
      </x:c>
      <x:c r="I617" s="12" t="str">
        <x:v>Operational and near-real-time users</x:v>
      </x:c>
      <x:c r="J617" s="12" t="str">
        <x:v>High</x:v>
      </x:c>
      <x:c r="K617" s="16" t="n">
        <x:v>0.75</x:v>
      </x:c>
      <x:c r="L617" s="12" t="str">
        <x:v>LSA similarity cluster; human review pending</x:v>
      </x:c>
      <x:c r="M617" s="12" t="str">
        <x:v>Section: 6.2.6 Actions and Recommendations</x:v>
      </x:c>
      <x:c r="N617" s="12" t="str"/>
      <x:c r="O617" s="12" t="str">
        <x:v>No</x:v>
      </x:c>
      <x:c r="P617" s="12" t="str">
        <x:v>No</x:v>
      </x:c>
      <x:c r="Q617" s="12"/>
      <x:c r="R617" s="12"/>
    </x:row>
    <x:row r="618">
      <x:c r="A618" s="12" t="str">
        <x:v>EVD-00617</x:v>
      </x:c>
      <x:c r="B618" s="12" t="str">
        <x:v>NEED-0119</x:v>
      </x:c>
      <x:c r="C618" s="12" t="str">
        <x:v>SRC-0002</x:v>
      </x:c>
      <x:c r="D618" s="12" t="str">
        <x:v>If interested in becoming a TROPICS early adopter, contact Patrick Duran patrick.t.duran@nasa.gov</x:v>
      </x:c>
      <x:c r="E618" s="12" t="str">
        <x:v>If interested in becoming a TROPICS early adopter, contact Patrick Duran patrick.t.duran@nasa.gov</x:v>
      </x:c>
      <x:c r="F618" s="12" t="str">
        <x:v>Action</x:v>
      </x:c>
      <x:c r="G618" s="12" t="str">
        <x:v>Land, Atmosphere Near real-time Capability for EOS User Working Group</x:v>
      </x:c>
      <x:c r="H618" s="12" t="n">
        <x:v>2022</x:v>
      </x:c>
      <x:c r="I618" s="12" t="str">
        <x:v>Earthdata users</x:v>
      </x:c>
      <x:c r="J618" s="12" t="str">
        <x:v>Medium</x:v>
      </x:c>
      <x:c r="K618" s="16" t="n">
        <x:v>0.75</x:v>
      </x:c>
      <x:c r="L618" s="12" t="str">
        <x:v>LSA similarity cluster; human review pending</x:v>
      </x:c>
      <x:c r="M618" s="12" t="str">
        <x:v>Section: 6.2.6 Actions and Recommendations</x:v>
      </x:c>
      <x:c r="N618" s="12" t="str"/>
      <x:c r="O618" s="12" t="str">
        <x:v>No</x:v>
      </x:c>
      <x:c r="P618" s="12" t="str">
        <x:v>No</x:v>
      </x:c>
      <x:c r="Q618" s="12"/>
      <x:c r="R618" s="12"/>
    </x:row>
    <x:row r="619">
      <x:c r="A619" s="12" t="str">
        <x:v>EVD-00618</x:v>
      </x:c>
      <x:c r="B619" s="12" t="str">
        <x:v>NEED-0176</x:v>
      </x:c>
      <x:c r="C619" s="12" t="str">
        <x:v>SRC-0002</x:v>
      </x:c>
      <x:c r="D619" s="12" t="str">
        <x:v>Worldview/GIBS team to work with Crystal Schaaf on QA flags. Ryan to consider how this could be baked into COGS in the future and pulled out by users dynamically.</x:v>
      </x:c>
      <x:c r="E619" s="12" t="str">
        <x:v>Worldview/GIBS team to work with Crystal Schaaf on QA flags. Ryan to consider how this could be baked into COGS in the future and pulled out by users dynamically.</x:v>
      </x:c>
      <x:c r="F619" s="12" t="str">
        <x:v>Action</x:v>
      </x:c>
      <x:c r="G619" s="12" t="str">
        <x:v>Land, Atmosphere Near real-time Capability for EOS User Working Group</x:v>
      </x:c>
      <x:c r="H619" s="12" t="n">
        <x:v>2022</x:v>
      </x:c>
      <x:c r="I619" s="12" t="str">
        <x:v>Earthdata users</x:v>
      </x:c>
      <x:c r="J619" s="12" t="str">
        <x:v>High</x:v>
      </x:c>
      <x:c r="K619" s="16" t="n">
        <x:v>0.75</x:v>
      </x:c>
      <x:c r="L619" s="12" t="str">
        <x:v>LSA similarity cluster; human review pending</x:v>
      </x:c>
      <x:c r="M619" s="12" t="str">
        <x:v>Section: 6.2.6 Actions and Recommendations</x:v>
      </x:c>
      <x:c r="N619" s="12" t="str"/>
      <x:c r="O619" s="12" t="str">
        <x:v>No</x:v>
      </x:c>
      <x:c r="P619" s="12" t="str">
        <x:v>No</x:v>
      </x:c>
      <x:c r="Q619" s="12"/>
      <x:c r="R619" s="12"/>
    </x:row>
    <x:row r="620">
      <x:c r="A620" s="12" t="str">
        <x:v>EVD-00619</x:v>
      </x:c>
      <x:c r="B620" s="12" t="str">
        <x:v>NEED-0126</x:v>
      </x:c>
      <x:c r="C620" s="12" t="str">
        <x:v>SRC-0002</x:v>
      </x:c>
      <x:c r="D620" s="12" t="str">
        <x:v>Nga Chung (JPL) to follow up with Karen on how the SDS users can be moved over to NSIDC so SMAP user metrics can be captured. This is ongoing.</x:v>
      </x:c>
      <x:c r="E620" s="12" t="str">
        <x:v>Nga Chung (JPL) to follow up with Karen on how the SDS users can be moved over to NSIDC so SMAP user metrics can be captured. This is ongoing.</x:v>
      </x:c>
      <x:c r="F620" s="12" t="str">
        <x:v>Action</x:v>
      </x:c>
      <x:c r="G620" s="12" t="str">
        <x:v>Land, Atmosphere Near real-time Capability for EOS User Working Group</x:v>
      </x:c>
      <x:c r="H620" s="12" t="n">
        <x:v>2022</x:v>
      </x:c>
      <x:c r="I620" s="12" t="str">
        <x:v>Earthdata users</x:v>
      </x:c>
      <x:c r="J620" s="12" t="str">
        <x:v>Medium</x:v>
      </x:c>
      <x:c r="K620" s="16" t="n">
        <x:v>0.75</x:v>
      </x:c>
      <x:c r="L620" s="12" t="str">
        <x:v>LSA similarity cluster; human review pending</x:v>
      </x:c>
      <x:c r="M620" s="12" t="str">
        <x:v>Section: 6.2.6 Actions and Recommendations</x:v>
      </x:c>
      <x:c r="N620" s="12" t="str"/>
      <x:c r="O620" s="12" t="str">
        <x:v>No</x:v>
      </x:c>
      <x:c r="P620" s="12" t="str">
        <x:v>No</x:v>
      </x:c>
      <x:c r="Q620" s="12"/>
      <x:c r="R620" s="12"/>
    </x:row>
    <x:row r="621">
      <x:c r="A621" s="12" t="str">
        <x:v>EVD-00620</x:v>
      </x:c>
      <x:c r="B621" s="12" t="str">
        <x:v>NEED-0119</x:v>
      </x:c>
      <x:c r="C621" s="12" t="str">
        <x:v>SRC-0002</x:v>
      </x:c>
      <x:c r="D621" s="12" t="str">
        <x:v>NASA observations are important for modelers - calibration, etc.</x:v>
      </x:c>
      <x:c r="E621" s="12" t="str">
        <x:v>NASA observations are important for modelers - calibration, etc.</x:v>
      </x:c>
      <x:c r="F621" s="12" t="str">
        <x:v>Recommendation</x:v>
      </x:c>
      <x:c r="G621" s="12" t="str">
        <x:v>NSIDC DAAC User Working Group</x:v>
      </x:c>
      <x:c r="H621" s="12" t="n">
        <x:v>2022</x:v>
      </x:c>
      <x:c r="I621" s="12" t="str">
        <x:v>Earthdata users</x:v>
      </x:c>
      <x:c r="J621" s="12" t="str">
        <x:v>Medium</x:v>
      </x:c>
      <x:c r="K621" s="16" t="n">
        <x:v>0.75</x:v>
      </x:c>
      <x:c r="L621" s="12" t="str">
        <x:v>LSA similarity cluster; human review pending</x:v>
      </x:c>
      <x:c r="M621" s="12" t="str">
        <x:v>Section: 9.3 Key Findings and Recommendations</x:v>
      </x:c>
      <x:c r="N621" s="12" t="str"/>
      <x:c r="O621" s="12" t="str">
        <x:v>No</x:v>
      </x:c>
      <x:c r="P621" s="12" t="str">
        <x:v>No</x:v>
      </x:c>
      <x:c r="Q621" s="12"/>
      <x:c r="R621" s="12"/>
    </x:row>
    <x:row r="622">
      <x:c r="A622" s="12" t="str">
        <x:v>EVD-00621</x:v>
      </x:c>
      <x:c r="B622" s="12" t="str">
        <x:v>NEED-0019</x:v>
      </x:c>
      <x:c r="C622" s="12" t="str">
        <x:v>SRC-0002</x:v>
      </x:c>
      <x:c r="D622" s="12" t="str">
        <x:v>Cloud access (for ICESat-2 so far) has been beneficial; and will be helped by cloud-optimized formats.</x:v>
      </x:c>
      <x:c r="E622" s="12" t="str">
        <x:v>Cloud access (for ICESat-2 so far) has been beneficial; and will be helped by cloud-optimized formats.</x:v>
      </x:c>
      <x:c r="F622" s="12" t="str">
        <x:v>Recommendation</x:v>
      </x:c>
      <x:c r="G622" s="12" t="str">
        <x:v>NSIDC DAAC User Working Group</x:v>
      </x:c>
      <x:c r="H622" s="12" t="n">
        <x:v>2022</x:v>
      </x:c>
      <x:c r="I622" s="12" t="str">
        <x:v>Cloud-native researchers</x:v>
      </x:c>
      <x:c r="J622" s="12" t="str">
        <x:v>Medium</x:v>
      </x:c>
      <x:c r="K622" s="16" t="n">
        <x:v>0.75</x:v>
      </x:c>
      <x:c r="L622" s="12" t="str">
        <x:v>LSA similarity cluster; human review pending</x:v>
      </x:c>
      <x:c r="M622" s="12" t="str">
        <x:v>Section: 9.3 Key Findings and Recommendations</x:v>
      </x:c>
      <x:c r="N622" s="12" t="str"/>
      <x:c r="O622" s="12" t="str">
        <x:v>No</x:v>
      </x:c>
      <x:c r="P622" s="12" t="str">
        <x:v>No</x:v>
      </x:c>
      <x:c r="Q622" s="12"/>
      <x:c r="R622" s="12"/>
    </x:row>
    <x:row r="623">
      <x:c r="A623" s="12" t="str">
        <x:v>EVD-00622</x:v>
      </x:c>
      <x:c r="B623" s="12" t="str">
        <x:v>NEED-0030</x:v>
      </x:c>
      <x:c r="C623" s="12" t="str">
        <x:v>SRC-0002</x:v>
      </x:c>
      <x:c r="D623" s="12" t="str">
        <x:v>Some users have issues with access through firewalls (US DoD).</x:v>
      </x:c>
      <x:c r="E623" s="12" t="str">
        <x:v>Some users have issues with access through firewalls (US DoD).</x:v>
      </x:c>
      <x:c r="F623" s="12" t="str">
        <x:v>Recommendation</x:v>
      </x:c>
      <x:c r="G623" s="12" t="str">
        <x:v>NSIDC DAAC User Working Group</x:v>
      </x:c>
      <x:c r="H623" s="12" t="n">
        <x:v>2022</x:v>
      </x:c>
      <x:c r="I623" s="12" t="str">
        <x:v>Earthdata users</x:v>
      </x:c>
      <x:c r="J623" s="12" t="str">
        <x:v>Medium</x:v>
      </x:c>
      <x:c r="K623" s="16" t="n">
        <x:v>0.75</x:v>
      </x:c>
      <x:c r="L623" s="12" t="str">
        <x:v>LSA similarity cluster; human review pending</x:v>
      </x:c>
      <x:c r="M623" s="12" t="str">
        <x:v>Section: 9.3 Key Findings and Recommendations</x:v>
      </x:c>
      <x:c r="N623" s="12" t="str"/>
      <x:c r="O623" s="12" t="str">
        <x:v>No</x:v>
      </x:c>
      <x:c r="P623" s="12" t="str">
        <x:v>No</x:v>
      </x:c>
      <x:c r="Q623" s="12"/>
      <x:c r="R623" s="12"/>
    </x:row>
    <x:row r="624">
      <x:c r="A624" s="12" t="str">
        <x:v>EVD-00623</x:v>
      </x:c>
      <x:c r="B624" s="12" t="str">
        <x:v>NEED-0003</x:v>
      </x:c>
      <x:c r="C624" s="12" t="str">
        <x:v>SRC-0002</x:v>
      </x:c>
      <x:c r="D624" s="12" t="str">
        <x:v>Important for open science tools and cloud to be accessible to undergraduate students, not just graduate students and researchers.</x:v>
      </x:c>
      <x:c r="E624" s="12" t="str">
        <x:v>Important for open science tools and cloud to be accessible to undergraduate students, not just graduate students and researchers.</x:v>
      </x:c>
      <x:c r="F624" s="12" t="str">
        <x:v>Recommendation</x:v>
      </x:c>
      <x:c r="G624" s="12" t="str">
        <x:v>NSIDC DAAC User Working Group</x:v>
      </x:c>
      <x:c r="H624" s="12" t="n">
        <x:v>2022</x:v>
      </x:c>
      <x:c r="I624" s="12" t="str">
        <x:v>Cloud-native researchers; Educators and trainers; Earth science researchers</x:v>
      </x:c>
      <x:c r="J624" s="12" t="str">
        <x:v>Medium</x:v>
      </x:c>
      <x:c r="K624" s="16" t="n">
        <x:v>0.75</x:v>
      </x:c>
      <x:c r="L624" s="12" t="str">
        <x:v>LSA similarity cluster; human review pending</x:v>
      </x:c>
      <x:c r="M624" s="12" t="str">
        <x:v>Section: 9.3 Key Findings and Recommendations</x:v>
      </x:c>
      <x:c r="N624" s="12" t="str"/>
      <x:c r="O624" s="12" t="str">
        <x:v>No</x:v>
      </x:c>
      <x:c r="P624" s="12" t="str">
        <x:v>No</x:v>
      </x:c>
      <x:c r="Q624" s="12"/>
      <x:c r="R624" s="12"/>
    </x:row>
    <x:row r="625">
      <x:c r="A625" s="12" t="str">
        <x:v>EVD-00624</x:v>
      </x:c>
      <x:c r="B625" s="12" t="str">
        <x:v>NEED-0084</x:v>
      </x:c>
      <x:c r="C625" s="12" t="str">
        <x:v>SRC-0002</x:v>
      </x:c>
      <x:c r="D625" s="12" t="str">
        <x:v>NASA hemispheric passive microwave snow products do not perform well.</x:v>
      </x:c>
      <x:c r="E625" s="12" t="str">
        <x:v>NASA hemispheric passive microwave snow products do not perform well.</x:v>
      </x:c>
      <x:c r="F625" s="12" t="str">
        <x:v>Recommendation</x:v>
      </x:c>
      <x:c r="G625" s="12" t="str">
        <x:v>NSIDC DAAC User Working Group</x:v>
      </x:c>
      <x:c r="H625" s="12" t="n">
        <x:v>2022</x:v>
      </x:c>
      <x:c r="I625" s="12" t="str">
        <x:v>Earthdata users</x:v>
      </x:c>
      <x:c r="J625" s="12" t="str">
        <x:v>Medium</x:v>
      </x:c>
      <x:c r="K625" s="16" t="n">
        <x:v>0.75</x:v>
      </x:c>
      <x:c r="L625" s="12" t="str">
        <x:v>LSA similarity cluster; human review pending</x:v>
      </x:c>
      <x:c r="M625" s="12" t="str">
        <x:v>Section: 9.3 Key Findings and Recommendations</x:v>
      </x:c>
      <x:c r="N625" s="12" t="str"/>
      <x:c r="O625" s="12" t="str">
        <x:v>No</x:v>
      </x:c>
      <x:c r="P625" s="12" t="str">
        <x:v>No</x:v>
      </x:c>
      <x:c r="Q625" s="12"/>
      <x:c r="R625" s="12"/>
    </x:row>
    <x:row r="626">
      <x:c r="A626" s="12" t="str">
        <x:v>EVD-00625</x:v>
      </x:c>
      <x:c r="B626" s="12" t="str">
        <x:v>NEED-0092</x:v>
      </x:c>
      <x:c r="C626" s="12" t="str">
        <x:v>SRC-0002</x:v>
      </x:c>
      <x:c r="D626" s="12" t="str">
        <x:v>Potential for useful new products (e.g., global MODIS reflectance/albedo data).</x:v>
      </x:c>
      <x:c r="E626" s="12" t="str">
        <x:v>Potential for useful new products (e.g., global MODIS reflectance/albedo data).</x:v>
      </x:c>
      <x:c r="F626" s="12" t="str">
        <x:v>Recommendation</x:v>
      </x:c>
      <x:c r="G626" s="12" t="str">
        <x:v>NSIDC DAAC User Working Group</x:v>
      </x:c>
      <x:c r="H626" s="12" t="n">
        <x:v>2022</x:v>
      </x:c>
      <x:c r="I626" s="12" t="str">
        <x:v>Earthdata users</x:v>
      </x:c>
      <x:c r="J626" s="12" t="str">
        <x:v>Medium</x:v>
      </x:c>
      <x:c r="K626" s="16" t="n">
        <x:v>0.75</x:v>
      </x:c>
      <x:c r="L626" s="12" t="str">
        <x:v>LSA similarity cluster; human review pending</x:v>
      </x:c>
      <x:c r="M626" s="12" t="str">
        <x:v>Section: 9.3 Key Findings and Recommendations</x:v>
      </x:c>
      <x:c r="N626" s="12" t="str"/>
      <x:c r="O626" s="12" t="str">
        <x:v>No</x:v>
      </x:c>
      <x:c r="P626" s="12" t="str">
        <x:v>No</x:v>
      </x:c>
      <x:c r="Q626" s="12"/>
      <x:c r="R626" s="12"/>
    </x:row>
    <x:row r="627">
      <x:c r="A627" s="12" t="str">
        <x:v>EVD-00626</x:v>
      </x:c>
      <x:c r="B627" s="12" t="str">
        <x:v>NEED-0019</x:v>
      </x:c>
      <x:c r="C627" s="12" t="str">
        <x:v>SRC-0002</x:v>
      </x:c>
      <x:c r="D627" s="12" t="str">
        <x:v>Cloud-optimized formats are of interest; but also need to keep original data and rich metadata formats (HDF5, NetCDF).</x:v>
      </x:c>
      <x:c r="E627" s="12" t="str">
        <x:v>Cloud-optimized formats are of interest; but also need to keep original data and rich metadata formats (HDF5, NetCDF).</x:v>
      </x:c>
      <x:c r="F627" s="12" t="str">
        <x:v>Recommendation</x:v>
      </x:c>
      <x:c r="G627" s="12" t="str">
        <x:v>NSIDC DAAC User Working Group</x:v>
      </x:c>
      <x:c r="H627" s="12" t="n">
        <x:v>2022</x:v>
      </x:c>
      <x:c r="I627" s="12" t="str">
        <x:v>Cloud-native researchers</x:v>
      </x:c>
      <x:c r="J627" s="12" t="str">
        <x:v>High</x:v>
      </x:c>
      <x:c r="K627" s="16" t="n">
        <x:v>0.75</x:v>
      </x:c>
      <x:c r="L627" s="12" t="str">
        <x:v>LSA similarity cluster; human review pending</x:v>
      </x:c>
      <x:c r="M627" s="12" t="str">
        <x:v>Section: 9.3 Key Findings and Recommendations</x:v>
      </x:c>
      <x:c r="N627" s="12" t="str"/>
      <x:c r="O627" s="12" t="str">
        <x:v>No</x:v>
      </x:c>
      <x:c r="P627" s="12" t="str">
        <x:v>No</x:v>
      </x:c>
      <x:c r="Q627" s="12"/>
      <x:c r="R627" s="12"/>
    </x:row>
    <x:row r="628">
      <x:c r="A628" s="12" t="str">
        <x:v>EVD-00627</x:v>
      </x:c>
      <x:c r="B628" s="12" t="str">
        <x:v>NEED-0021</x:v>
      </x:c>
      <x:c r="C628" s="12" t="str">
        <x:v>SRC-0002</x:v>
      </x:c>
      <x:c r="D628" s="12" t="str">
        <x:v>Users desire to be able to quickly look at data to determine interest; but also need scriptable (API) access to be integrated into processing.</x:v>
      </x:c>
      <x:c r="E628" s="12" t="str">
        <x:v>Users desire to be able to quickly look at data to determine interest; but also need scriptable (API) access to be integrated into processing.</x:v>
      </x:c>
      <x:c r="F628" s="12" t="str">
        <x:v>Recommendation</x:v>
      </x:c>
      <x:c r="G628" s="12" t="str">
        <x:v>NSIDC DAAC User Working Group</x:v>
      </x:c>
      <x:c r="H628" s="12" t="n">
        <x:v>2022</x:v>
      </x:c>
      <x:c r="I628" s="12" t="str">
        <x:v>Application developers</x:v>
      </x:c>
      <x:c r="J628" s="12" t="str">
        <x:v>High</x:v>
      </x:c>
      <x:c r="K628" s="16" t="n">
        <x:v>0.75</x:v>
      </x:c>
      <x:c r="L628" s="12" t="str">
        <x:v>LSA similarity cluster; human review pending</x:v>
      </x:c>
      <x:c r="M628" s="12" t="str">
        <x:v>Section: 9.3 Key Findings and Recommendations</x:v>
      </x:c>
      <x:c r="N628" s="12" t="str"/>
      <x:c r="O628" s="12" t="str">
        <x:v>No</x:v>
      </x:c>
      <x:c r="P628" s="12" t="str">
        <x:v>No</x:v>
      </x:c>
      <x:c r="Q628" s="12"/>
      <x:c r="R628" s="12"/>
    </x:row>
    <x:row r="629">
      <x:c r="A629" s="12" t="str">
        <x:v>EVD-00628</x:v>
      </x:c>
      <x:c r="B629" s="12" t="str">
        <x:v>NEED-0017</x:v>
      </x:c>
      <x:c r="C629" s="12" t="str">
        <x:v>SRC-0002</x:v>
      </x:c>
      <x:c r="D629" s="12" t="str">
        <x:v>The goal of this set of sessions was to provide the UWG with an understanding of NASA EOSDIS’s and the DAAC's adoption of Earthdata Cloud in order to 1) enable them to consider the benefits and impacts of the cloud computing on their research and provide feedback 2) enable them to engage with the broader DAAC user community on NASA's adoption of cloud and provide feedback on the benefits and impacts across cryospheric research.</x:v>
      </x:c>
      <x:c r="E629" s="12" t="str">
        <x:v>The goal of this set of sessions was to provide the UWG with an understanding of NASA EOSDIS’s and the DAAC's adoption of Earthdata Cloud in order to 1) enable them to consider the benefits and impacts of the cloud computing on their research and provide feedback 2) enable them to engage with the broader DAAC user community on NASA's adoption of cloud and provide feedback on the benefits and impacts across cryospheric research.</x:v>
      </x:c>
      <x:c r="F629" s="12" t="str">
        <x:v>Recommendation</x:v>
      </x:c>
      <x:c r="G629" s="12" t="str">
        <x:v>NSIDC DAAC User Working Group</x:v>
      </x:c>
      <x:c r="H629" s="12" t="n">
        <x:v>2022</x:v>
      </x:c>
      <x:c r="I629" s="12" t="str">
        <x:v>Cloud-native researchers; Earth science researchers</x:v>
      </x:c>
      <x:c r="J629" s="12" t="str">
        <x:v>High</x:v>
      </x:c>
      <x:c r="K629" s="16" t="n">
        <x:v>0.75</x:v>
      </x:c>
      <x:c r="L629" s="12" t="str">
        <x:v>LSA similarity cluster; human review pending</x:v>
      </x:c>
      <x:c r="M629" s="12" t="str">
        <x:v>Section: 9.3 Key Findings and Recommendations</x:v>
      </x:c>
      <x:c r="N629" s="12" t="str"/>
      <x:c r="O629" s="12" t="str">
        <x:v>No</x:v>
      </x:c>
      <x:c r="P629" s="12" t="str">
        <x:v>No</x:v>
      </x:c>
      <x:c r="Q629" s="12"/>
      <x:c r="R629" s="12"/>
    </x:row>
    <x:row r="630">
      <x:c r="A630" s="12" t="str">
        <x:v>EVD-00629</x:v>
      </x:c>
      <x:c r="B630" s="12" t="str">
        <x:v>NEED-0016</x:v>
      </x:c>
      <x:c r="C630" s="12" t="str">
        <x:v>SRC-0002</x:v>
      </x:c>
      <x:c r="D630" s="12" t="str">
        <x:v>Mark Fahnstock (Univ. Alaska-Fairbanks) presented on ITS_LIVE, which uses a cloud service to process glacier image pairs, create data cubes, and calculate velocities.</x:v>
      </x:c>
      <x:c r="E630" s="12" t="str">
        <x:v>Mark Fahnstock (Univ. Alaska-Fairbanks) presented on ITS_LIVE, which uses a cloud service to process glacier image pairs, create data cubes, and calculate velocities.</x:v>
      </x:c>
      <x:c r="F630" s="12" t="str">
        <x:v>Recommendation</x:v>
      </x:c>
      <x:c r="G630" s="12" t="str">
        <x:v>NSIDC DAAC User Working Group</x:v>
      </x:c>
      <x:c r="H630" s="12" t="n">
        <x:v>2022</x:v>
      </x:c>
      <x:c r="I630" s="12" t="str">
        <x:v>Cloud-native researchers</x:v>
      </x:c>
      <x:c r="J630" s="12" t="str">
        <x:v>High</x:v>
      </x:c>
      <x:c r="K630" s="16" t="n">
        <x:v>0.55</x:v>
      </x:c>
      <x:c r="L630" s="12" t="str">
        <x:v>LSA similarity cluster; human review pending</x:v>
      </x:c>
      <x:c r="M630" s="12" t="str">
        <x:v>Section: 9.3 Key Findings and Recommendations</x:v>
      </x:c>
      <x:c r="N630" s="12" t="str"/>
      <x:c r="O630" s="12" t="str">
        <x:v>No</x:v>
      </x:c>
      <x:c r="P630" s="12" t="str">
        <x:v>No</x:v>
      </x:c>
      <x:c r="Q630" s="12"/>
      <x:c r="R630" s="12"/>
    </x:row>
    <x:row r="631">
      <x:c r="A631" s="12" t="str">
        <x:v>EVD-00630</x:v>
      </x:c>
      <x:c r="B631" s="12" t="str">
        <x:v>NEED-0008</x:v>
      </x:c>
      <x:c r="C631" s="12" t="str">
        <x:v>SRC-0002</x:v>
      </x:c>
      <x:c r="D631" s="12" t="str">
        <x:v>Cloud platforms allow much faster processing of large data volumes - can add “workers” to process in parallel.</x:v>
      </x:c>
      <x:c r="E631" s="12" t="str">
        <x:v>Cloud platforms allow much faster processing of large data volumes - can add “workers” to process in parallel.</x:v>
      </x:c>
      <x:c r="F631" s="12" t="str">
        <x:v>Recommendation</x:v>
      </x:c>
      <x:c r="G631" s="12" t="str">
        <x:v>NSIDC DAAC User Working Group</x:v>
      </x:c>
      <x:c r="H631" s="12" t="n">
        <x:v>2022</x:v>
      </x:c>
      <x:c r="I631" s="12" t="str">
        <x:v>Cloud-native researchers</x:v>
      </x:c>
      <x:c r="J631" s="12" t="str">
        <x:v>High</x:v>
      </x:c>
      <x:c r="K631" s="16" t="n">
        <x:v>0.75</x:v>
      </x:c>
      <x:c r="L631" s="12" t="str">
        <x:v>LSA similarity cluster; human review pending</x:v>
      </x:c>
      <x:c r="M631" s="12" t="str">
        <x:v>Section: 9.3 Key Findings and Recommendations</x:v>
      </x:c>
      <x:c r="N631" s="12" t="str"/>
      <x:c r="O631" s="12" t="str">
        <x:v>No</x:v>
      </x:c>
      <x:c r="P631" s="12" t="str">
        <x:v>No</x:v>
      </x:c>
      <x:c r="Q631" s="12"/>
      <x:c r="R631" s="12"/>
    </x:row>
    <x:row r="632">
      <x:c r="A632" s="12" t="str">
        <x:v>EVD-00631</x:v>
      </x:c>
      <x:c r="B632" s="12" t="str">
        <x:v>NEED-0002</x:v>
      </x:c>
      <x:c r="C632" s="12" t="str">
        <x:v>SRC-0002</x:v>
      </x:c>
      <x:c r="D632" s="12" t="str">
        <x:v>Applications such as MAAP can remove the complexity of cloud from the user - think Google Maps - you just get the map, and are not concerned about all the complex data and processing going on beneath the hood.</x:v>
      </x:c>
      <x:c r="E632" s="12" t="str">
        <x:v>Applications such as MAAP can remove the complexity of cloud from the user - think Google Maps - you just get the map, and are not concerned about all the complex data and processing going on beneath the hood.</x:v>
      </x:c>
      <x:c r="F632" s="12" t="str">
        <x:v>Recommendation</x:v>
      </x:c>
      <x:c r="G632" s="12" t="str">
        <x:v>NSIDC DAAC User Working Group</x:v>
      </x:c>
      <x:c r="H632" s="12" t="n">
        <x:v>2022</x:v>
      </x:c>
      <x:c r="I632" s="12" t="str">
        <x:v>Cloud-native researchers</x:v>
      </x:c>
      <x:c r="J632" s="12" t="str">
        <x:v>Medium</x:v>
      </x:c>
      <x:c r="K632" s="16" t="n">
        <x:v>0.75</x:v>
      </x:c>
      <x:c r="L632" s="12" t="str">
        <x:v>LSA similarity cluster; human review pending</x:v>
      </x:c>
      <x:c r="M632" s="12" t="str">
        <x:v>Section: 9.3 Key Findings and Recommendations</x:v>
      </x:c>
      <x:c r="N632" s="12" t="str"/>
      <x:c r="O632" s="12" t="str">
        <x:v>No</x:v>
      </x:c>
      <x:c r="P632" s="12" t="str">
        <x:v>No</x:v>
      </x:c>
      <x:c r="Q632" s="12"/>
      <x:c r="R632" s="12"/>
    </x:row>
    <x:row r="633">
      <x:c r="A633" s="12" t="str">
        <x:v>EVD-00632</x:v>
      </x:c>
      <x:c r="B633" s="12" t="str">
        <x:v>NEED-0019</x:v>
      </x:c>
      <x:c r="C633" s="12" t="str">
        <x:v>SRC-0002</x:v>
      </x:c>
      <x:c r="D633" s="12" t="str">
        <x:v>A major cost for such applications is reading the data because current formats are not cloud-optimized. CO formats would be much faster; discussion on preserving original data and all metadata (e.g., in HDF and NetCDF).</x:v>
      </x:c>
      <x:c r="E633" s="12" t="str">
        <x:v>A major cost for such applications is reading the data because current formats are not cloud-optimized. CO formats would be much faster; discussion on preserving original data and all metadata (e.g., in HDF and NetCDF).</x:v>
      </x:c>
      <x:c r="F633" s="12" t="str">
        <x:v>Recommendation</x:v>
      </x:c>
      <x:c r="G633" s="12" t="str">
        <x:v>NSIDC DAAC User Working Group</x:v>
      </x:c>
      <x:c r="H633" s="12" t="n">
        <x:v>2022</x:v>
      </x:c>
      <x:c r="I633" s="12" t="str">
        <x:v>Cloud-native researchers</x:v>
      </x:c>
      <x:c r="J633" s="12" t="str">
        <x:v>Medium</x:v>
      </x:c>
      <x:c r="K633" s="16" t="n">
        <x:v>0.75</x:v>
      </x:c>
      <x:c r="L633" s="12" t="str">
        <x:v>LSA similarity cluster; human review pending</x:v>
      </x:c>
      <x:c r="M633" s="12" t="str">
        <x:v>Section: 9.3 Key Findings and Recommendations</x:v>
      </x:c>
      <x:c r="N633" s="12" t="str"/>
      <x:c r="O633" s="12" t="str">
        <x:v>No</x:v>
      </x:c>
      <x:c r="P633" s="12" t="str">
        <x:v>No</x:v>
      </x:c>
      <x:c r="Q633" s="12"/>
      <x:c r="R633" s="12"/>
    </x:row>
    <x:row r="634">
      <x:c r="A634" s="12" t="str">
        <x:v>EVD-00633</x:v>
      </x:c>
      <x:c r="B634" s="12" t="str">
        <x:v>NEED-0047</x:v>
      </x:c>
      <x:c r="C634" s="12" t="str">
        <x:v>SRC-0002</x:v>
      </x:c>
      <x:c r="D634" s="12" t="str">
        <x:v>Applications are developed with research or informatics funding - how to sustain? Transfer to DAACs? ITS_LIVE (MEaSUREs-funded) is a current use case.</x:v>
      </x:c>
      <x:c r="E634" s="12" t="str">
        <x:v>Applications are developed with research or informatics funding - how to sustain? Transfer to DAACs? ITS_LIVE (MEaSUREs-funded) is a current use case.</x:v>
      </x:c>
      <x:c r="F634" s="12" t="str">
        <x:v>Recommendation</x:v>
      </x:c>
      <x:c r="G634" s="12" t="str">
        <x:v>NSIDC DAAC User Working Group</x:v>
      </x:c>
      <x:c r="H634" s="12" t="n">
        <x:v>2022</x:v>
      </x:c>
      <x:c r="I634" s="12" t="str">
        <x:v>Earth science researchers</x:v>
      </x:c>
      <x:c r="J634" s="12" t="str">
        <x:v>Medium</x:v>
      </x:c>
      <x:c r="K634" s="16" t="n">
        <x:v>0.75</x:v>
      </x:c>
      <x:c r="L634" s="12" t="str">
        <x:v>LSA similarity cluster; human review pending</x:v>
      </x:c>
      <x:c r="M634" s="12" t="str">
        <x:v>Section: 9.3 Key Findings and Recommendations</x:v>
      </x:c>
      <x:c r="N634" s="12" t="str"/>
      <x:c r="O634" s="12" t="str">
        <x:v>No</x:v>
      </x:c>
      <x:c r="P634" s="12" t="str">
        <x:v>No</x:v>
      </x:c>
      <x:c r="Q634" s="12"/>
      <x:c r="R634" s="12"/>
    </x:row>
    <x:row r="635">
      <x:c r="A635" s="12" t="str">
        <x:v>EVD-00634</x:v>
      </x:c>
      <x:c r="B635" s="12" t="str">
        <x:v>NEED-0008</x:v>
      </x:c>
      <x:c r="C635" s="12" t="str">
        <x:v>SRC-0002</x:v>
      </x:c>
      <x:c r="D635" s="12" t="str">
        <x:v>Authentication is potential barrier to optimized cloud use – logging in each time with unique credentials for each user complicates scripting and makes software/tools less transferable.</x:v>
      </x:c>
      <x:c r="E635" s="12" t="str">
        <x:v>Authentication is potential barrier to optimized cloud use – logging in each time with unique credentials for each user complicates scripting and makes software/tools less transferable.</x:v>
      </x:c>
      <x:c r="F635" s="12" t="str">
        <x:v>Recommendation</x:v>
      </x:c>
      <x:c r="G635" s="12" t="str">
        <x:v>NSIDC DAAC User Working Group</x:v>
      </x:c>
      <x:c r="H635" s="12" t="n">
        <x:v>2022</x:v>
      </x:c>
      <x:c r="I635" s="12" t="str">
        <x:v>Cloud-native researchers; Application developers</x:v>
      </x:c>
      <x:c r="J635" s="12" t="str">
        <x:v>Medium</x:v>
      </x:c>
      <x:c r="K635" s="16" t="n">
        <x:v>0.75</x:v>
      </x:c>
      <x:c r="L635" s="12" t="str">
        <x:v>LSA similarity cluster; human review pending</x:v>
      </x:c>
      <x:c r="M635" s="12" t="str">
        <x:v>Section: 9.3 Key Findings and Recommendations</x:v>
      </x:c>
      <x:c r="N635" s="12" t="str"/>
      <x:c r="O635" s="12" t="str">
        <x:v>No</x:v>
      </x:c>
      <x:c r="P635" s="12" t="str">
        <x:v>No</x:v>
      </x:c>
      <x:c r="Q635" s="12"/>
      <x:c r="R635" s="12"/>
    </x:row>
    <x:row r="636">
      <x:c r="A636" s="12" t="str">
        <x:v>EVD-00635</x:v>
      </x:c>
      <x:c r="B636" s="12" t="str">
        <x:v>NEED-0009</x:v>
      </x:c>
      <x:c r="C636" s="12" t="str">
        <x:v>SRC-0002</x:v>
      </x:c>
      <x:c r="D636" s="12" t="str">
        <x:v>The DAAC’s primary role does not change with the move to the cloud. We will continue to ingest and archive data, and to provide access and support for data. The goal is to provide additional capabilities, not break or make hard current user workflows.</x:v>
      </x:c>
      <x:c r="E636" s="12" t="str">
        <x:v>The DAAC’s primary role does not change with the move to the cloud. We will continue to ingest and archive data, and to provide access and support for data. The goal is to provide additional capabilities, not break or make hard current user workflows.</x:v>
      </x:c>
      <x:c r="F636" s="12" t="str">
        <x:v>Recommendation</x:v>
      </x:c>
      <x:c r="G636" s="12" t="str">
        <x:v>NSIDC DAAC User Working Group</x:v>
      </x:c>
      <x:c r="H636" s="12" t="n">
        <x:v>2022</x:v>
      </x:c>
      <x:c r="I636" s="12" t="str">
        <x:v>Cloud-native researchers; Data producers and mission teams</x:v>
      </x:c>
      <x:c r="J636" s="12" t="str">
        <x:v>High</x:v>
      </x:c>
      <x:c r="K636" s="16" t="n">
        <x:v>0.75</x:v>
      </x:c>
      <x:c r="L636" s="12" t="str">
        <x:v>LSA similarity cluster; human review pending</x:v>
      </x:c>
      <x:c r="M636" s="12" t="str">
        <x:v>Section: 9.3 Key Findings and Recommendations</x:v>
      </x:c>
      <x:c r="N636" s="12" t="str"/>
      <x:c r="O636" s="12" t="str">
        <x:v>No</x:v>
      </x:c>
      <x:c r="P636" s="12" t="str">
        <x:v>No</x:v>
      </x:c>
      <x:c r="Q636" s="12"/>
      <x:c r="R636" s="12"/>
    </x:row>
    <x:row r="637">
      <x:c r="A637" s="12" t="str">
        <x:v>EVD-00636</x:v>
      </x:c>
      <x:c r="B637" s="12" t="str">
        <x:v>NEED-0188</x:v>
      </x:c>
      <x:c r="C637" s="12" t="str">
        <x:v>SRC-0002</x:v>
      </x:c>
      <x:c r="D637" s="12" t="str">
        <x:v>Harmony capabilities will go beyond sub-setting and reprojecting to include reformatting (e.g., COG and Zarr), creating mosaics, and others under discussion and evaluation (potentially averaging and statistics).</x:v>
      </x:c>
      <x:c r="E637" s="12" t="str">
        <x:v>Harmony capabilities will go beyond sub-setting and reprojecting to include reformatting (e.g., COG and Zarr), creating mosaics, and others under discussion and evaluation (potentially averaging and statistics).</x:v>
      </x:c>
      <x:c r="F637" s="12" t="str">
        <x:v>Recommendation</x:v>
      </x:c>
      <x:c r="G637" s="12" t="str">
        <x:v>NSIDC DAAC User Working Group</x:v>
      </x:c>
      <x:c r="H637" s="12" t="n">
        <x:v>2022</x:v>
      </x:c>
      <x:c r="I637" s="12" t="str">
        <x:v>Earthdata users</x:v>
      </x:c>
      <x:c r="J637" s="12" t="str">
        <x:v>Medium</x:v>
      </x:c>
      <x:c r="K637" s="16" t="n">
        <x:v>0.75</x:v>
      </x:c>
      <x:c r="L637" s="12" t="str">
        <x:v>LSA similarity cluster; human review pending</x:v>
      </x:c>
      <x:c r="M637" s="12" t="str">
        <x:v>Section: 9.3 Key Findings and Recommendations</x:v>
      </x:c>
      <x:c r="N637" s="12" t="str"/>
      <x:c r="O637" s="12" t="str">
        <x:v>No</x:v>
      </x:c>
      <x:c r="P637" s="12" t="str">
        <x:v>No</x:v>
      </x:c>
      <x:c r="Q637" s="12"/>
      <x:c r="R637" s="12"/>
    </x:row>
    <x:row r="638">
      <x:c r="A638" s="12" t="str">
        <x:v>EVD-00637</x:v>
      </x:c>
      <x:c r="B638" s="12" t="str">
        <x:v>NEED-0019</x:v>
      </x:c>
      <x:c r="C638" s="12" t="str">
        <x:v>SRC-0002</x:v>
      </x:c>
      <x:c r="D638" s="12" t="str">
        <x:v>Native formats such as HDF5 are difficult to navigate and use in cloud computing.</x:v>
      </x:c>
      <x:c r="E638" s="12" t="str">
        <x:v>Native formats such as HDF5 are difficult to navigate and use in cloud computing.</x:v>
      </x:c>
      <x:c r="F638" s="12" t="str">
        <x:v>Recommendation</x:v>
      </x:c>
      <x:c r="G638" s="12" t="str">
        <x:v>NSIDC DAAC User Working Group</x:v>
      </x:c>
      <x:c r="H638" s="12" t="n">
        <x:v>2022</x:v>
      </x:c>
      <x:c r="I638" s="12" t="str">
        <x:v>Cloud-native researchers</x:v>
      </x:c>
      <x:c r="J638" s="12" t="str">
        <x:v>Medium</x:v>
      </x:c>
      <x:c r="K638" s="16" t="n">
        <x:v>0.75</x:v>
      </x:c>
      <x:c r="L638" s="12" t="str">
        <x:v>LSA similarity cluster; human review pending</x:v>
      </x:c>
      <x:c r="M638" s="12" t="str">
        <x:v>Section: 9.3 Key Findings and Recommendations</x:v>
      </x:c>
      <x:c r="N638" s="12" t="str"/>
      <x:c r="O638" s="12" t="str">
        <x:v>No</x:v>
      </x:c>
      <x:c r="P638" s="12" t="str">
        <x:v>No</x:v>
      </x:c>
      <x:c r="Q638" s="12"/>
      <x:c r="R638" s="12"/>
    </x:row>
    <x:row r="639">
      <x:c r="A639" s="12" t="str">
        <x:v>EVD-00638</x:v>
      </x:c>
      <x:c r="B639" s="12" t="str">
        <x:v>NEED-0019</x:v>
      </x:c>
      <x:c r="C639" s="12" t="str">
        <x:v>SRC-0002</x:v>
      </x:c>
      <x:c r="D639" s="12" t="str">
        <x:v>Key information, such as flags, in formats like HDF5 could be lost when transforming to a cloud optimized format.</x:v>
      </x:c>
      <x:c r="E639" s="12" t="str">
        <x:v>Key information, such as flags, in formats like HDF5 could be lost when transforming to a cloud optimized format.</x:v>
      </x:c>
      <x:c r="F639" s="12" t="str">
        <x:v>Recommendation</x:v>
      </x:c>
      <x:c r="G639" s="12" t="str">
        <x:v>NSIDC DAAC User Working Group</x:v>
      </x:c>
      <x:c r="H639" s="12" t="n">
        <x:v>2022</x:v>
      </x:c>
      <x:c r="I639" s="12" t="str">
        <x:v>Cloud-native researchers</x:v>
      </x:c>
      <x:c r="J639" s="12" t="str">
        <x:v>Medium</x:v>
      </x:c>
      <x:c r="K639" s="16" t="n">
        <x:v>0.75</x:v>
      </x:c>
      <x:c r="L639" s="12" t="str">
        <x:v>LSA similarity cluster; human review pending</x:v>
      </x:c>
      <x:c r="M639" s="12" t="str">
        <x:v>Section: 9.3 Key Findings and Recommendations</x:v>
      </x:c>
      <x:c r="N639" s="12" t="str"/>
      <x:c r="O639" s="12" t="str">
        <x:v>No</x:v>
      </x:c>
      <x:c r="P639" s="12" t="str">
        <x:v>No</x:v>
      </x:c>
      <x:c r="Q639" s="12"/>
      <x:c r="R639" s="12"/>
    </x:row>
    <x:row r="640">
      <x:c r="A640" s="12" t="str">
        <x:v>EVD-00639</x:v>
      </x:c>
      <x:c r="B640" s="12" t="str">
        <x:v>NEED-0078</x:v>
      </x:c>
      <x:c r="C640" s="12" t="str">
        <x:v>SRC-0002</x:v>
      </x:c>
      <x:c r="D640" s="12" t="str">
        <x:v>General consensus that the DAAC needs to keep the native format.</x:v>
      </x:c>
      <x:c r="E640" s="12" t="str">
        <x:v>General consensus that the DAAC needs to keep the native format.</x:v>
      </x:c>
      <x:c r="F640" s="12" t="str">
        <x:v>Recommendation</x:v>
      </x:c>
      <x:c r="G640" s="12" t="str">
        <x:v>NSIDC DAAC User Working Group</x:v>
      </x:c>
      <x:c r="H640" s="12" t="n">
        <x:v>2022</x:v>
      </x:c>
      <x:c r="I640" s="12" t="str">
        <x:v>Earthdata users</x:v>
      </x:c>
      <x:c r="J640" s="12" t="str">
        <x:v>Medium</x:v>
      </x:c>
      <x:c r="K640" s="16" t="n">
        <x:v>0.75</x:v>
      </x:c>
      <x:c r="L640" s="12" t="str">
        <x:v>LSA similarity cluster; human review pending</x:v>
      </x:c>
      <x:c r="M640" s="12" t="str">
        <x:v>Section: 9.3 Key Findings and Recommendations</x:v>
      </x:c>
      <x:c r="N640" s="12" t="str"/>
      <x:c r="O640" s="12" t="str">
        <x:v>No</x:v>
      </x:c>
      <x:c r="P640" s="12" t="str">
        <x:v>No</x:v>
      </x:c>
      <x:c r="Q640" s="12"/>
      <x:c r="R640" s="12"/>
    </x:row>
    <x:row r="641">
      <x:c r="A641" s="12" t="str">
        <x:v>EVD-00640</x:v>
      </x:c>
      <x:c r="B641" s="12" t="str">
        <x:v>NEED-0078</x:v>
      </x:c>
      <x:c r="C641" s="12" t="str">
        <x:v>SRC-0002</x:v>
      </x:c>
      <x:c r="D641" s="12" t="str">
        <x:v>Need to balance preservation needs with optimized format benefits.</x:v>
      </x:c>
      <x:c r="E641" s="12" t="str">
        <x:v>Need to balance preservation needs with optimized format benefits.</x:v>
      </x:c>
      <x:c r="F641" s="12" t="str">
        <x:v>Recommendation</x:v>
      </x:c>
      <x:c r="G641" s="12" t="str">
        <x:v>NSIDC DAAC User Working Group</x:v>
      </x:c>
      <x:c r="H641" s="12" t="n">
        <x:v>2022</x:v>
      </x:c>
      <x:c r="I641" s="12" t="str">
        <x:v>Operational and near-real-time users</x:v>
      </x:c>
      <x:c r="J641" s="12" t="str">
        <x:v>High</x:v>
      </x:c>
      <x:c r="K641" s="16" t="n">
        <x:v>0.75</x:v>
      </x:c>
      <x:c r="L641" s="12" t="str">
        <x:v>LSA similarity cluster; human review pending</x:v>
      </x:c>
      <x:c r="M641" s="12" t="str">
        <x:v>Section: 9.3 Key Findings and Recommendations</x:v>
      </x:c>
      <x:c r="N641" s="12" t="str"/>
      <x:c r="O641" s="12" t="str">
        <x:v>No</x:v>
      </x:c>
      <x:c r="P641" s="12" t="str">
        <x:v>No</x:v>
      </x:c>
      <x:c r="Q641" s="12"/>
      <x:c r="R641" s="12"/>
    </x:row>
    <x:row r="642">
      <x:c r="A642" s="12" t="str">
        <x:v>EVD-00641</x:v>
      </x:c>
      <x:c r="B642" s="12" t="str">
        <x:v>NEED-0078</x:v>
      </x:c>
      <x:c r="C642" s="12" t="str">
        <x:v>SRC-0002</x:v>
      </x:c>
      <x:c r="D642" s="12" t="str">
        <x:v>Statement from one member that, ideally, the user shouldn’t have to care about the format.</x:v>
      </x:c>
      <x:c r="E642" s="12" t="str">
        <x:v>Statement from one member that, ideally, the user shouldn’t have to care about the format.</x:v>
      </x:c>
      <x:c r="F642" s="12" t="str">
        <x:v>Recommendation</x:v>
      </x:c>
      <x:c r="G642" s="12" t="str">
        <x:v>NSIDC DAAC User Working Group</x:v>
      </x:c>
      <x:c r="H642" s="12" t="n">
        <x:v>2022</x:v>
      </x:c>
      <x:c r="I642" s="12" t="str">
        <x:v>Earthdata users</x:v>
      </x:c>
      <x:c r="J642" s="12" t="str">
        <x:v>Medium</x:v>
      </x:c>
      <x:c r="K642" s="16" t="n">
        <x:v>0.75</x:v>
      </x:c>
      <x:c r="L642" s="12" t="str">
        <x:v>LSA similarity cluster; human review pending</x:v>
      </x:c>
      <x:c r="M642" s="12" t="str">
        <x:v>Section: 9.3 Key Findings and Recommendations</x:v>
      </x:c>
      <x:c r="N642" s="12" t="str"/>
      <x:c r="O642" s="12" t="str">
        <x:v>No</x:v>
      </x:c>
      <x:c r="P642" s="12" t="str">
        <x:v>No</x:v>
      </x:c>
      <x:c r="Q642" s="12"/>
      <x:c r="R642" s="12"/>
    </x:row>
    <x:row r="643">
      <x:c r="A643" s="12" t="str">
        <x:v>EVD-00642</x:v>
      </x:c>
      <x:c r="B643" s="12" t="str">
        <x:v>NEED-0004</x:v>
      </x:c>
      <x:c r="C643" s="12" t="str">
        <x:v>SRC-0002</x:v>
      </x:c>
      <x:c r="D643" s="12" t="str">
        <x:v>What is required for the move to the cloud?</x:v>
      </x:c>
      <x:c r="E643" s="12" t="str">
        <x:v>What is required for the move to the cloud?</x:v>
      </x:c>
      <x:c r="F643" s="12" t="str">
        <x:v>Recommendation</x:v>
      </x:c>
      <x:c r="G643" s="12" t="str">
        <x:v>NSIDC DAAC User Working Group</x:v>
      </x:c>
      <x:c r="H643" s="12" t="n">
        <x:v>2022</x:v>
      </x:c>
      <x:c r="I643" s="12" t="str">
        <x:v>Cloud-native researchers</x:v>
      </x:c>
      <x:c r="J643" s="12" t="str">
        <x:v>Medium</x:v>
      </x:c>
      <x:c r="K643" s="16" t="n">
        <x:v>0.75</x:v>
      </x:c>
      <x:c r="L643" s="12" t="str">
        <x:v>LSA similarity cluster; human review pending</x:v>
      </x:c>
      <x:c r="M643" s="12" t="str">
        <x:v>Section: 9.3 Key Findings and Recommendations</x:v>
      </x:c>
      <x:c r="N643" s="12" t="str"/>
      <x:c r="O643" s="12" t="str">
        <x:v>No</x:v>
      </x:c>
      <x:c r="P643" s="12" t="str">
        <x:v>No</x:v>
      </x:c>
      <x:c r="Q643" s="12"/>
      <x:c r="R643" s="12"/>
    </x:row>
    <x:row r="644">
      <x:c r="A644" s="12" t="str">
        <x:v>EVD-00643</x:v>
      </x:c>
      <x:c r="B644" s="12" t="str">
        <x:v>NEED-0130</x:v>
      </x:c>
      <x:c r="C644" s="12" t="str">
        <x:v>SRC-0002</x:v>
      </x:c>
      <x:c r="D644" s="12" t="str">
        <x:v>What are the cost considerations?</x:v>
      </x:c>
      <x:c r="E644" s="12" t="str">
        <x:v>What are the cost considerations?</x:v>
      </x:c>
      <x:c r="F644" s="12" t="str">
        <x:v>Recommendation</x:v>
      </x:c>
      <x:c r="G644" s="12" t="str">
        <x:v>NSIDC DAAC User Working Group</x:v>
      </x:c>
      <x:c r="H644" s="12" t="n">
        <x:v>2022</x:v>
      </x:c>
      <x:c r="I644" s="12" t="str">
        <x:v>Earthdata users</x:v>
      </x:c>
      <x:c r="J644" s="12" t="str">
        <x:v>Medium</x:v>
      </x:c>
      <x:c r="K644" s="16" t="n">
        <x:v>0.75</x:v>
      </x:c>
      <x:c r="L644" s="12" t="str">
        <x:v>LSA similarity cluster; human review pending</x:v>
      </x:c>
      <x:c r="M644" s="12" t="str">
        <x:v>Section: 9.3 Key Findings and Recommendations</x:v>
      </x:c>
      <x:c r="N644" s="12" t="str"/>
      <x:c r="O644" s="12" t="str">
        <x:v>No</x:v>
      </x:c>
      <x:c r="P644" s="12" t="str">
        <x:v>No</x:v>
      </x:c>
      <x:c r="Q644" s="12"/>
      <x:c r="R644" s="12"/>
    </x:row>
    <x:row r="645">
      <x:c r="A645" s="12" t="str">
        <x:v>EVD-00644</x:v>
      </x:c>
      <x:c r="B645" s="12" t="str">
        <x:v>NEED-0011</x:v>
      </x:c>
      <x:c r="C645" s="12" t="str">
        <x:v>SRC-0002</x:v>
      </x:c>
      <x:c r="D645" s="12" t="str">
        <x:v>Are my tools and programming languages compatible or available in the cloud?</x:v>
      </x:c>
      <x:c r="E645" s="12" t="str">
        <x:v>Are my tools and programming languages compatible or available in the cloud?</x:v>
      </x:c>
      <x:c r="F645" s="12" t="str">
        <x:v>Recommendation</x:v>
      </x:c>
      <x:c r="G645" s="12" t="str">
        <x:v>NSIDC DAAC User Working Group</x:v>
      </x:c>
      <x:c r="H645" s="12" t="n">
        <x:v>2022</x:v>
      </x:c>
      <x:c r="I645" s="12" t="str">
        <x:v>Cloud-native researchers</x:v>
      </x:c>
      <x:c r="J645" s="12" t="str">
        <x:v>Medium</x:v>
      </x:c>
      <x:c r="K645" s="16" t="n">
        <x:v>0.75</x:v>
      </x:c>
      <x:c r="L645" s="12" t="str">
        <x:v>LSA similarity cluster; human review pending</x:v>
      </x:c>
      <x:c r="M645" s="12" t="str">
        <x:v>Section: 9.3 Key Findings and Recommendations</x:v>
      </x:c>
      <x:c r="N645" s="12" t="str"/>
      <x:c r="O645" s="12" t="str">
        <x:v>No</x:v>
      </x:c>
      <x:c r="P645" s="12" t="str">
        <x:v>No</x:v>
      </x:c>
      <x:c r="Q645" s="12"/>
      <x:c r="R645" s="12"/>
    </x:row>
    <x:row r="646">
      <x:c r="A646" s="12" t="str">
        <x:v>EVD-00645</x:v>
      </x:c>
      <x:c r="B646" s="12" t="str">
        <x:v>NEED-0004</x:v>
      </x:c>
      <x:c r="C646" s="12" t="str">
        <x:v>SRC-0002</x:v>
      </x:c>
      <x:c r="D646" s="12" t="str">
        <x:v>The session provided some comfort to know it is not all or nothing when it comes to cloud adoption; it can and will be a gradual transition for most.</x:v>
      </x:c>
      <x:c r="E646" s="12" t="str">
        <x:v>The session provided some comfort to know it is not all or nothing when it comes to cloud adoption; it can and will be a gradual transition for most.</x:v>
      </x:c>
      <x:c r="F646" s="12" t="str">
        <x:v>Recommendation</x:v>
      </x:c>
      <x:c r="G646" s="12" t="str">
        <x:v>NSIDC DAAC User Working Group</x:v>
      </x:c>
      <x:c r="H646" s="12" t="n">
        <x:v>2022</x:v>
      </x:c>
      <x:c r="I646" s="12" t="str">
        <x:v>Cloud-native researchers</x:v>
      </x:c>
      <x:c r="J646" s="12" t="str">
        <x:v>Medium</x:v>
      </x:c>
      <x:c r="K646" s="16" t="n">
        <x:v>0.75</x:v>
      </x:c>
      <x:c r="L646" s="12" t="str">
        <x:v>LSA similarity cluster; human review pending</x:v>
      </x:c>
      <x:c r="M646" s="12" t="str">
        <x:v>Section: 9.3 Key Findings and Recommendations</x:v>
      </x:c>
      <x:c r="N646" s="12" t="str"/>
      <x:c r="O646" s="12" t="str">
        <x:v>No</x:v>
      </x:c>
      <x:c r="P646" s="12" t="str">
        <x:v>No</x:v>
      </x:c>
      <x:c r="Q646" s="12"/>
      <x:c r="R646" s="12"/>
    </x:row>
    <x:row r="647">
      <x:c r="A647" s="12" t="str">
        <x:v>EVD-00646</x:v>
      </x:c>
      <x:c r="B647" s="12" t="str">
        <x:v>NEED-0010</x:v>
      </x:c>
      <x:c r="C647" s="12" t="str">
        <x:v>SRC-0002</x:v>
      </x:c>
      <x:c r="D647" s="12" t="str">
        <x:v>Cost continues to be a barrier if there is no AWS funding baked into proposals.</x:v>
      </x:c>
      <x:c r="E647" s="12" t="str">
        <x:v>Cost continues to be a barrier if there is no AWS funding baked into proposals.</x:v>
      </x:c>
      <x:c r="F647" s="12" t="str">
        <x:v>Recommendation</x:v>
      </x:c>
      <x:c r="G647" s="12" t="str">
        <x:v>NSIDC DAAC User Working Group</x:v>
      </x:c>
      <x:c r="H647" s="12" t="n">
        <x:v>2022</x:v>
      </x:c>
      <x:c r="I647" s="12" t="str">
        <x:v>Cloud-native researchers</x:v>
      </x:c>
      <x:c r="J647" s="12" t="str">
        <x:v>Medium</x:v>
      </x:c>
      <x:c r="K647" s="16" t="n">
        <x:v>0.75</x:v>
      </x:c>
      <x:c r="L647" s="12" t="str">
        <x:v>LSA similarity cluster; human review pending</x:v>
      </x:c>
      <x:c r="M647" s="12" t="str">
        <x:v>Section: 9.3 Key Findings and Recommendations</x:v>
      </x:c>
      <x:c r="N647" s="12" t="str"/>
      <x:c r="O647" s="12" t="str">
        <x:v>No</x:v>
      </x:c>
      <x:c r="P647" s="12" t="str">
        <x:v>No</x:v>
      </x:c>
      <x:c r="Q647" s="12"/>
      <x:c r="R647" s="12"/>
    </x:row>
    <x:row r="648">
      <x:c r="A648" s="12" t="str">
        <x:v>EVD-00647</x:v>
      </x:c>
      <x:c r="B648" s="12" t="str">
        <x:v>NEED-0011</x:v>
      </x:c>
      <x:c r="C648" s="12" t="str">
        <x:v>SRC-0002</x:v>
      </x:c>
      <x:c r="D648" s="12" t="str">
        <x:v>As long as tools and services that utilize cloud processing on the backend are available for use outside of the cloud, then this can solve the need to fully adopt an “analysis-in-place” workflow.</x:v>
      </x:c>
      <x:c r="E648" s="12" t="str">
        <x:v>As long as tools and services that utilize cloud processing on the backend are available for use outside of the cloud, then this can solve the need to fully adopt an “analysis-in-place” workflow.</x:v>
      </x:c>
      <x:c r="F648" s="12" t="str">
        <x:v>Recommendation</x:v>
      </x:c>
      <x:c r="G648" s="12" t="str">
        <x:v>NSIDC DAAC User Working Group</x:v>
      </x:c>
      <x:c r="H648" s="12" t="n">
        <x:v>2022</x:v>
      </x:c>
      <x:c r="I648" s="12" t="str">
        <x:v>Cloud-native researchers; Earth science researchers</x:v>
      </x:c>
      <x:c r="J648" s="12" t="str">
        <x:v>High</x:v>
      </x:c>
      <x:c r="K648" s="16" t="n">
        <x:v>0.75</x:v>
      </x:c>
      <x:c r="L648" s="12" t="str">
        <x:v>LSA similarity cluster; human review pending</x:v>
      </x:c>
      <x:c r="M648" s="12" t="str">
        <x:v>Section: 9.3 Key Findings and Recommendations</x:v>
      </x:c>
      <x:c r="N648" s="12" t="str"/>
      <x:c r="O648" s="12" t="str">
        <x:v>No</x:v>
      </x:c>
      <x:c r="P648" s="12" t="str">
        <x:v>No</x:v>
      </x:c>
      <x:c r="Q648" s="12"/>
      <x:c r="R648" s="12"/>
    </x:row>
    <x:row r="649">
      <x:c r="A649" s="12" t="str">
        <x:v>EVD-00648</x:v>
      </x:c>
      <x:c r="B649" s="12" t="str">
        <x:v>NEED-0007</x:v>
      </x:c>
      <x:c r="C649" s="12" t="str">
        <x:v>SRC-0002</x:v>
      </x:c>
      <x:c r="D649" s="12" t="str">
        <x:v>Not all institutions will be able to afford and provide cloud resources, limiting access for smaller and less-funded institutions, such as HBCU’s and inhibiting the use of new, large missions, such as NISAR that necessitate cloud workflows.</x:v>
      </x:c>
      <x:c r="E649" s="12" t="str">
        <x:v>Not all institutions will be able to afford and provide cloud resources, limiting access for smaller and less-funded institutions, such as HBCU’s and inhibiting the use of new, large missions, such as NISAR that necessitate cloud workflows.</x:v>
      </x:c>
      <x:c r="F649" s="12" t="str">
        <x:v>Recommendation</x:v>
      </x:c>
      <x:c r="G649" s="12" t="str">
        <x:v>NSIDC DAAC User Working Group</x:v>
      </x:c>
      <x:c r="H649" s="12" t="n">
        <x:v>2022</x:v>
      </x:c>
      <x:c r="I649" s="12" t="str">
        <x:v>Cloud-native researchers; Data producers and mission teams</x:v>
      </x:c>
      <x:c r="J649" s="12" t="str">
        <x:v>High</x:v>
      </x:c>
      <x:c r="K649" s="16" t="n">
        <x:v>0.75</x:v>
      </x:c>
      <x:c r="L649" s="12" t="str">
        <x:v>LSA similarity cluster; human review pending</x:v>
      </x:c>
      <x:c r="M649" s="12" t="str">
        <x:v>Section: 9.3 Key Findings and Recommendations</x:v>
      </x:c>
      <x:c r="N649" s="12" t="str"/>
      <x:c r="O649" s="12" t="str">
        <x:v>No</x:v>
      </x:c>
      <x:c r="P649" s="12" t="str">
        <x:v>No</x:v>
      </x:c>
      <x:c r="Q649" s="12"/>
      <x:c r="R649" s="12"/>
    </x:row>
    <x:row r="650">
      <x:c r="A650" s="12" t="str">
        <x:v>EVD-00649</x:v>
      </x:c>
      <x:c r="B650" s="12" t="str">
        <x:v>NEED-0017</x:v>
      </x:c>
      <x:c r="C650" s="12" t="str">
        <x:v>SRC-0002</x:v>
      </x:c>
      <x:c r="D650" s="12" t="str">
        <x:v>Openscapes Science Champion program is an opportunity for Earthdata Cloud education.</x:v>
      </x:c>
      <x:c r="E650" s="12" t="str">
        <x:v>Openscapes Science Champion program is an opportunity for Earthdata Cloud education.</x:v>
      </x:c>
      <x:c r="F650" s="12" t="str">
        <x:v>Recommendation</x:v>
      </x:c>
      <x:c r="G650" s="12" t="str">
        <x:v>NSIDC DAAC User Working Group</x:v>
      </x:c>
      <x:c r="H650" s="12" t="n">
        <x:v>2022</x:v>
      </x:c>
      <x:c r="I650" s="12" t="str">
        <x:v>Cloud-native researchers; Educators and trainers</x:v>
      </x:c>
      <x:c r="J650" s="12" t="str">
        <x:v>Medium</x:v>
      </x:c>
      <x:c r="K650" s="16" t="n">
        <x:v>0.75</x:v>
      </x:c>
      <x:c r="L650" s="12" t="str">
        <x:v>LSA similarity cluster; human review pending</x:v>
      </x:c>
      <x:c r="M650" s="12" t="str">
        <x:v>Section: 9.3 Key Findings and Recommendations</x:v>
      </x:c>
      <x:c r="N650" s="12" t="str"/>
      <x:c r="O650" s="12" t="str">
        <x:v>No</x:v>
      </x:c>
      <x:c r="P650" s="12" t="str">
        <x:v>No</x:v>
      </x:c>
      <x:c r="Q650" s="12"/>
      <x:c r="R650" s="12"/>
    </x:row>
    <x:row r="651">
      <x:c r="A651" s="12" t="str">
        <x:v>EVD-00650</x:v>
      </x:c>
      <x:c r="B651" s="12" t="str">
        <x:v>NEED-0007</x:v>
      </x:c>
      <x:c r="C651" s="12" t="str">
        <x:v>SRC-0002</x:v>
      </x:c>
      <x:c r="D651" s="12" t="str">
        <x:v>Cloud transition can be much easier if we supported public bucket access (i.e., providing URLs to cloud data and services as users are familiar with today) without additional authentication steps prohibiting certain workflows.</x:v>
      </x:c>
      <x:c r="E651" s="12" t="str">
        <x:v>Cloud transition can be much easier if we supported public bucket access (i.e., providing URLs to cloud data and services as users are familiar with today) without additional authentication steps prohibiting certain workflows.</x:v>
      </x:c>
      <x:c r="F651" s="12" t="str">
        <x:v>Recommendation</x:v>
      </x:c>
      <x:c r="G651" s="12" t="str">
        <x:v>NSIDC DAAC User Working Group</x:v>
      </x:c>
      <x:c r="H651" s="12" t="n">
        <x:v>2022</x:v>
      </x:c>
      <x:c r="I651" s="12" t="str">
        <x:v>Cloud-native researchers</x:v>
      </x:c>
      <x:c r="J651" s="12" t="str">
        <x:v>Medium</x:v>
      </x:c>
      <x:c r="K651" s="16" t="n">
        <x:v>0.75</x:v>
      </x:c>
      <x:c r="L651" s="12" t="str">
        <x:v>LSA similarity cluster; human review pending</x:v>
      </x:c>
      <x:c r="M651" s="12" t="str">
        <x:v>Section: 9.3 Key Findings and Recommendations</x:v>
      </x:c>
      <x:c r="N651" s="12" t="str"/>
      <x:c r="O651" s="12" t="str">
        <x:v>No</x:v>
      </x:c>
      <x:c r="P651" s="12" t="str">
        <x:v>No</x:v>
      </x:c>
      <x:c r="Q651" s="12"/>
      <x:c r="R651" s="12"/>
    </x:row>
    <x:row r="652">
      <x:c r="A652" s="12" t="str">
        <x:v>EVD-00651</x:v>
      </x:c>
      <x:c r="B652" s="12" t="str">
        <x:v>NEED-0120</x:v>
      </x:c>
      <x:c r="C652" s="12" t="str">
        <x:v>SRC-0002</x:v>
      </x:c>
      <x:c r="D652" s="12" t="str">
        <x:v>Publishing software - concern over quality (scientists are not software developers); and QC, not time or resources to do as well as one would want.</x:v>
      </x:c>
      <x:c r="E652" s="12" t="str">
        <x:v>Publishing software - concern over quality (scientists are not software developers); and QC, not time or resources to do as well as one would want.</x:v>
      </x:c>
      <x:c r="F652" s="12" t="str">
        <x:v>Recommendation</x:v>
      </x:c>
      <x:c r="G652" s="12" t="str">
        <x:v>NSIDC DAAC User Working Group</x:v>
      </x:c>
      <x:c r="H652" s="12" t="n">
        <x:v>2022</x:v>
      </x:c>
      <x:c r="I652" s="12" t="str">
        <x:v>Application developers; Earth science researchers</x:v>
      </x:c>
      <x:c r="J652" s="12" t="str">
        <x:v>Medium</x:v>
      </x:c>
      <x:c r="K652" s="16" t="n">
        <x:v>0.75</x:v>
      </x:c>
      <x:c r="L652" s="12" t="str">
        <x:v>LSA similarity cluster; human review pending</x:v>
      </x:c>
      <x:c r="M652" s="12" t="str">
        <x:v>Section: 9.3 Key Findings and Recommendations</x:v>
      </x:c>
      <x:c r="N652" s="12" t="str"/>
      <x:c r="O652" s="12" t="str">
        <x:v>No</x:v>
      </x:c>
      <x:c r="P652" s="12" t="str">
        <x:v>No</x:v>
      </x:c>
      <x:c r="Q652" s="12"/>
      <x:c r="R652" s="12"/>
    </x:row>
    <x:row r="653">
      <x:c r="A653" s="12" t="str">
        <x:v>EVD-00652</x:v>
      </x:c>
      <x:c r="B653" s="12" t="str">
        <x:v>NEED-0120</x:v>
      </x:c>
      <x:c r="C653" s="12" t="str">
        <x:v>SRC-0002</x:v>
      </x:c>
      <x:c r="D653" s="12" t="str">
        <x:v>Licensing and attribution - how to prevent software from being misused?</x:v>
      </x:c>
      <x:c r="E653" s="12" t="str">
        <x:v>Licensing and attribution - how to prevent software from being misused?</x:v>
      </x:c>
      <x:c r="F653" s="12" t="str">
        <x:v>Recommendation</x:v>
      </x:c>
      <x:c r="G653" s="12" t="str">
        <x:v>NSIDC DAAC User Working Group</x:v>
      </x:c>
      <x:c r="H653" s="12" t="n">
        <x:v>2022</x:v>
      </x:c>
      <x:c r="I653" s="12" t="str">
        <x:v>Application developers</x:v>
      </x:c>
      <x:c r="J653" s="12" t="str">
        <x:v>Medium</x:v>
      </x:c>
      <x:c r="K653" s="16" t="n">
        <x:v>0.75</x:v>
      </x:c>
      <x:c r="L653" s="12" t="str">
        <x:v>LSA similarity cluster; human review pending</x:v>
      </x:c>
      <x:c r="M653" s="12" t="str">
        <x:v>Section: 9.3 Key Findings and Recommendations</x:v>
      </x:c>
      <x:c r="N653" s="12" t="str"/>
      <x:c r="O653" s="12" t="str">
        <x:v>No</x:v>
      </x:c>
      <x:c r="P653" s="12" t="str">
        <x:v>No</x:v>
      </x:c>
      <x:c r="Q653" s="12"/>
      <x:c r="R653" s="12"/>
    </x:row>
    <x:row r="654">
      <x:c r="A654" s="12" t="str">
        <x:v>EVD-00653</x:v>
      </x:c>
      <x:c r="B654" s="12" t="str">
        <x:v>NEED-0220</x:v>
      </x:c>
      <x:c r="C654" s="12" t="str">
        <x:v>SRC-0002</x:v>
      </x:c>
      <x:c r="D654" s="12" t="str">
        <x:v>Journals pushing open science, but funders may be lagging - need to provide enough resources to publish and support software.</x:v>
      </x:c>
      <x:c r="E654" s="12" t="str">
        <x:v>Journals pushing open science, but funders may be lagging - need to provide enough resources to publish and support software.</x:v>
      </x:c>
      <x:c r="F654" s="12" t="str">
        <x:v>Recommendation</x:v>
      </x:c>
      <x:c r="G654" s="12" t="str">
        <x:v>NSIDC DAAC User Working Group</x:v>
      </x:c>
      <x:c r="H654" s="12" t="n">
        <x:v>2022</x:v>
      </x:c>
      <x:c r="I654" s="12" t="str">
        <x:v>Application developers</x:v>
      </x:c>
      <x:c r="J654" s="12" t="str">
        <x:v>High</x:v>
      </x:c>
      <x:c r="K654" s="16" t="n">
        <x:v>0.75</x:v>
      </x:c>
      <x:c r="L654" s="12" t="str">
        <x:v>LSA similarity cluster; human review pending</x:v>
      </x:c>
      <x:c r="M654" s="12" t="str">
        <x:v>Section: 9.3 Key Findings and Recommendations</x:v>
      </x:c>
      <x:c r="N654" s="12" t="str"/>
      <x:c r="O654" s="12" t="str">
        <x:v>No</x:v>
      </x:c>
      <x:c r="P654" s="12" t="str">
        <x:v>No</x:v>
      </x:c>
      <x:c r="Q654" s="12"/>
      <x:c r="R654" s="12"/>
    </x:row>
    <x:row r="655">
      <x:c r="A655" s="12" t="str">
        <x:v>EVD-00654</x:v>
      </x:c>
      <x:c r="B655" s="12" t="str">
        <x:v>NEED-0120</x:v>
      </x:c>
      <x:c r="C655" s="12" t="str">
        <x:v>SRC-0002</x:v>
      </x:c>
      <x:c r="D655" s="12" t="str">
        <x:v>Model software very complex and not generally reproducible - not a goal for models because it is too difficult; how can this meet open science criteria?</x:v>
      </x:c>
      <x:c r="E655" s="12" t="str">
        <x:v>Model software very complex and not generally reproducible - not a goal for models because it is too difficult; how can this meet open science criteria?</x:v>
      </x:c>
      <x:c r="F655" s="12" t="str">
        <x:v>Recommendation</x:v>
      </x:c>
      <x:c r="G655" s="12" t="str">
        <x:v>NSIDC DAAC User Working Group</x:v>
      </x:c>
      <x:c r="H655" s="12" t="n">
        <x:v>2022</x:v>
      </x:c>
      <x:c r="I655" s="12" t="str">
        <x:v>Application developers</x:v>
      </x:c>
      <x:c r="J655" s="12" t="str">
        <x:v>Medium</x:v>
      </x:c>
      <x:c r="K655" s="16" t="n">
        <x:v>0.75</x:v>
      </x:c>
      <x:c r="L655" s="12" t="str">
        <x:v>LSA similarity cluster; human review pending</x:v>
      </x:c>
      <x:c r="M655" s="12" t="str">
        <x:v>Section: 9.3 Key Findings and Recommendations</x:v>
      </x:c>
      <x:c r="N655" s="12" t="str"/>
      <x:c r="O655" s="12" t="str">
        <x:v>No</x:v>
      </x:c>
      <x:c r="P655" s="12" t="str">
        <x:v>No</x:v>
      </x:c>
      <x:c r="Q655" s="12"/>
      <x:c r="R655" s="12"/>
    </x:row>
    <x:row r="656">
      <x:c r="A656" s="12" t="str">
        <x:v>EVD-00655</x:v>
      </x:c>
      <x:c r="B656" s="12" t="str">
        <x:v>NEED-0178</x:v>
      </x:c>
      <x:c r="C656" s="12" t="str">
        <x:v>SRC-0002</x:v>
      </x:c>
      <x:c r="D656" s="12" t="str">
        <x:v>DAAC can help by linking available resources (e.g., GitHub repositories), making tools or guides to help users; should there be centralized repositories for DAAC/ESDIS resources?</x:v>
      </x:c>
      <x:c r="E656" s="12" t="str">
        <x:v>DAAC can help by linking available resources (e.g., GitHub repositories), making tools or guides to help users; should there be centralized repositories for DAAC/ESDIS resources?</x:v>
      </x:c>
      <x:c r="F656" s="12" t="str">
        <x:v>Recommendation</x:v>
      </x:c>
      <x:c r="G656" s="12" t="str">
        <x:v>NSIDC DAAC User Working Group</x:v>
      </x:c>
      <x:c r="H656" s="12" t="n">
        <x:v>2022</x:v>
      </x:c>
      <x:c r="I656" s="12" t="str">
        <x:v>Application developers</x:v>
      </x:c>
      <x:c r="J656" s="12" t="str">
        <x:v>High</x:v>
      </x:c>
      <x:c r="K656" s="16" t="n">
        <x:v>0.75</x:v>
      </x:c>
      <x:c r="L656" s="12" t="str">
        <x:v>LSA similarity cluster; human review pending</x:v>
      </x:c>
      <x:c r="M656" s="12" t="str">
        <x:v>Section: 9.3 Key Findings and Recommendations</x:v>
      </x:c>
      <x:c r="N656" s="12" t="str"/>
      <x:c r="O656" s="12" t="str">
        <x:v>No</x:v>
      </x:c>
      <x:c r="P656" s="12" t="str">
        <x:v>No</x:v>
      </x:c>
      <x:c r="Q656" s="12"/>
      <x:c r="R656" s="12"/>
    </x:row>
    <x:row r="657">
      <x:c r="A657" s="12" t="str">
        <x:v>EVD-00656</x:v>
      </x:c>
      <x:c r="B657" s="12" t="str">
        <x:v>NEED-0213</x:v>
      </x:c>
      <x:c r="C657" s="12" t="str">
        <x:v>SRC-0002</x:v>
      </x:c>
      <x:c r="D657" s="12" t="str">
        <x:v>The goal of this theme was to provide the UWG with an overview and status of data stewardship and publication efforts at NSIDC DAAC and receive feedback on targeted efforts to improve publication processes for data producers and DAAC data management teams.</x:v>
      </x:c>
      <x:c r="E657" s="12" t="str">
        <x:v>The goal of this theme was to provide the UWG with an overview and status of data stewardship and publication efforts at NSIDC DAAC and receive feedback on targeted efforts to improve publication processes for data producers and DAAC data management teams.</x:v>
      </x:c>
      <x:c r="F657" s="12" t="str">
        <x:v>Recommendation</x:v>
      </x:c>
      <x:c r="G657" s="12" t="str">
        <x:v>NSIDC DAAC User Working Group</x:v>
      </x:c>
      <x:c r="H657" s="12" t="n">
        <x:v>2022</x:v>
      </x:c>
      <x:c r="I657" s="12" t="str">
        <x:v>Data producers and mission teams</x:v>
      </x:c>
      <x:c r="J657" s="12" t="str">
        <x:v>High</x:v>
      </x:c>
      <x:c r="K657" s="16" t="n">
        <x:v>0.75</x:v>
      </x:c>
      <x:c r="L657" s="12" t="str">
        <x:v>LSA similarity cluster; human review pending</x:v>
      </x:c>
      <x:c r="M657" s="12" t="str">
        <x:v>Section: 9.3 Key Findings and Recommendations</x:v>
      </x:c>
      <x:c r="N657" s="12" t="str"/>
      <x:c r="O657" s="12" t="str">
        <x:v>No</x:v>
      </x:c>
      <x:c r="P657" s="12" t="str">
        <x:v>No</x:v>
      </x:c>
      <x:c r="Q657" s="12"/>
      <x:c r="R657" s="12"/>
    </x:row>
    <x:row r="658">
      <x:c r="A658" s="12" t="str">
        <x:v>EVD-00657</x:v>
      </x:c>
      <x:c r="B658" s="12" t="str">
        <x:v>NEED-0056</x:v>
      </x:c>
      <x:c r="C658" s="12" t="str">
        <x:v>SRC-0002</x:v>
      </x:c>
      <x:c r="D658" s="12" t="str">
        <x:v>Data stewardship is “All activities that ensure and improve the information content and preservability, accessibility, usability, sustainability, quality, reproducibility, and integrity of data and metadata (Peng et al., 2015)” and includes the activities of many people – all DAAC staff and data producers.</x:v>
      </x:c>
      <x:c r="E658" s="12" t="str">
        <x:v>Data stewardship is “All activities that ensure and improve the information content and preservability, accessibility, usability, sustainability, quality, reproducibility, and integrity of data and metadata (Peng et al., 2015)” and includes the activities of many people – all DAAC staff and data producers.</x:v>
      </x:c>
      <x:c r="F658" s="12" t="str">
        <x:v>Recommendation</x:v>
      </x:c>
      <x:c r="G658" s="12" t="str">
        <x:v>NSIDC DAAC User Working Group</x:v>
      </x:c>
      <x:c r="H658" s="12" t="n">
        <x:v>2022</x:v>
      </x:c>
      <x:c r="I658" s="12" t="str">
        <x:v>Data producers and mission teams; New and occasional users</x:v>
      </x:c>
      <x:c r="J658" s="12" t="str">
        <x:v>High</x:v>
      </x:c>
      <x:c r="K658" s="16" t="n">
        <x:v>0.75</x:v>
      </x:c>
      <x:c r="L658" s="12" t="str">
        <x:v>LSA similarity cluster; human review pending</x:v>
      </x:c>
      <x:c r="M658" s="12" t="str">
        <x:v>Section: 9.3 Key Findings and Recommendations</x:v>
      </x:c>
      <x:c r="N658" s="12" t="str"/>
      <x:c r="O658" s="12" t="str">
        <x:v>No</x:v>
      </x:c>
      <x:c r="P658" s="12" t="str">
        <x:v>No</x:v>
      </x:c>
      <x:c r="Q658" s="12"/>
      <x:c r="R658" s="12"/>
    </x:row>
    <x:row r="659">
      <x:c r="A659" s="12" t="str">
        <x:v>EVD-00658</x:v>
      </x:c>
      <x:c r="B659" s="12" t="str">
        <x:v>NEED-0105</x:v>
      </x:c>
      <x:c r="C659" s="12" t="str">
        <x:v>SRC-0002</x:v>
      </x:c>
      <x:c r="D659" s="12" t="str">
        <x:v>DAAC considers community standards, system requirements, and user/human needs when establishing and evolving the content requested from data producers and how that content is stored and disseminated.</x:v>
      </x:c>
      <x:c r="E659" s="12" t="str">
        <x:v>DAAC considers community standards, system requirements, and user/human needs when establishing and evolving the content requested from data producers and how that content is stored and disseminated.</x:v>
      </x:c>
      <x:c r="F659" s="12" t="str">
        <x:v>Recommendation</x:v>
      </x:c>
      <x:c r="G659" s="12" t="str">
        <x:v>NSIDC DAAC User Working Group</x:v>
      </x:c>
      <x:c r="H659" s="12" t="n">
        <x:v>2022</x:v>
      </x:c>
      <x:c r="I659" s="12" t="str">
        <x:v>Data producers and mission teams</x:v>
      </x:c>
      <x:c r="J659" s="12" t="str">
        <x:v>Medium</x:v>
      </x:c>
      <x:c r="K659" s="16" t="n">
        <x:v>0.75</x:v>
      </x:c>
      <x:c r="L659" s="12" t="str">
        <x:v>LSA similarity cluster; human review pending</x:v>
      </x:c>
      <x:c r="M659" s="12" t="str">
        <x:v>Section: 9.3 Key Findings and Recommendations</x:v>
      </x:c>
      <x:c r="N659" s="12" t="str"/>
      <x:c r="O659" s="12" t="str">
        <x:v>No</x:v>
      </x:c>
      <x:c r="P659" s="12" t="str">
        <x:v>No</x:v>
      </x:c>
      <x:c r="Q659" s="12"/>
      <x:c r="R659" s="12"/>
    </x:row>
    <x:row r="660">
      <x:c r="A660" s="12" t="str">
        <x:v>EVD-00659</x:v>
      </x:c>
      <x:c r="B660" s="12" t="str">
        <x:v>NEED-0130</x:v>
      </x:c>
      <x:c r="C660" s="12" t="str">
        <x:v>SRC-0002</x:v>
      </x:c>
      <x:c r="D660" s="12" t="str">
        <x:v>Want to make the user experience as high quality and effective as possible. We also need to consider internal needs for effective stewardship.</x:v>
      </x:c>
      <x:c r="E660" s="12" t="str">
        <x:v>Want to make the user experience as high quality and effective as possible. We also need to consider internal needs for effective stewardship.</x:v>
      </x:c>
      <x:c r="F660" s="12" t="str">
        <x:v>Recommendation</x:v>
      </x:c>
      <x:c r="G660" s="12" t="str">
        <x:v>NSIDC DAAC User Working Group</x:v>
      </x:c>
      <x:c r="H660" s="12" t="n">
        <x:v>2022</x:v>
      </x:c>
      <x:c r="I660" s="12" t="str">
        <x:v>Earthdata users</x:v>
      </x:c>
      <x:c r="J660" s="12" t="str">
        <x:v>High</x:v>
      </x:c>
      <x:c r="K660" s="16" t="n">
        <x:v>0.75</x:v>
      </x:c>
      <x:c r="L660" s="12" t="str">
        <x:v>LSA similarity cluster; human review pending</x:v>
      </x:c>
      <x:c r="M660" s="12" t="str">
        <x:v>Section: 9.3 Key Findings and Recommendations</x:v>
      </x:c>
      <x:c r="N660" s="12" t="str"/>
      <x:c r="O660" s="12" t="str">
        <x:v>No</x:v>
      </x:c>
      <x:c r="P660" s="12" t="str">
        <x:v>No</x:v>
      </x:c>
      <x:c r="Q660" s="12"/>
      <x:c r="R660" s="12"/>
    </x:row>
    <x:row r="661">
      <x:c r="A661" s="12" t="str">
        <x:v>EVD-00660</x:v>
      </x:c>
      <x:c r="B661" s="12" t="str">
        <x:v>NEED-0199</x:v>
      </x:c>
      <x:c r="C661" s="12" t="str">
        <x:v>SRC-0002</x:v>
      </x:c>
      <x:c r="D661" s="12" t="str">
        <x:v>Machine Learning: Publishing/stewarding ML models, model results, and related training data</x:v>
      </x:c>
      <x:c r="E661" s="12" t="str">
        <x:v>Machine Learning: Publishing/stewarding ML models, model results, and related training data</x:v>
      </x:c>
      <x:c r="F661" s="12" t="str">
        <x:v>Recommendation</x:v>
      </x:c>
      <x:c r="G661" s="12" t="str">
        <x:v>NSIDC DAAC User Working Group</x:v>
      </x:c>
      <x:c r="H661" s="12" t="n">
        <x:v>2022</x:v>
      </x:c>
      <x:c r="I661" s="12" t="str">
        <x:v>Educators and trainers</x:v>
      </x:c>
      <x:c r="J661" s="12" t="str">
        <x:v>Medium</x:v>
      </x:c>
      <x:c r="K661" s="16" t="n">
        <x:v>0.55</x:v>
      </x:c>
      <x:c r="L661" s="12" t="str">
        <x:v>LSA similarity cluster; human review pending</x:v>
      </x:c>
      <x:c r="M661" s="12" t="str">
        <x:v>Section: 9.3 Key Findings and Recommendations</x:v>
      </x:c>
      <x:c r="N661" s="12" t="str"/>
      <x:c r="O661" s="12" t="str">
        <x:v>No</x:v>
      </x:c>
      <x:c r="P661" s="12" t="str">
        <x:v>No</x:v>
      </x:c>
      <x:c r="Q661" s="12"/>
      <x:c r="R661" s="12"/>
    </x:row>
    <x:row r="662">
      <x:c r="A662" s="12" t="str">
        <x:v>EVD-00661</x:v>
      </x:c>
      <x:c r="B662" s="12" t="str">
        <x:v>NEED-0079</x:v>
      </x:c>
      <x:c r="C662" s="12" t="str">
        <x:v>SRC-0002</x:v>
      </x:c>
      <x:c r="D662" s="12" t="str">
        <x:v>Open Science: Stewarding data earlier in its lifecycle; Stewarding and supporting all versions of a dataset at all times</x:v>
      </x:c>
      <x:c r="E662" s="12" t="str">
        <x:v>Open Science: Stewarding data earlier in its lifecycle; Stewarding and supporting all versions of a dataset at all times</x:v>
      </x:c>
      <x:c r="F662" s="12" t="str">
        <x:v>Recommendation</x:v>
      </x:c>
      <x:c r="G662" s="12" t="str">
        <x:v>NSIDC DAAC User Working Group</x:v>
      </x:c>
      <x:c r="H662" s="12" t="n">
        <x:v>2022</x:v>
      </x:c>
      <x:c r="I662" s="12" t="str">
        <x:v>Earthdata users</x:v>
      </x:c>
      <x:c r="J662" s="12" t="str">
        <x:v>Medium</x:v>
      </x:c>
      <x:c r="K662" s="16" t="n">
        <x:v>0.75</x:v>
      </x:c>
      <x:c r="L662" s="12" t="str">
        <x:v>LSA similarity cluster; human review pending</x:v>
      </x:c>
      <x:c r="M662" s="12" t="str">
        <x:v>Section: 9.3 Key Findings and Recommendations</x:v>
      </x:c>
      <x:c r="N662" s="12" t="str"/>
      <x:c r="O662" s="12" t="str">
        <x:v>No</x:v>
      </x:c>
      <x:c r="P662" s="12" t="str">
        <x:v>No</x:v>
      </x:c>
      <x:c r="Q662" s="12"/>
      <x:c r="R662" s="12"/>
    </x:row>
    <x:row r="663">
      <x:c r="A663" s="12" t="str">
        <x:v>EVD-00662</x:v>
      </x:c>
      <x:c r="B663" s="12" t="str">
        <x:v>NEED-0055</x:v>
      </x:c>
      <x:c r="C663" s="12" t="str">
        <x:v>SRC-0002</x:v>
      </x:c>
      <x:c r="D663" s="12" t="str">
        <x:v>Data discovery: Cognitive search; Variable-focused search</x:v>
      </x:c>
      <x:c r="E663" s="12" t="str">
        <x:v>Data discovery: Cognitive search; Variable-focused search</x:v>
      </x:c>
      <x:c r="F663" s="12" t="str">
        <x:v>Recommendation</x:v>
      </x:c>
      <x:c r="G663" s="12" t="str">
        <x:v>NSIDC DAAC User Working Group</x:v>
      </x:c>
      <x:c r="H663" s="12" t="n">
        <x:v>2022</x:v>
      </x:c>
      <x:c r="I663" s="12" t="str">
        <x:v>Earthdata users</x:v>
      </x:c>
      <x:c r="J663" s="12" t="str">
        <x:v>Medium</x:v>
      </x:c>
      <x:c r="K663" s="16" t="n">
        <x:v>0.75</x:v>
      </x:c>
      <x:c r="L663" s="12" t="str">
        <x:v>LSA similarity cluster; human review pending</x:v>
      </x:c>
      <x:c r="M663" s="12" t="str">
        <x:v>Section: 9.3 Key Findings and Recommendations</x:v>
      </x:c>
      <x:c r="N663" s="12" t="str"/>
      <x:c r="O663" s="12" t="str">
        <x:v>No</x:v>
      </x:c>
      <x:c r="P663" s="12" t="str">
        <x:v>No</x:v>
      </x:c>
      <x:c r="Q663" s="12"/>
      <x:c r="R663" s="12"/>
    </x:row>
    <x:row r="664">
      <x:c r="A664" s="12" t="str">
        <x:v>EVD-00663</x:v>
      </x:c>
      <x:c r="B664" s="12" t="str">
        <x:v>NEED-0056</x:v>
      </x:c>
      <x:c r="C664" s="12" t="str">
        <x:v>SRC-0002</x:v>
      </x:c>
      <x:c r="D664" s="12" t="str">
        <x:v>While researchers may not talk about data stewardship specially, they are doing it as part of the scientific process.</x:v>
      </x:c>
      <x:c r="E664" s="12" t="str">
        <x:v>While researchers may not talk about data stewardship specially, they are doing it as part of the scientific process.</x:v>
      </x:c>
      <x:c r="F664" s="12" t="str">
        <x:v>Recommendation</x:v>
      </x:c>
      <x:c r="G664" s="12" t="str">
        <x:v>NSIDC DAAC User Working Group</x:v>
      </x:c>
      <x:c r="H664" s="12" t="n">
        <x:v>2022</x:v>
      </x:c>
      <x:c r="I664" s="12" t="str">
        <x:v>Earth science researchers</x:v>
      </x:c>
      <x:c r="J664" s="12" t="str">
        <x:v>Medium</x:v>
      </x:c>
      <x:c r="K664" s="16" t="n">
        <x:v>0.75</x:v>
      </x:c>
      <x:c r="L664" s="12" t="str">
        <x:v>LSA similarity cluster; human review pending</x:v>
      </x:c>
      <x:c r="M664" s="12" t="str">
        <x:v>Section: 9.3 Key Findings and Recommendations</x:v>
      </x:c>
      <x:c r="N664" s="12" t="str"/>
      <x:c r="O664" s="12" t="str">
        <x:v>No</x:v>
      </x:c>
      <x:c r="P664" s="12" t="str">
        <x:v>No</x:v>
      </x:c>
      <x:c r="Q664" s="12"/>
      <x:c r="R664" s="12"/>
    </x:row>
    <x:row r="665">
      <x:c r="A665" s="12" t="str">
        <x:v>EVD-00664</x:v>
      </x:c>
      <x:c r="B665" s="12" t="str">
        <x:v>NEED-0076</x:v>
      </x:c>
      <x:c r="C665" s="12" t="str">
        <x:v>SRC-0002</x:v>
      </x:c>
      <x:c r="D665" s="12" t="str">
        <x:v>Gina Henderson drills in to her students to cite, and also to evaluate. Treats the DAAC as the gold standard. Knows she can point a student to NSIDC DAAC and they will find good things there (e.g., well-described NetCDF file, landing page, list of publications). It takes some burden off of her because she knows they will find quality data at NSIDC DAAC.</x:v>
      </x:c>
      <x:c r="E665" s="12" t="str">
        <x:v>Gina Henderson drills in to her students to cite, and also to evaluate. Treats the DAAC as the gold standard. Knows she can point a student to NSIDC DAAC and they will find good things there (e.g., well-described NetCDF file, landing page, list of publications). It takes some burden off of her because she knows they will find quality data at NSIDC DAAC.</x:v>
      </x:c>
      <x:c r="F665" s="12" t="str">
        <x:v>Recommendation</x:v>
      </x:c>
      <x:c r="G665" s="12" t="str">
        <x:v>NSIDC DAAC User Working Group</x:v>
      </x:c>
      <x:c r="H665" s="12" t="n">
        <x:v>2022</x:v>
      </x:c>
      <x:c r="I665" s="12" t="str">
        <x:v>Data producers and mission teams; Educators and trainers</x:v>
      </x:c>
      <x:c r="J665" s="12" t="str">
        <x:v>Medium</x:v>
      </x:c>
      <x:c r="K665" s="16" t="n">
        <x:v>0.75</x:v>
      </x:c>
      <x:c r="L665" s="12" t="str">
        <x:v>LSA similarity cluster; human review pending</x:v>
      </x:c>
      <x:c r="M665" s="12" t="str">
        <x:v>Section: 9.3 Key Findings and Recommendations</x:v>
      </x:c>
      <x:c r="N665" s="12" t="str"/>
      <x:c r="O665" s="12" t="str">
        <x:v>No</x:v>
      </x:c>
      <x:c r="P665" s="12" t="str">
        <x:v>No</x:v>
      </x:c>
      <x:c r="Q665" s="12"/>
      <x:c r="R665" s="12"/>
    </x:row>
    <x:row r="666">
      <x:c r="A666" s="12" t="str">
        <x:v>EVD-00665</x:v>
      </x:c>
      <x:c r="B666" s="12" t="str">
        <x:v>NEED-0056</x:v>
      </x:c>
      <x:c r="C666" s="12" t="str">
        <x:v>SRC-0002</x:v>
      </x:c>
      <x:c r="D666" s="12" t="str">
        <x:v>Data stewardship by researchers will become more prominent with Open Science because it is asking everyone to be a data steward.</x:v>
      </x:c>
      <x:c r="E666" s="12" t="str">
        <x:v>Data stewardship by researchers will become more prominent with Open Science because it is asking everyone to be a data steward.</x:v>
      </x:c>
      <x:c r="F666" s="12" t="str">
        <x:v>Recommendation</x:v>
      </x:c>
      <x:c r="G666" s="12" t="str">
        <x:v>NSIDC DAAC User Working Group</x:v>
      </x:c>
      <x:c r="H666" s="12" t="n">
        <x:v>2022</x:v>
      </x:c>
      <x:c r="I666" s="12" t="str">
        <x:v>Earth science researchers</x:v>
      </x:c>
      <x:c r="J666" s="12" t="str">
        <x:v>Medium</x:v>
      </x:c>
      <x:c r="K666" s="16" t="n">
        <x:v>0.75</x:v>
      </x:c>
      <x:c r="L666" s="12" t="str">
        <x:v>LSA similarity cluster; human review pending</x:v>
      </x:c>
      <x:c r="M666" s="12" t="str">
        <x:v>Section: 9.3 Key Findings and Recommendations</x:v>
      </x:c>
      <x:c r="N666" s="12" t="str"/>
      <x:c r="O666" s="12" t="str">
        <x:v>No</x:v>
      </x:c>
      <x:c r="P666" s="12" t="str">
        <x:v>No</x:v>
      </x:c>
      <x:c r="Q666" s="12"/>
      <x:c r="R666" s="12"/>
    </x:row>
    <x:row r="667">
      <x:c r="A667" s="12" t="str">
        <x:v>EVD-00666</x:v>
      </x:c>
      <x:c r="B667" s="12" t="str">
        <x:v>NEED-0123</x:v>
      </x:c>
      <x:c r="C667" s="12" t="str">
        <x:v>SRC-0002</x:v>
      </x:c>
      <x:c r="D667" s="12" t="str">
        <x:v>More consistent experience for data producers across DAAC teams.</x:v>
      </x:c>
      <x:c r="E667" s="12" t="str">
        <x:v>More consistent experience for data producers across DAAC teams.</x:v>
      </x:c>
      <x:c r="F667" s="12" t="str">
        <x:v>Recommendation</x:v>
      </x:c>
      <x:c r="G667" s="12" t="str">
        <x:v>NSIDC DAAC User Working Group</x:v>
      </x:c>
      <x:c r="H667" s="12" t="n">
        <x:v>2022</x:v>
      </x:c>
      <x:c r="I667" s="12" t="str">
        <x:v>Data producers and mission teams</x:v>
      </x:c>
      <x:c r="J667" s="12" t="str">
        <x:v>Medium</x:v>
      </x:c>
      <x:c r="K667" s="16" t="n">
        <x:v>0.75</x:v>
      </x:c>
      <x:c r="L667" s="12" t="str">
        <x:v>LSA similarity cluster; human review pending</x:v>
      </x:c>
      <x:c r="M667" s="12" t="str">
        <x:v>Section: 9.3 Key Findings and Recommendations</x:v>
      </x:c>
      <x:c r="N667" s="12" t="str"/>
      <x:c r="O667" s="12" t="str">
        <x:v>No</x:v>
      </x:c>
      <x:c r="P667" s="12" t="str">
        <x:v>No</x:v>
      </x:c>
      <x:c r="Q667" s="12"/>
      <x:c r="R667" s="12"/>
    </x:row>
    <x:row r="668">
      <x:c r="A668" s="12" t="str">
        <x:v>EVD-00667</x:v>
      </x:c>
      <x:c r="B668" s="12" t="str">
        <x:v>NEED-0197</x:v>
      </x:c>
      <x:c r="C668" s="12" t="str">
        <x:v>SRC-0002</x:v>
      </x:c>
      <x:c r="D668" s="12" t="str">
        <x:v>Consistency across teams enables more efficient training and staff coverage.</x:v>
      </x:c>
      <x:c r="E668" s="12" t="str">
        <x:v>Consistency across teams enables more efficient training and staff coverage.</x:v>
      </x:c>
      <x:c r="F668" s="12" t="str">
        <x:v>Recommendation</x:v>
      </x:c>
      <x:c r="G668" s="12" t="str">
        <x:v>NSIDC DAAC User Working Group</x:v>
      </x:c>
      <x:c r="H668" s="12" t="n">
        <x:v>2022</x:v>
      </x:c>
      <x:c r="I668" s="12" t="str">
        <x:v>Educators and trainers</x:v>
      </x:c>
      <x:c r="J668" s="12" t="str">
        <x:v>Medium</x:v>
      </x:c>
      <x:c r="K668" s="16" t="n">
        <x:v>0.75</x:v>
      </x:c>
      <x:c r="L668" s="12" t="str">
        <x:v>LSA similarity cluster; human review pending</x:v>
      </x:c>
      <x:c r="M668" s="12" t="str">
        <x:v>Section: 9.3 Key Findings and Recommendations</x:v>
      </x:c>
      <x:c r="N668" s="12" t="str"/>
      <x:c r="O668" s="12" t="str">
        <x:v>No</x:v>
      </x:c>
      <x:c r="P668" s="12" t="str">
        <x:v>No</x:v>
      </x:c>
      <x:c r="Q668" s="12"/>
      <x:c r="R668" s="12"/>
    </x:row>
    <x:row r="669">
      <x:c r="A669" s="12" t="str">
        <x:v>EVD-00668</x:v>
      </x:c>
      <x:c r="B669" s="12" t="str">
        <x:v>NEED-0001</x:v>
      </x:c>
      <x:c r="C669" s="12" t="str">
        <x:v>SRC-0002</x:v>
      </x:c>
      <x:c r="D669" s="12" t="str">
        <x:v>Allows us to operationalize and scale data stewardship initiatives, such as the curation of Strengths and Limitations and transition to cloud data management systems.</x:v>
      </x:c>
      <x:c r="E669" s="12" t="str">
        <x:v>Allows us to operationalize and scale data stewardship initiatives, such as the curation of Strengths and Limitations and transition to cloud data management systems.</x:v>
      </x:c>
      <x:c r="F669" s="12" t="str">
        <x:v>Recommendation</x:v>
      </x:c>
      <x:c r="G669" s="12" t="str">
        <x:v>NSIDC DAAC User Working Group</x:v>
      </x:c>
      <x:c r="H669" s="12" t="n">
        <x:v>2022</x:v>
      </x:c>
      <x:c r="I669" s="12" t="str">
        <x:v>Cloud-native researchers; Operational and near-real-time users</x:v>
      </x:c>
      <x:c r="J669" s="12" t="str">
        <x:v>Medium</x:v>
      </x:c>
      <x:c r="K669" s="16" t="n">
        <x:v>0.75</x:v>
      </x:c>
      <x:c r="L669" s="12" t="str">
        <x:v>LSA similarity cluster; human review pending</x:v>
      </x:c>
      <x:c r="M669" s="12" t="str">
        <x:v>Section: 9.3 Key Findings and Recommendations</x:v>
      </x:c>
      <x:c r="N669" s="12" t="str"/>
      <x:c r="O669" s="12" t="str">
        <x:v>No</x:v>
      </x:c>
      <x:c r="P669" s="12" t="str">
        <x:v>No</x:v>
      </x:c>
      <x:c r="Q669" s="12"/>
      <x:c r="R669" s="12"/>
    </x:row>
    <x:row r="670">
      <x:c r="A670" s="12" t="str">
        <x:v>EVD-00669</x:v>
      </x:c>
      <x:c r="B670" s="12" t="str">
        <x:v>NEED-0137</x:v>
      </x:c>
      <x:c r="C670" s="12" t="str">
        <x:v>SRC-0002</x:v>
      </x:c>
      <x:c r="D670" s="12" t="str">
        <x:v>Provides an opportunity to experiment with workflows for Earthdata Pub.</x:v>
      </x:c>
      <x:c r="E670" s="12" t="str">
        <x:v>Provides an opportunity to experiment with workflows for Earthdata Pub.</x:v>
      </x:c>
      <x:c r="F670" s="12" t="str">
        <x:v>Recommendation</x:v>
      </x:c>
      <x:c r="G670" s="12" t="str">
        <x:v>NSIDC DAAC User Working Group</x:v>
      </x:c>
      <x:c r="H670" s="12" t="n">
        <x:v>2022</x:v>
      </x:c>
      <x:c r="I670" s="12" t="str">
        <x:v>Earthdata users</x:v>
      </x:c>
      <x:c r="J670" s="12" t="str">
        <x:v>Medium</x:v>
      </x:c>
      <x:c r="K670" s="16" t="n">
        <x:v>0.75</x:v>
      </x:c>
      <x:c r="L670" s="12" t="str">
        <x:v>LSA similarity cluster; human review pending</x:v>
      </x:c>
      <x:c r="M670" s="12" t="str">
        <x:v>Section: 9.3 Key Findings and Recommendations</x:v>
      </x:c>
      <x:c r="N670" s="12" t="str"/>
      <x:c r="O670" s="12" t="str">
        <x:v>No</x:v>
      </x:c>
      <x:c r="P670" s="12" t="str">
        <x:v>No</x:v>
      </x:c>
      <x:c r="Q670" s="12"/>
      <x:c r="R670" s="12"/>
    </x:row>
    <x:row r="671">
      <x:c r="A671" s="12" t="str">
        <x:v>EVD-00670</x:v>
      </x:c>
      <x:c r="B671" s="12" t="str">
        <x:v>NEED-0136</x:v>
      </x:c>
      <x:c r="C671" s="12" t="str">
        <x:v>SRC-0002</x:v>
      </x:c>
      <x:c r="D671" s="12" t="str">
        <x:v>Gives management increased visibility into publication levels and progress.</x:v>
      </x:c>
      <x:c r="E671" s="12" t="str">
        <x:v>Gives management increased visibility into publication levels and progress.</x:v>
      </x:c>
      <x:c r="F671" s="12" t="str">
        <x:v>Recommendation</x:v>
      </x:c>
      <x:c r="G671" s="12" t="str">
        <x:v>NSIDC DAAC User Working Group</x:v>
      </x:c>
      <x:c r="H671" s="12" t="n">
        <x:v>2022</x:v>
      </x:c>
      <x:c r="I671" s="12" t="str">
        <x:v>Data producers and mission teams</x:v>
      </x:c>
      <x:c r="J671" s="12" t="str">
        <x:v>Medium</x:v>
      </x:c>
      <x:c r="K671" s="16" t="n">
        <x:v>0.75</x:v>
      </x:c>
      <x:c r="L671" s="12" t="str">
        <x:v>LSA similarity cluster; human review pending</x:v>
      </x:c>
      <x:c r="M671" s="12" t="str">
        <x:v>Section: 9.3 Key Findings and Recommendations</x:v>
      </x:c>
      <x:c r="N671" s="12" t="str"/>
      <x:c r="O671" s="12" t="str">
        <x:v>No</x:v>
      </x:c>
      <x:c r="P671" s="12" t="str">
        <x:v>No</x:v>
      </x:c>
      <x:c r="Q671" s="12"/>
      <x:c r="R671" s="12"/>
    </x:row>
    <x:row r="672">
      <x:c r="A672" s="12" t="str">
        <x:v>EVD-00671</x:v>
      </x:c>
      <x:c r="B672" s="12" t="str">
        <x:v>NEED-0213</x:v>
      </x:c>
      <x:c r="C672" s="12" t="str">
        <x:v>SRC-0002</x:v>
      </x:c>
      <x:c r="D672" s="12" t="str">
        <x:v>Prior to the meeting, the UWG was asked to review a number of existing resources for data producers in order to provide feedback on them during the meeting.</x:v>
      </x:c>
      <x:c r="E672" s="12" t="str">
        <x:v>Prior to the meeting, the UWG was asked to review a number of existing resources for data producers in order to provide feedback on them during the meeting.</x:v>
      </x:c>
      <x:c r="F672" s="12" t="str">
        <x:v>Recommendation</x:v>
      </x:c>
      <x:c r="G672" s="12" t="str">
        <x:v>NSIDC DAAC User Working Group</x:v>
      </x:c>
      <x:c r="H672" s="12" t="n">
        <x:v>2022</x:v>
      </x:c>
      <x:c r="I672" s="12" t="str">
        <x:v>Data producers and mission teams</x:v>
      </x:c>
      <x:c r="J672" s="12" t="str">
        <x:v>High</x:v>
      </x:c>
      <x:c r="K672" s="16" t="n">
        <x:v>0.75</x:v>
      </x:c>
      <x:c r="L672" s="12" t="str">
        <x:v>LSA similarity cluster; human review pending</x:v>
      </x:c>
      <x:c r="M672" s="12" t="str">
        <x:v>Section: 9.3 Key Findings and Recommendations</x:v>
      </x:c>
      <x:c r="N672" s="12" t="str"/>
      <x:c r="O672" s="12" t="str">
        <x:v>No</x:v>
      </x:c>
      <x:c r="P672" s="12" t="str">
        <x:v>No</x:v>
      </x:c>
      <x:c r="Q672" s="12"/>
      <x:c r="R672" s="12"/>
    </x:row>
    <x:row r="673">
      <x:c r="A673" s="12" t="str">
        <x:v>EVD-00672</x:v>
      </x:c>
      <x:c r="B673" s="12" t="str">
        <x:v>NEED-0105</x:v>
      </x:c>
      <x:c r="C673" s="12" t="str">
        <x:v>SRC-0002</x:v>
      </x:c>
      <x:c r="D673" s="12" t="str">
        <x:v>Earth Science Data Standards, Requirements, and References on Earthdata</x:v>
      </x:c>
      <x:c r="E673" s="12" t="str">
        <x:v>Earth Science Data Standards, Requirements, and References on Earthdata</x:v>
      </x:c>
      <x:c r="F673" s="12" t="str">
        <x:v>Recommendation</x:v>
      </x:c>
      <x:c r="G673" s="12" t="str">
        <x:v>NSIDC DAAC User Working Group</x:v>
      </x:c>
      <x:c r="H673" s="12" t="n">
        <x:v>2022</x:v>
      </x:c>
      <x:c r="I673" s="12" t="str">
        <x:v>Earthdata users</x:v>
      </x:c>
      <x:c r="J673" s="12" t="str">
        <x:v>Medium</x:v>
      </x:c>
      <x:c r="K673" s="16" t="n">
        <x:v>0.75</x:v>
      </x:c>
      <x:c r="L673" s="12" t="str">
        <x:v>LSA similarity cluster; human review pending</x:v>
      </x:c>
      <x:c r="M673" s="12" t="str">
        <x:v>Section: 9.3 Key Findings and Recommendations</x:v>
      </x:c>
      <x:c r="N673" s="12" t="str"/>
      <x:c r="O673" s="12" t="str">
        <x:v>No</x:v>
      </x:c>
      <x:c r="P673" s="12" t="str">
        <x:v>No</x:v>
      </x:c>
      <x:c r="Q673" s="12"/>
      <x:c r="R673" s="12"/>
    </x:row>
    <x:row r="674">
      <x:c r="A674" s="12" t="str">
        <x:v>EVD-00673</x:v>
      </x:c>
      <x:c r="B674" s="12" t="str">
        <x:v>NEED-0131</x:v>
      </x:c>
      <x:c r="C674" s="12" t="str">
        <x:v>SRC-0002</x:v>
      </x:c>
      <x:c r="D674" s="12" t="str">
        <x:v>NSIDC DAAC Data File Requirements and Recommendations</x:v>
      </x:c>
      <x:c r="E674" s="12" t="str">
        <x:v>NSIDC DAAC Data File Requirements and Recommendations</x:v>
      </x:c>
      <x:c r="F674" s="12" t="str">
        <x:v>Recommendation</x:v>
      </x:c>
      <x:c r="G674" s="12" t="str">
        <x:v>NSIDC DAAC User Working Group</x:v>
      </x:c>
      <x:c r="H674" s="12" t="n">
        <x:v>2022</x:v>
      </x:c>
      <x:c r="I674" s="12" t="str">
        <x:v>Earthdata users</x:v>
      </x:c>
      <x:c r="J674" s="12" t="str">
        <x:v>Low</x:v>
      </x:c>
      <x:c r="K674" s="16" t="n">
        <x:v>0.75</x:v>
      </x:c>
      <x:c r="L674" s="12" t="str">
        <x:v>LSA similarity cluster; human review pending</x:v>
      </x:c>
      <x:c r="M674" s="12" t="str">
        <x:v>Section: 9.3 Key Findings and Recommendations</x:v>
      </x:c>
      <x:c r="N674" s="12" t="str"/>
      <x:c r="O674" s="12" t="str">
        <x:v>No</x:v>
      </x:c>
      <x:c r="P674" s="12" t="str">
        <x:v>No</x:v>
      </x:c>
      <x:c r="Q674" s="12"/>
      <x:c r="R674" s="12"/>
    </x:row>
    <x:row r="675">
      <x:c r="A675" s="12" t="str">
        <x:v>EVD-00674</x:v>
      </x:c>
      <x:c r="B675" s="12" t="str">
        <x:v>NEED-0076</x:v>
      </x:c>
      <x:c r="C675" s="12" t="str">
        <x:v>SRC-0002</x:v>
      </x:c>
      <x:c r="D675" s="12" t="str">
        <x:v>NSIDC Guidelines for NetCDF Attributes</x:v>
      </x:c>
      <x:c r="E675" s="12" t="str">
        <x:v>NSIDC Guidelines for NetCDF Attributes</x:v>
      </x:c>
      <x:c r="F675" s="12" t="str">
        <x:v>Recommendation</x:v>
      </x:c>
      <x:c r="G675" s="12" t="str">
        <x:v>NSIDC DAAC User Working Group</x:v>
      </x:c>
      <x:c r="H675" s="12" t="n">
        <x:v>2022</x:v>
      </x:c>
      <x:c r="I675" s="12" t="str">
        <x:v>Earthdata users</x:v>
      </x:c>
      <x:c r="J675" s="12" t="str">
        <x:v>Medium</x:v>
      </x:c>
      <x:c r="K675" s="16" t="n">
        <x:v>0.75</x:v>
      </x:c>
      <x:c r="L675" s="12" t="str">
        <x:v>LSA similarity cluster; human review pending</x:v>
      </x:c>
      <x:c r="M675" s="12" t="str">
        <x:v>Section: 9.3 Key Findings and Recommendations</x:v>
      </x:c>
      <x:c r="N675" s="12" t="str"/>
      <x:c r="O675" s="12" t="str">
        <x:v>No</x:v>
      </x:c>
      <x:c r="P675" s="12" t="str">
        <x:v>No</x:v>
      </x:c>
      <x:c r="Q675" s="12"/>
      <x:c r="R675" s="12"/>
    </x:row>
    <x:row r="676">
      <x:c r="A676" s="12" t="str">
        <x:v>EVD-00675</x:v>
      </x:c>
      <x:c r="B676" s="12" t="str">
        <x:v>NEED-0052</x:v>
      </x:c>
      <x:c r="C676" s="12" t="str">
        <x:v>SRC-0002</x:v>
      </x:c>
      <x:c r="D676" s="12" t="str">
        <x:v>NSIDC DAAC Guidelines for Preliminary Metadata Creation and Data Product Delivery</x:v>
      </x:c>
      <x:c r="E676" s="12" t="str">
        <x:v>NSIDC DAAC Guidelines for Preliminary Metadata Creation and Data Product Delivery</x:v>
      </x:c>
      <x:c r="F676" s="12" t="str">
        <x:v>Recommendation</x:v>
      </x:c>
      <x:c r="G676" s="12" t="str">
        <x:v>NSIDC DAAC User Working Group</x:v>
      </x:c>
      <x:c r="H676" s="12" t="n">
        <x:v>2022</x:v>
      </x:c>
      <x:c r="I676" s="12" t="str">
        <x:v>Earthdata users</x:v>
      </x:c>
      <x:c r="J676" s="12" t="str">
        <x:v>Medium</x:v>
      </x:c>
      <x:c r="K676" s="16" t="n">
        <x:v>0.75</x:v>
      </x:c>
      <x:c r="L676" s="12" t="str">
        <x:v>LSA similarity cluster; human review pending</x:v>
      </x:c>
      <x:c r="M676" s="12" t="str">
        <x:v>Section: 9.3 Key Findings and Recommendations</x:v>
      </x:c>
      <x:c r="N676" s="12" t="str"/>
      <x:c r="O676" s="12" t="str">
        <x:v>No</x:v>
      </x:c>
      <x:c r="P676" s="12" t="str">
        <x:v>No</x:v>
      </x:c>
      <x:c r="Q676" s="12"/>
      <x:c r="R676" s="12"/>
    </x:row>
    <x:row r="677">
      <x:c r="A677" s="12" t="str">
        <x:v>EVD-00676</x:v>
      </x:c>
      <x:c r="B677" s="12" t="str">
        <x:v>NEED-0076</x:v>
      </x:c>
      <x:c r="C677" s="12" t="str">
        <x:v>SRC-0002</x:v>
      </x:c>
      <x:c r="D677" s="12" t="str">
        <x:v>Might be worth including some guidelines on appropriate data types (double, single, integer, string, etc.), which is something that should be considered when creating NetCDF (and HDF5?)</x:v>
      </x:c>
      <x:c r="E677" s="12" t="str">
        <x:v>Might be worth including some guidelines on appropriate data types (double, single, integer, string, etc.), which is something that should be considered when creating NetCDF (and HDF5?)</x:v>
      </x:c>
      <x:c r="F677" s="12" t="str">
        <x:v>Recommendation</x:v>
      </x:c>
      <x:c r="G677" s="12" t="str">
        <x:v>NSIDC DAAC User Working Group</x:v>
      </x:c>
      <x:c r="H677" s="12" t="n">
        <x:v>2022</x:v>
      </x:c>
      <x:c r="I677" s="12" t="str">
        <x:v>Earthdata users</x:v>
      </x:c>
      <x:c r="J677" s="12" t="str">
        <x:v>High</x:v>
      </x:c>
      <x:c r="K677" s="16" t="n">
        <x:v>0.75</x:v>
      </x:c>
      <x:c r="L677" s="12" t="str">
        <x:v>LSA similarity cluster; human review pending</x:v>
      </x:c>
      <x:c r="M677" s="12" t="str">
        <x:v>Section: 9.3 Key Findings and Recommendations; table row 4</x:v>
      </x:c>
      <x:c r="N677" s="12" t="str"/>
      <x:c r="O677" s="12" t="str">
        <x:v>No</x:v>
      </x:c>
      <x:c r="P677" s="12" t="str">
        <x:v>No</x:v>
      </x:c>
      <x:c r="Q677" s="12"/>
      <x:c r="R677" s="12"/>
    </x:row>
    <x:row r="678">
      <x:c r="A678" s="12" t="str">
        <x:v>EVD-00677</x:v>
      </x:c>
      <x:c r="B678" s="12" t="str">
        <x:v>NEED-0171</x:v>
      </x:c>
      <x:c r="C678" s="12" t="str">
        <x:v>SRC-0002</x:v>
      </x:c>
      <x:c r="D678" s="12" t="str">
        <x:v>Consider linking to example data sets, or example files, so data producers can see what correctly formatted data look like. In data verification, big thing is to assure the data work with whatever tools are used by users. One UWG member really appreciated the NetCDF Attributes Guidelines, while another found them confusing and felt they didn’t need to include all suggested attributes to produce a workable file. Providing code snippets in different languages to use to make the files would help to lower the bar for some data producers.</x:v>
      </x:c>
      <x:c r="E678" s="12" t="str">
        <x:v>Consider linking to example data sets, or example files, so data producers can see what correctly formatted data look like. In data verification, big thing is to assure the data work with whatever tools are used by users. One UWG member really appreciated the NetCDF Attributes Guidelines, while another found them confusing and felt they didn’t need to include all suggested attributes to produce a workable file. Providing code snippets in different languages to use to make the files would help to lower the bar for some data producers.</x:v>
      </x:c>
      <x:c r="F678" s="12" t="str">
        <x:v>Recommendation</x:v>
      </x:c>
      <x:c r="G678" s="12" t="str">
        <x:v>NSIDC DAAC User Working Group</x:v>
      </x:c>
      <x:c r="H678" s="12" t="n">
        <x:v>2022</x:v>
      </x:c>
      <x:c r="I678" s="12" t="str">
        <x:v>Application developers; Data producers and mission teams</x:v>
      </x:c>
      <x:c r="J678" s="12" t="str">
        <x:v>High</x:v>
      </x:c>
      <x:c r="K678" s="16" t="n">
        <x:v>0.75</x:v>
      </x:c>
      <x:c r="L678" s="12" t="str">
        <x:v>LSA similarity cluster; human review pending</x:v>
      </x:c>
      <x:c r="M678" s="12" t="str">
        <x:v>Section: 9.3 Key Findings and Recommendations; table row 6</x:v>
      </x:c>
      <x:c r="N678" s="12" t="str"/>
      <x:c r="O678" s="12" t="str">
        <x:v>No</x:v>
      </x:c>
      <x:c r="P678" s="12" t="str">
        <x:v>No</x:v>
      </x:c>
      <x:c r="Q678" s="12"/>
      <x:c r="R678" s="12"/>
    </x:row>
    <x:row r="679">
      <x:c r="A679" s="12" t="str">
        <x:v>EVD-00678</x:v>
      </x:c>
      <x:c r="B679" s="12" t="str">
        <x:v>NEED-0137</x:v>
      </x:c>
      <x:c r="C679" s="12" t="str">
        <x:v>SRC-0002</x:v>
      </x:c>
      <x:c r="D679" s="12" t="str">
        <x:v>Are there areas we can improve?</x:v>
      </x:c>
      <x:c r="E679" s="12" t="str">
        <x:v>Are there areas we can improve?</x:v>
      </x:c>
      <x:c r="F679" s="12" t="str">
        <x:v>Recommendation</x:v>
      </x:c>
      <x:c r="G679" s="12" t="str">
        <x:v>NSIDC DAAC User Working Group</x:v>
      </x:c>
      <x:c r="H679" s="12" t="n">
        <x:v>2022</x:v>
      </x:c>
      <x:c r="I679" s="12" t="str">
        <x:v>Earthdata users</x:v>
      </x:c>
      <x:c r="J679" s="12" t="str">
        <x:v>High</x:v>
      </x:c>
      <x:c r="K679" s="16" t="n">
        <x:v>0.75</x:v>
      </x:c>
      <x:c r="L679" s="12" t="str">
        <x:v>LSA similarity cluster; human review pending</x:v>
      </x:c>
      <x:c r="M679" s="12" t="str">
        <x:v>Section: 9.3 Key Findings and Recommendations; table row 9</x:v>
      </x:c>
      <x:c r="N679" s="12" t="str"/>
      <x:c r="O679" s="12" t="str">
        <x:v>No</x:v>
      </x:c>
      <x:c r="P679" s="12" t="str">
        <x:v>No</x:v>
      </x:c>
      <x:c r="Q679" s="12"/>
      <x:c r="R679" s="12"/>
    </x:row>
    <x:row r="680">
      <x:c r="A680" s="12" t="str">
        <x:v>EVD-00679</x:v>
      </x:c>
      <x:c r="B680" s="12" t="str">
        <x:v>NEED-0196</x:v>
      </x:c>
      <x:c r="C680" s="12" t="str">
        <x:v>SRC-0002</x:v>
      </x:c>
      <x:c r="D680" s="12" t="str">
        <x:v>Many questioned these being word docs Writable PDF maybe could be an option instead? They were tolerable but the primary area of discontent was that it’s hard to click to activate answer area. Many had trouble figuring out where to click to fill in answers. Some commented that shading the answer cells would make it more obvious where to click and start typing. For some, data citation fields could only be navigated using arrow keys. Guidance on how long answers can/should be would be helpful. Some found confusion with spatial and temporal questions; Addition of example-answers could help for units/values expected. Make example, completed submission forms available that DPs could use as references. Data Product Description/Description of Update fields should clarify this is asking for highlights, and that uploading complete documentation is available when uploading completed form.</x:v>
      </x:c>
      <x:c r="E680" s="12" t="str">
        <x:v>Many questioned these being word docs Writable PDF maybe could be an option instead? They were tolerable but the primary area of discontent was that it’s hard to click to activate answer area. Many had trouble figuring out where to click to fill in answers. Some commented that shading the answer cells would make it more obvious where to click and start typing. For some, data citation fields could only be navigated using arrow keys. Guidance on how long answers can/should be would be helpful. Some found confusion with spatial and temporal questions; Addition of example-answers could help for units/values expected. Make example, completed submission forms available that DPs could use as references. Data Product Description/Description of Update fields should clarify this is asking for highlights, and that uploading complete documentation is available when uploading completed form.</x:v>
      </x:c>
      <x:c r="F680" s="12" t="str">
        <x:v>Recommendation</x:v>
      </x:c>
      <x:c r="G680" s="12" t="str">
        <x:v>NSIDC DAAC User Working Group</x:v>
      </x:c>
      <x:c r="H680" s="12" t="n">
        <x:v>2022</x:v>
      </x:c>
      <x:c r="I680" s="12" t="str">
        <x:v>Data producers and mission teams</x:v>
      </x:c>
      <x:c r="J680" s="12" t="str">
        <x:v>High</x:v>
      </x:c>
      <x:c r="K680" s="16" t="n">
        <x:v>0.75</x:v>
      </x:c>
      <x:c r="L680" s="12" t="str">
        <x:v>LSA similarity cluster; human review pending</x:v>
      </x:c>
      <x:c r="M680" s="12" t="str">
        <x:v>Section: 9.3 Key Findings and Recommendations; table row 4</x:v>
      </x:c>
      <x:c r="N680" s="12" t="str"/>
      <x:c r="O680" s="12" t="str">
        <x:v>No</x:v>
      </x:c>
      <x:c r="P680" s="12" t="str">
        <x:v>No</x:v>
      </x:c>
      <x:c r="Q680" s="12"/>
      <x:c r="R680" s="12"/>
    </x:row>
    <x:row r="681">
      <x:c r="A681" s="12" t="str">
        <x:v>EVD-00680</x:v>
      </x:c>
      <x:c r="B681" s="12" t="str">
        <x:v>NEED-0131</x:v>
      </x:c>
      <x:c r="C681" s="12" t="str">
        <x:v>SRC-0002</x:v>
      </x:c>
      <x:c r="D681" s="12" t="str">
        <x:v>Reorganized and refined content – from 28,000+ pages to under 7,000 pages.</x:v>
      </x:c>
      <x:c r="E681" s="12" t="str">
        <x:v>Reorganized and refined content – from 28,000+ pages to under 7,000 pages.</x:v>
      </x:c>
      <x:c r="F681" s="12" t="str">
        <x:v>Recommendation</x:v>
      </x:c>
      <x:c r="G681" s="12" t="str">
        <x:v>NSIDC DAAC User Working Group</x:v>
      </x:c>
      <x:c r="H681" s="12" t="n">
        <x:v>2022</x:v>
      </x:c>
      <x:c r="I681" s="12" t="str">
        <x:v>Earthdata users</x:v>
      </x:c>
      <x:c r="J681" s="12" t="str">
        <x:v>Medium</x:v>
      </x:c>
      <x:c r="K681" s="16" t="n">
        <x:v>0.75</x:v>
      </x:c>
      <x:c r="L681" s="12" t="str">
        <x:v>LSA similarity cluster; human review pending</x:v>
      </x:c>
      <x:c r="M681" s="12" t="str">
        <x:v>Section: 9.3 Key Findings and Recommendations</x:v>
      </x:c>
      <x:c r="N681" s="12" t="str"/>
      <x:c r="O681" s="12" t="str">
        <x:v>No</x:v>
      </x:c>
      <x:c r="P681" s="12" t="str">
        <x:v>No</x:v>
      </x:c>
      <x:c r="Q681" s="12"/>
      <x:c r="R681" s="12"/>
    </x:row>
    <x:row r="682">
      <x:c r="A682" s="12" t="str">
        <x:v>EVD-00681</x:v>
      </x:c>
      <x:c r="B682" s="12" t="str">
        <x:v>NEED-0061</x:v>
      </x:c>
      <x:c r="C682" s="12" t="str">
        <x:v>SRC-0002</x:v>
      </x:c>
      <x:c r="D682" s="12" t="str">
        <x:v>New features – dynamic tool/service catalogues using CMR, explore data pages, user Get Started with Data section.</x:v>
      </x:c>
      <x:c r="E682" s="12" t="str">
        <x:v>New features – dynamic tool/service catalogues using CMR, explore data pages, user Get Started with Data section.</x:v>
      </x:c>
      <x:c r="F682" s="12" t="str">
        <x:v>Recommendation</x:v>
      </x:c>
      <x:c r="G682" s="12" t="str">
        <x:v>NSIDC DAAC User Working Group</x:v>
      </x:c>
      <x:c r="H682" s="12" t="n">
        <x:v>2022</x:v>
      </x:c>
      <x:c r="I682" s="12" t="str">
        <x:v>Earthdata users</x:v>
      </x:c>
      <x:c r="J682" s="12" t="str">
        <x:v>Medium</x:v>
      </x:c>
      <x:c r="K682" s="16" t="n">
        <x:v>0.75</x:v>
      </x:c>
      <x:c r="L682" s="12" t="str">
        <x:v>LSA similarity cluster; human review pending</x:v>
      </x:c>
      <x:c r="M682" s="12" t="str">
        <x:v>Section: 9.3 Key Findings and Recommendations</x:v>
      </x:c>
      <x:c r="N682" s="12" t="str"/>
      <x:c r="O682" s="12" t="str">
        <x:v>No</x:v>
      </x:c>
      <x:c r="P682" s="12" t="str">
        <x:v>No</x:v>
      </x:c>
      <x:c r="Q682" s="12"/>
      <x:c r="R682" s="12"/>
    </x:row>
    <x:row r="683">
      <x:c r="A683" s="12" t="str">
        <x:v>EVD-00682</x:v>
      </x:c>
      <x:c r="B683" s="12" t="str">
        <x:v>NEED-0055</x:v>
      </x:c>
      <x:c r="C683" s="12" t="str">
        <x:v>SRC-0002</x:v>
      </x:c>
      <x:c r="D683" s="12" t="str">
        <x:v>Increased discovery and science enabling pathways – Content to attract a broad audience and intuitive workflows data discovery, data access, and working with DAAC data.</x:v>
      </x:c>
      <x:c r="E683" s="12" t="str">
        <x:v>Increased discovery and science enabling pathways – Content to attract a broad audience and intuitive workflows data discovery, data access, and working with DAAC data.</x:v>
      </x:c>
      <x:c r="F683" s="12" t="str">
        <x:v>Recommendation</x:v>
      </x:c>
      <x:c r="G683" s="12" t="str">
        <x:v>NSIDC DAAC User Working Group</x:v>
      </x:c>
      <x:c r="H683" s="12" t="n">
        <x:v>2022</x:v>
      </x:c>
      <x:c r="I683" s="12" t="str">
        <x:v>Earthdata users</x:v>
      </x:c>
      <x:c r="J683" s="12" t="str">
        <x:v>Medium</x:v>
      </x:c>
      <x:c r="K683" s="16" t="n">
        <x:v>0.75</x:v>
      </x:c>
      <x:c r="L683" s="12" t="str">
        <x:v>LSA similarity cluster; human review pending</x:v>
      </x:c>
      <x:c r="M683" s="12" t="str">
        <x:v>Section: 9.3 Key Findings and Recommendations</x:v>
      </x:c>
      <x:c r="N683" s="12" t="str"/>
      <x:c r="O683" s="12" t="str">
        <x:v>No</x:v>
      </x:c>
      <x:c r="P683" s="12" t="str">
        <x:v>No</x:v>
      </x:c>
      <x:c r="Q683" s="12"/>
      <x:c r="R683" s="12"/>
    </x:row>
    <x:row r="684">
      <x:c r="A684" s="12" t="str">
        <x:v>EVD-00683</x:v>
      </x:c>
      <x:c r="B684" s="12" t="str">
        <x:v>NEED-0215</x:v>
      </x:c>
      <x:c r="C684" s="12" t="str">
        <x:v>SRC-0002</x:v>
      </x:c>
      <x:c r="D684" s="12" t="str">
        <x:v>Highlighted the UWG feedback and testing which directly inform the content and workflows of the new site.</x:v>
      </x:c>
      <x:c r="E684" s="12" t="str">
        <x:v>Highlighted the UWG feedback and testing which directly inform the content and workflows of the new site.</x:v>
      </x:c>
      <x:c r="F684" s="12" t="str">
        <x:v>Recommendation</x:v>
      </x:c>
      <x:c r="G684" s="12" t="str">
        <x:v>NSIDC DAAC User Working Group</x:v>
      </x:c>
      <x:c r="H684" s="12" t="n">
        <x:v>2022</x:v>
      </x:c>
      <x:c r="I684" s="12" t="str">
        <x:v>Earthdata users</x:v>
      </x:c>
      <x:c r="J684" s="12" t="str">
        <x:v>Medium</x:v>
      </x:c>
      <x:c r="K684" s="16" t="n">
        <x:v>0.75</x:v>
      </x:c>
      <x:c r="L684" s="12" t="str">
        <x:v>LSA similarity cluster; human review pending</x:v>
      </x:c>
      <x:c r="M684" s="12" t="str">
        <x:v>Section: 9.3 Key Findings and Recommendations</x:v>
      </x:c>
      <x:c r="N684" s="12" t="str"/>
      <x:c r="O684" s="12" t="str">
        <x:v>No</x:v>
      </x:c>
      <x:c r="P684" s="12" t="str">
        <x:v>No</x:v>
      </x:c>
      <x:c r="Q684" s="12"/>
      <x:c r="R684" s="12"/>
    </x:row>
    <x:row r="685">
      <x:c r="A685" s="12" t="str">
        <x:v>EVD-00684</x:v>
      </x:c>
      <x:c r="B685" s="12" t="str">
        <x:v>NEED-0131</x:v>
      </x:c>
      <x:c r="C685" s="12" t="str">
        <x:v>SRC-0002</x:v>
      </x:c>
      <x:c r="D685" s="12" t="str">
        <x:v>Strengths and Limitations content</x:v>
      </x:c>
      <x:c r="E685" s="12" t="str">
        <x:v>Strengths and Limitations content</x:v>
      </x:c>
      <x:c r="F685" s="12" t="str">
        <x:v>Recommendation</x:v>
      </x:c>
      <x:c r="G685" s="12" t="str">
        <x:v>NSIDC DAAC User Working Group</x:v>
      </x:c>
      <x:c r="H685" s="12" t="n">
        <x:v>2022</x:v>
      </x:c>
      <x:c r="I685" s="12" t="str">
        <x:v>Earthdata users</x:v>
      </x:c>
      <x:c r="J685" s="12" t="str">
        <x:v>Medium</x:v>
      </x:c>
      <x:c r="K685" s="16" t="n">
        <x:v>0.75</x:v>
      </x:c>
      <x:c r="L685" s="12" t="str">
        <x:v>LSA similarity cluster; human review pending</x:v>
      </x:c>
      <x:c r="M685" s="12" t="str">
        <x:v>Section: 9.3 Key Findings and Recommendations</x:v>
      </x:c>
      <x:c r="N685" s="12" t="str"/>
      <x:c r="O685" s="12" t="str">
        <x:v>No</x:v>
      </x:c>
      <x:c r="P685" s="12" t="str">
        <x:v>No</x:v>
      </x:c>
      <x:c r="Q685" s="12"/>
      <x:c r="R685" s="12"/>
    </x:row>
    <x:row r="686">
      <x:c r="A686" s="12" t="str">
        <x:v>EVD-00685</x:v>
      </x:c>
      <x:c r="B686" s="12" t="str">
        <x:v>NEED-0131</x:v>
      </x:c>
      <x:c r="C686" s="12" t="str">
        <x:v>SRC-0002</x:v>
      </x:c>
      <x:c r="D686" s="12" t="str">
        <x:v>Tree testing of content organization options</x:v>
      </x:c>
      <x:c r="E686" s="12" t="str">
        <x:v>Tree testing of content organization options</x:v>
      </x:c>
      <x:c r="F686" s="12" t="str">
        <x:v>Recommendation</x:v>
      </x:c>
      <x:c r="G686" s="12" t="str">
        <x:v>NSIDC DAAC User Working Group</x:v>
      </x:c>
      <x:c r="H686" s="12" t="n">
        <x:v>2022</x:v>
      </x:c>
      <x:c r="I686" s="12" t="str">
        <x:v>Earthdata users</x:v>
      </x:c>
      <x:c r="J686" s="12" t="str">
        <x:v>Medium</x:v>
      </x:c>
      <x:c r="K686" s="16" t="n">
        <x:v>0.75</x:v>
      </x:c>
      <x:c r="L686" s="12" t="str">
        <x:v>LSA similarity cluster; human review pending</x:v>
      </x:c>
      <x:c r="M686" s="12" t="str">
        <x:v>Section: 9.3 Key Findings and Recommendations</x:v>
      </x:c>
      <x:c r="N686" s="12" t="str"/>
      <x:c r="O686" s="12" t="str">
        <x:v>No</x:v>
      </x:c>
      <x:c r="P686" s="12" t="str">
        <x:v>No</x:v>
      </x:c>
      <x:c r="Q686" s="12"/>
      <x:c r="R686" s="12"/>
    </x:row>
    <x:row r="687">
      <x:c r="A687" s="12" t="str">
        <x:v>EVD-00686</x:v>
      </x:c>
      <x:c r="B687" s="12" t="str">
        <x:v>NEED-0131</x:v>
      </x:c>
      <x:c r="C687" s="12" t="str">
        <x:v>SRC-0002</x:v>
      </x:c>
      <x:c r="D687" s="12" t="str">
        <x:v>Recommendations for data collection and data set landing pages</x:v>
      </x:c>
      <x:c r="E687" s="12" t="str">
        <x:v>Recommendations for data collection and data set landing pages</x:v>
      </x:c>
      <x:c r="F687" s="12" t="str">
        <x:v>Recommendation</x:v>
      </x:c>
      <x:c r="G687" s="12" t="str">
        <x:v>NSIDC DAAC User Working Group</x:v>
      </x:c>
      <x:c r="H687" s="12" t="n">
        <x:v>2022</x:v>
      </x:c>
      <x:c r="I687" s="12" t="str">
        <x:v>Earthdata users</x:v>
      </x:c>
      <x:c r="J687" s="12" t="str">
        <x:v>Low</x:v>
      </x:c>
      <x:c r="K687" s="16" t="n">
        <x:v>0.75</x:v>
      </x:c>
      <x:c r="L687" s="12" t="str">
        <x:v>LSA similarity cluster; human review pending</x:v>
      </x:c>
      <x:c r="M687" s="12" t="str">
        <x:v>Section: 9.3 Key Findings and Recommendations</x:v>
      </x:c>
      <x:c r="N687" s="12" t="str"/>
      <x:c r="O687" s="12" t="str">
        <x:v>No</x:v>
      </x:c>
      <x:c r="P687" s="12" t="str">
        <x:v>No</x:v>
      </x:c>
      <x:c r="Q687" s="12"/>
      <x:c r="R687" s="12"/>
    </x:row>
    <x:row r="688">
      <x:c r="A688" s="12" t="str">
        <x:v>EVD-00687</x:v>
      </x:c>
      <x:c r="B688" s="12" t="str">
        <x:v>NEED-0123</x:v>
      </x:c>
      <x:c r="C688" s="12" t="str">
        <x:v>SRC-0002</x:v>
      </x:c>
      <x:c r="D688" s="12" t="str">
        <x:v>UWG members stated it was great to see this come together after years of development.</x:v>
      </x:c>
      <x:c r="E688" s="12" t="str">
        <x:v>UWG members stated it was great to see this come together after years of development.</x:v>
      </x:c>
      <x:c r="F688" s="12" t="str">
        <x:v>Recommendation</x:v>
      </x:c>
      <x:c r="G688" s="12" t="str">
        <x:v>NSIDC DAAC User Working Group</x:v>
      </x:c>
      <x:c r="H688" s="12" t="n">
        <x:v>2022</x:v>
      </x:c>
      <x:c r="I688" s="12" t="str">
        <x:v>Earthdata users</x:v>
      </x:c>
      <x:c r="J688" s="12" t="str">
        <x:v>Medium</x:v>
      </x:c>
      <x:c r="K688" s="16" t="n">
        <x:v>0.75</x:v>
      </x:c>
      <x:c r="L688" s="12" t="str">
        <x:v>LSA similarity cluster; human review pending</x:v>
      </x:c>
      <x:c r="M688" s="12" t="str">
        <x:v>Section: 9.3 Key Findings and Recommendations</x:v>
      </x:c>
      <x:c r="N688" s="12" t="str"/>
      <x:c r="O688" s="12" t="str">
        <x:v>No</x:v>
      </x:c>
      <x:c r="P688" s="12" t="str">
        <x:v>No</x:v>
      </x:c>
      <x:c r="Q688" s="12"/>
      <x:c r="R688" s="12"/>
    </x:row>
    <x:row r="689">
      <x:c r="A689" s="12" t="str">
        <x:v>EVD-00688</x:v>
      </x:c>
      <x:c r="B689" s="12" t="str">
        <x:v>NEED-0133</x:v>
      </x:c>
      <x:c r="C689" s="12" t="str">
        <x:v>SRC-0002</x:v>
      </x:c>
      <x:c r="D689" s="12" t="str">
        <x:v>Develop an actionable list of challenges identified during the UWG Lightning talks and begin to address them.</x:v>
      </x:c>
      <x:c r="E689" s="12" t="str">
        <x:v>Develop an actionable list of challenges identified during the UWG Lightning talks and begin to address them.</x:v>
      </x:c>
      <x:c r="F689" s="12" t="str">
        <x:v>Action</x:v>
      </x:c>
      <x:c r="G689" s="12" t="str">
        <x:v>NSIDC DAAC User Working Group</x:v>
      </x:c>
      <x:c r="H689" s="12" t="n">
        <x:v>2022</x:v>
      </x:c>
      <x:c r="I689" s="12" t="str">
        <x:v>Earthdata users</x:v>
      </x:c>
      <x:c r="J689" s="12" t="str">
        <x:v>High</x:v>
      </x:c>
      <x:c r="K689" s="16" t="n">
        <x:v>0.75</x:v>
      </x:c>
      <x:c r="L689" s="12" t="str">
        <x:v>LSA similarity cluster; human review pending</x:v>
      </x:c>
      <x:c r="M689" s="12" t="str">
        <x:v>Section: 9.4 Key Actions</x:v>
      </x:c>
      <x:c r="N689" s="12" t="str"/>
      <x:c r="O689" s="12" t="str">
        <x:v>No</x:v>
      </x:c>
      <x:c r="P689" s="12" t="str">
        <x:v>No</x:v>
      </x:c>
      <x:c r="Q689" s="12"/>
      <x:c r="R689" s="12"/>
    </x:row>
    <x:row r="690">
      <x:c r="A690" s="12" t="str">
        <x:v>EVD-00689</x:v>
      </x:c>
      <x:c r="B690" s="12" t="str">
        <x:v>NEED-0017</x:v>
      </x:c>
      <x:c r="C690" s="12" t="str">
        <x:v>SRC-0002</x:v>
      </x:c>
      <x:c r="D690" s="12" t="str">
        <x:v>The NSIDC DAAC will continue efforts start in FY2023 to provide UWG members with hands-on experience using data in the Earthdata Cloud. This work will leverage Openscapes and other DAAC resources. The DAAC will collection UWG feedback to inform Openscapes and DAAC resource improvements.</x:v>
      </x:c>
      <x:c r="E690" s="12" t="str">
        <x:v>The NSIDC DAAC will continue efforts start in FY2023 to provide UWG members with hands-on experience using data in the Earthdata Cloud. This work will leverage Openscapes and other DAAC resources. The DAAC will collection UWG feedback to inform Openscapes and DAAC resource improvements.</x:v>
      </x:c>
      <x:c r="F690" s="12" t="str">
        <x:v>Action</x:v>
      </x:c>
      <x:c r="G690" s="12" t="str">
        <x:v>NSIDC DAAC User Working Group</x:v>
      </x:c>
      <x:c r="H690" s="12" t="n">
        <x:v>2022</x:v>
      </x:c>
      <x:c r="I690" s="12" t="str">
        <x:v>Cloud-native researchers</x:v>
      </x:c>
      <x:c r="J690" s="12" t="str">
        <x:v>High</x:v>
      </x:c>
      <x:c r="K690" s="16" t="n">
        <x:v>0.75</x:v>
      </x:c>
      <x:c r="L690" s="12" t="str">
        <x:v>LSA similarity cluster; human review pending</x:v>
      </x:c>
      <x:c r="M690" s="12" t="str">
        <x:v>Section: 9.4 Key Actions</x:v>
      </x:c>
      <x:c r="N690" s="12" t="str"/>
      <x:c r="O690" s="12" t="str">
        <x:v>No</x:v>
      </x:c>
      <x:c r="P690" s="12" t="str">
        <x:v>No</x:v>
      </x:c>
      <x:c r="Q690" s="12"/>
      <x:c r="R690" s="12"/>
    </x:row>
    <x:row r="691">
      <x:c r="A691" s="12" t="str">
        <x:v>EVD-00690</x:v>
      </x:c>
      <x:c r="B691" s="12" t="str">
        <x:v>NEED-0019</x:v>
      </x:c>
      <x:c r="C691" s="12" t="str">
        <x:v>SRC-0002</x:v>
      </x:c>
      <x:c r="D691" s="12" t="str">
        <x:v>The DAAC will continue to engage in EOSDIS-wide discussions and evaluations of cloud-optimized formats.</x:v>
      </x:c>
      <x:c r="E691" s="12" t="str">
        <x:v>The DAAC will continue to engage in EOSDIS-wide discussions and evaluations of cloud-optimized formats.</x:v>
      </x:c>
      <x:c r="F691" s="12" t="str">
        <x:v>Action</x:v>
      </x:c>
      <x:c r="G691" s="12" t="str">
        <x:v>NSIDC DAAC User Working Group</x:v>
      </x:c>
      <x:c r="H691" s="12" t="n">
        <x:v>2022</x:v>
      </x:c>
      <x:c r="I691" s="12" t="str">
        <x:v>Cloud-native researchers</x:v>
      </x:c>
      <x:c r="J691" s="12" t="str">
        <x:v>High</x:v>
      </x:c>
      <x:c r="K691" s="16" t="n">
        <x:v>0.75</x:v>
      </x:c>
      <x:c r="L691" s="12" t="str">
        <x:v>LSA similarity cluster; human review pending</x:v>
      </x:c>
      <x:c r="M691" s="12" t="str">
        <x:v>Section: 9.4 Key Actions</x:v>
      </x:c>
      <x:c r="N691" s="12" t="str"/>
      <x:c r="O691" s="12" t="str">
        <x:v>No</x:v>
      </x:c>
      <x:c r="P691" s="12" t="str">
        <x:v>No</x:v>
      </x:c>
      <x:c r="Q691" s="12"/>
      <x:c r="R691" s="12"/>
    </x:row>
    <x:row r="692">
      <x:c r="A692" s="12" t="str">
        <x:v>EVD-00691</x:v>
      </x:c>
      <x:c r="B692" s="12" t="str">
        <x:v>NEED-0188</x:v>
      </x:c>
      <x:c r="C692" s="12" t="str">
        <x:v>SRC-0002</x:v>
      </x:c>
      <x:c r="D692" s="12" t="str">
        <x:v>The DAAC will perform an evaluation of formats for ICESat-2 data in FY2023. This will include evaluating the optimized format conversion options available through EOSDIS Harmony services.</x:v>
      </x:c>
      <x:c r="E692" s="12" t="str">
        <x:v>The DAAC will perform an evaluation of formats for ICESat-2 data in FY2023. This will include evaluating the optimized format conversion options available through EOSDIS Harmony services.</x:v>
      </x:c>
      <x:c r="F692" s="12" t="str">
        <x:v>Action</x:v>
      </x:c>
      <x:c r="G692" s="12" t="str">
        <x:v>NSIDC DAAC User Working Group</x:v>
      </x:c>
      <x:c r="H692" s="12" t="n">
        <x:v>2022</x:v>
      </x:c>
      <x:c r="I692" s="12" t="str">
        <x:v>Earthdata users</x:v>
      </x:c>
      <x:c r="J692" s="12" t="str">
        <x:v>Medium</x:v>
      </x:c>
      <x:c r="K692" s="16" t="n">
        <x:v>0.75</x:v>
      </x:c>
      <x:c r="L692" s="12" t="str">
        <x:v>LSA similarity cluster; human review pending</x:v>
      </x:c>
      <x:c r="M692" s="12" t="str">
        <x:v>Section: 9.4 Key Actions</x:v>
      </x:c>
      <x:c r="N692" s="12" t="str"/>
      <x:c r="O692" s="12" t="str">
        <x:v>No</x:v>
      </x:c>
      <x:c r="P692" s="12" t="str">
        <x:v>No</x:v>
      </x:c>
      <x:c r="Q692" s="12"/>
      <x:c r="R692" s="12"/>
    </x:row>
    <x:row r="693">
      <x:c r="A693" s="12" t="str">
        <x:v>EVD-00692</x:v>
      </x:c>
      <x:c r="B693" s="12" t="str">
        <x:v>NEED-0019</x:v>
      </x:c>
      <x:c r="C693" s="12" t="str">
        <x:v>SRC-0002</x:v>
      </x:c>
      <x:c r="D693" s="12" t="str">
        <x:v>The DAAC will develop general guidance for data producers inquiring about providing cloud optimized formats.</x:v>
      </x:c>
      <x:c r="E693" s="12" t="str">
        <x:v>The DAAC will develop general guidance for data producers inquiring about providing cloud optimized formats.</x:v>
      </x:c>
      <x:c r="F693" s="12" t="str">
        <x:v>Action</x:v>
      </x:c>
      <x:c r="G693" s="12" t="str">
        <x:v>NSIDC DAAC User Working Group</x:v>
      </x:c>
      <x:c r="H693" s="12" t="n">
        <x:v>2022</x:v>
      </x:c>
      <x:c r="I693" s="12" t="str">
        <x:v>Cloud-native researchers; Data producers and mission teams</x:v>
      </x:c>
      <x:c r="J693" s="12" t="str">
        <x:v>High</x:v>
      </x:c>
      <x:c r="K693" s="16" t="n">
        <x:v>0.75</x:v>
      </x:c>
      <x:c r="L693" s="12" t="str">
        <x:v>LSA similarity cluster; human review pending</x:v>
      </x:c>
      <x:c r="M693" s="12" t="str">
        <x:v>Section: 9.4 Key Actions</x:v>
      </x:c>
      <x:c r="N693" s="12" t="str"/>
      <x:c r="O693" s="12" t="str">
        <x:v>No</x:v>
      </x:c>
      <x:c r="P693" s="12" t="str">
        <x:v>No</x:v>
      </x:c>
      <x:c r="Q693" s="12"/>
      <x:c r="R693" s="12"/>
    </x:row>
    <x:row r="694">
      <x:c r="A694" s="12" t="str">
        <x:v>EVD-00693</x:v>
      </x:c>
      <x:c r="B694" s="12" t="str">
        <x:v>NEED-0133</x:v>
      </x:c>
      <x:c r="C694" s="12" t="str">
        <x:v>SRC-0002</x:v>
      </x:c>
      <x:c r="D694" s="12" t="str">
        <x:v>The DAAC will work with ESDIS and the EOSDIS User Needs group to address the question of should there be centralized repositories for DAAC/ESDIS resources.</x:v>
      </x:c>
      <x:c r="E694" s="12" t="str">
        <x:v>The DAAC will work with ESDIS and the EOSDIS User Needs group to address the question of should there be centralized repositories for DAAC/ESDIS resources.</x:v>
      </x:c>
      <x:c r="F694" s="12" t="str">
        <x:v>Action</x:v>
      </x:c>
      <x:c r="G694" s="12" t="str">
        <x:v>NSIDC DAAC User Working Group</x:v>
      </x:c>
      <x:c r="H694" s="12" t="n">
        <x:v>2022</x:v>
      </x:c>
      <x:c r="I694" s="12" t="str">
        <x:v>Earthdata users</x:v>
      </x:c>
      <x:c r="J694" s="12" t="str">
        <x:v>High</x:v>
      </x:c>
      <x:c r="K694" s="16" t="n">
        <x:v>0.75</x:v>
      </x:c>
      <x:c r="L694" s="12" t="str">
        <x:v>LSA similarity cluster; human review pending</x:v>
      </x:c>
      <x:c r="M694" s="12" t="str">
        <x:v>Section: 9.4 Key Actions</x:v>
      </x:c>
      <x:c r="N694" s="12" t="str"/>
      <x:c r="O694" s="12" t="str">
        <x:v>No</x:v>
      </x:c>
      <x:c r="P694" s="12" t="str">
        <x:v>No</x:v>
      </x:c>
      <x:c r="Q694" s="12"/>
      <x:c r="R694" s="12"/>
    </x:row>
    <x:row r="695">
      <x:c r="A695" s="12" t="str">
        <x:v>EVD-00694</x:v>
      </x:c>
      <x:c r="B695" s="12" t="str">
        <x:v>NEED-0133</x:v>
      </x:c>
      <x:c r="C695" s="12" t="str">
        <x:v>SRC-0002</x:v>
      </x:c>
      <x:c r="D695" s="12" t="str">
        <x:v>The DAAC will continue to identify and link to available resources (e.g., GitHub repositories).</x:v>
      </x:c>
      <x:c r="E695" s="12" t="str">
        <x:v>The DAAC will continue to identify and link to available resources (e.g., GitHub repositories).</x:v>
      </x:c>
      <x:c r="F695" s="12" t="str">
        <x:v>Action</x:v>
      </x:c>
      <x:c r="G695" s="12" t="str">
        <x:v>NSIDC DAAC User Working Group</x:v>
      </x:c>
      <x:c r="H695" s="12" t="n">
        <x:v>2022</x:v>
      </x:c>
      <x:c r="I695" s="12" t="str">
        <x:v>Application developers</x:v>
      </x:c>
      <x:c r="J695" s="12" t="str">
        <x:v>High</x:v>
      </x:c>
      <x:c r="K695" s="16" t="n">
        <x:v>0.75</x:v>
      </x:c>
      <x:c r="L695" s="12" t="str">
        <x:v>LSA similarity cluster; human review pending</x:v>
      </x:c>
      <x:c r="M695" s="12" t="str">
        <x:v>Section: 9.4 Key Actions</x:v>
      </x:c>
      <x:c r="N695" s="12" t="str"/>
      <x:c r="O695" s="12" t="str">
        <x:v>No</x:v>
      </x:c>
      <x:c r="P695" s="12" t="str">
        <x:v>No</x:v>
      </x:c>
      <x:c r="Q695" s="12"/>
      <x:c r="R695" s="12"/>
    </x:row>
    <x:row r="696">
      <x:c r="A696" s="12" t="str">
        <x:v>EVD-00695</x:v>
      </x:c>
      <x:c r="B696" s="12" t="str">
        <x:v>NEED-0073</x:v>
      </x:c>
      <x:c r="C696" s="12" t="str">
        <x:v>SRC-0002</x:v>
      </x:c>
      <x:c r="D696" s="12" t="str">
        <x:v>The DAAC will participate in the NASA TOPS program and will provide updates and information to the UWG.</x:v>
      </x:c>
      <x:c r="E696" s="12" t="str">
        <x:v>The DAAC will participate in the NASA TOPS program and will provide updates and information to the UWG.</x:v>
      </x:c>
      <x:c r="F696" s="12" t="str">
        <x:v>Action</x:v>
      </x:c>
      <x:c r="G696" s="12" t="str">
        <x:v>NSIDC DAAC User Working Group</x:v>
      </x:c>
      <x:c r="H696" s="12" t="n">
        <x:v>2022</x:v>
      </x:c>
      <x:c r="I696" s="12" t="str">
        <x:v>Earthdata users</x:v>
      </x:c>
      <x:c r="J696" s="12" t="str">
        <x:v>High</x:v>
      </x:c>
      <x:c r="K696" s="16" t="n">
        <x:v>0.75</x:v>
      </x:c>
      <x:c r="L696" s="12" t="str">
        <x:v>LSA similarity cluster; human review pending</x:v>
      </x:c>
      <x:c r="M696" s="12" t="str">
        <x:v>Section: 9.4 Key Actions</x:v>
      </x:c>
      <x:c r="N696" s="12" t="str"/>
      <x:c r="O696" s="12" t="str">
        <x:v>No</x:v>
      </x:c>
      <x:c r="P696" s="12" t="str">
        <x:v>No</x:v>
      </x:c>
      <x:c r="Q696" s="12"/>
      <x:c r="R696" s="12"/>
    </x:row>
    <x:row r="697">
      <x:c r="A697" s="12" t="str">
        <x:v>EVD-00696</x:v>
      </x:c>
      <x:c r="B697" s="12" t="str">
        <x:v>NEED-0007</x:v>
      </x:c>
      <x:c r="C697" s="12" t="str">
        <x:v>SRC-0002</x:v>
      </x:c>
      <x:c r="D697" s="12" t="str">
        <x:v>Using ITS_LIVE as a use case, the DAAC will identify the data stewardship questions associated with research project outputs going beyond traditional data (netCDF, HDF) to include cloud-based data analysis services and cloud-optimized data formats. The DAAC will engage with ESDIS to evaluate and address the questions.</x:v>
      </x:c>
      <x:c r="E697" s="12" t="str">
        <x:v>Using ITS_LIVE as a use case, the DAAC will identify the data stewardship questions associated with research project outputs going beyond traditional data (netCDF, HDF) to include cloud-based data analysis services and cloud-optimized data formats. The DAAC will engage with ESDIS to evaluate and address the questions.</x:v>
      </x:c>
      <x:c r="F697" s="12" t="str">
        <x:v>Action</x:v>
      </x:c>
      <x:c r="G697" s="12" t="str">
        <x:v>NSIDC DAAC User Working Group</x:v>
      </x:c>
      <x:c r="H697" s="12" t="n">
        <x:v>2022</x:v>
      </x:c>
      <x:c r="I697" s="12" t="str">
        <x:v>Cloud-native researchers; Earth science researchers</x:v>
      </x:c>
      <x:c r="J697" s="12" t="str">
        <x:v>Medium</x:v>
      </x:c>
      <x:c r="K697" s="16" t="n">
        <x:v>0.75</x:v>
      </x:c>
      <x:c r="L697" s="12" t="str">
        <x:v>LSA similarity cluster; human review pending</x:v>
      </x:c>
      <x:c r="M697" s="12" t="str">
        <x:v>Section: 9.4 Key Actions</x:v>
      </x:c>
      <x:c r="N697" s="12" t="str"/>
      <x:c r="O697" s="12" t="str">
        <x:v>No</x:v>
      </x:c>
      <x:c r="P697" s="12" t="str">
        <x:v>No</x:v>
      </x:c>
      <x:c r="Q697" s="12"/>
      <x:c r="R697" s="12"/>
    </x:row>
    <x:row r="698">
      <x:c r="A698" s="12" t="str">
        <x:v>EVD-00697</x:v>
      </x:c>
      <x:c r="B698" s="12" t="str">
        <x:v>NEED-0052</x:v>
      </x:c>
      <x:c r="C698" s="12" t="str">
        <x:v>SRC-0002</x:v>
      </x:c>
      <x:c r="D698" s="12" t="str">
        <x:v>The DAAC will prioritize and implement recommendations from the Resources for Data Creation, Metadata Creation, and Data Transfers session.</x:v>
      </x:c>
      <x:c r="E698" s="12" t="str">
        <x:v>The DAAC will prioritize and implement recommendations from the Resources for Data Creation, Metadata Creation, and Data Transfers session.</x:v>
      </x:c>
      <x:c r="F698" s="12" t="str">
        <x:v>Action</x:v>
      </x:c>
      <x:c r="G698" s="12" t="str">
        <x:v>NSIDC DAAC User Working Group</x:v>
      </x:c>
      <x:c r="H698" s="12" t="n">
        <x:v>2022</x:v>
      </x:c>
      <x:c r="I698" s="12" t="str">
        <x:v>Earthdata users</x:v>
      </x:c>
      <x:c r="J698" s="12" t="str">
        <x:v>Low</x:v>
      </x:c>
      <x:c r="K698" s="16" t="n">
        <x:v>0.75</x:v>
      </x:c>
      <x:c r="L698" s="12" t="str">
        <x:v>LSA similarity cluster; human review pending</x:v>
      </x:c>
      <x:c r="M698" s="12" t="str">
        <x:v>Section: 9.4 Key Actions</x:v>
      </x:c>
      <x:c r="N698" s="12" t="str"/>
      <x:c r="O698" s="12" t="str">
        <x:v>No</x:v>
      </x:c>
      <x:c r="P698" s="12" t="str">
        <x:v>No</x:v>
      </x:c>
      <x:c r="Q698" s="12"/>
      <x:c r="R698" s="12"/>
    </x:row>
    <x:row r="699">
      <x:c r="A699" s="12" t="str">
        <x:v>EVD-00698</x:v>
      </x:c>
      <x:c r="B699" s="12" t="str">
        <x:v>NEED-0127</x:v>
      </x:c>
      <x:c r="C699" s="12" t="str">
        <x:v>SRC-0002</x:v>
      </x:c>
      <x:c r="D699" s="12" t="str">
        <x:v>The DAAC will resolve issues identified during the hands-on testing of the Data Submission forms.</x:v>
      </x:c>
      <x:c r="E699" s="12" t="str">
        <x:v>The DAAC will resolve issues identified during the hands-on testing of the Data Submission forms.</x:v>
      </x:c>
      <x:c r="F699" s="12" t="str">
        <x:v>Action</x:v>
      </x:c>
      <x:c r="G699" s="12" t="str">
        <x:v>NSIDC DAAC User Working Group</x:v>
      </x:c>
      <x:c r="H699" s="12" t="n">
        <x:v>2022</x:v>
      </x:c>
      <x:c r="I699" s="12" t="str">
        <x:v>Data producers and mission teams</x:v>
      </x:c>
      <x:c r="J699" s="12" t="str">
        <x:v>Medium</x:v>
      </x:c>
      <x:c r="K699" s="16" t="n">
        <x:v>0.75</x:v>
      </x:c>
      <x:c r="L699" s="12" t="str">
        <x:v>LSA similarity cluster; human review pending</x:v>
      </x:c>
      <x:c r="M699" s="12" t="str">
        <x:v>Section: 9.4 Key Actions</x:v>
      </x:c>
      <x:c r="N699" s="12" t="str"/>
      <x:c r="O699" s="12" t="str">
        <x:v>No</x:v>
      </x:c>
      <x:c r="P699" s="12" t="str">
        <x:v>No</x:v>
      </x:c>
      <x:c r="Q699" s="12"/>
      <x:c r="R699" s="12"/>
    </x:row>
    <x:row r="700">
      <x:c r="A700" s="12" t="str">
        <x:v>EVD-00699</x:v>
      </x:c>
      <x:c r="B700" s="12" t="str">
        <x:v>NEED-0125</x:v>
      </x:c>
      <x:c r="C700" s="12" t="str">
        <x:v>SRC-0002</x:v>
      </x:c>
      <x:c r="D700" s="12" t="str">
        <x:v>The DAAC will prioritize and implement recommendations from the Submit Data Web Site and Publication Forms.</x:v>
      </x:c>
      <x:c r="E700" s="12" t="str">
        <x:v>The DAAC will prioritize and implement recommendations from the Submit Data Web Site and Publication Forms.</x:v>
      </x:c>
      <x:c r="F700" s="12" t="str">
        <x:v>Action</x:v>
      </x:c>
      <x:c r="G700" s="12" t="str">
        <x:v>NSIDC DAAC User Working Group</x:v>
      </x:c>
      <x:c r="H700" s="12" t="n">
        <x:v>2022</x:v>
      </x:c>
      <x:c r="I700" s="12" t="str">
        <x:v>Data producers and mission teams</x:v>
      </x:c>
      <x:c r="J700" s="12" t="str">
        <x:v>Low</x:v>
      </x:c>
      <x:c r="K700" s="16" t="n">
        <x:v>0.75</x:v>
      </x:c>
      <x:c r="L700" s="12" t="str">
        <x:v>LSA similarity cluster; human review pending</x:v>
      </x:c>
      <x:c r="M700" s="12" t="str">
        <x:v>Section: 9.4 Key Actions</x:v>
      </x:c>
      <x:c r="N700" s="12" t="str"/>
      <x:c r="O700" s="12" t="str">
        <x:v>No</x:v>
      </x:c>
      <x:c r="P700" s="12" t="str">
        <x:v>No</x:v>
      </x:c>
      <x:c r="Q700" s="12"/>
      <x:c r="R700" s="12"/>
    </x:row>
    <x:row r="701">
      <x:c r="A701" s="12" t="str">
        <x:v>EVD-00700</x:v>
      </x:c>
      <x:c r="B701" s="12" t="str">
        <x:v>NEED-0124</x:v>
      </x:c>
      <x:c r="C701" s="12" t="str">
        <x:v>SRC-0002</x:v>
      </x:c>
      <x:c r="D701" s="12" t="str">
        <x:v>The DAAC will work with the UWG Chair to fill membership gaps for Eric Sproles and Ludo Brucker.</x:v>
      </x:c>
      <x:c r="E701" s="12" t="str">
        <x:v>The DAAC will work with the UWG Chair to fill membership gaps for Eric Sproles and Ludo Brucker.</x:v>
      </x:c>
      <x:c r="F701" s="12" t="str">
        <x:v>Action</x:v>
      </x:c>
      <x:c r="G701" s="12" t="str">
        <x:v>NSIDC DAAC User Working Group</x:v>
      </x:c>
      <x:c r="H701" s="12" t="n">
        <x:v>2022</x:v>
      </x:c>
      <x:c r="I701" s="12" t="str">
        <x:v>Earthdata users</x:v>
      </x:c>
      <x:c r="J701" s="12" t="str">
        <x:v>Medium</x:v>
      </x:c>
      <x:c r="K701" s="16" t="n">
        <x:v>0.75</x:v>
      </x:c>
      <x:c r="L701" s="12" t="str">
        <x:v>LSA similarity cluster; human review pending</x:v>
      </x:c>
      <x:c r="M701" s="12" t="str">
        <x:v>Section: 9.4 Key Actions</x:v>
      </x:c>
      <x:c r="N701" s="12" t="str"/>
      <x:c r="O701" s="12" t="str">
        <x:v>No</x:v>
      </x:c>
      <x:c r="P701" s="12" t="str">
        <x:v>No</x:v>
      </x:c>
      <x:c r="Q701" s="12"/>
      <x:c r="R701" s="12"/>
    </x:row>
    <x:row r="702">
      <x:c r="A702" s="12" t="str">
        <x:v>EVD-00701</x:v>
      </x:c>
      <x:c r="B702" s="12" t="str">
        <x:v>NEED-0007</x:v>
      </x:c>
      <x:c r="C702" s="12" t="str">
        <x:v>SRC-0002</x:v>
      </x:c>
      <x:c r="D702" s="12" t="str">
        <x:v>The DAAC will also identify additional member candidates who represent the user communities actively using cloud technology.</x:v>
      </x:c>
      <x:c r="E702" s="12" t="str">
        <x:v>The DAAC will also identify additional member candidates who represent the user communities actively using cloud technology.</x:v>
      </x:c>
      <x:c r="F702" s="12" t="str">
        <x:v>Action</x:v>
      </x:c>
      <x:c r="G702" s="12" t="str">
        <x:v>NSIDC DAAC User Working Group</x:v>
      </x:c>
      <x:c r="H702" s="12" t="n">
        <x:v>2022</x:v>
      </x:c>
      <x:c r="I702" s="12" t="str">
        <x:v>Cloud-native researchers</x:v>
      </x:c>
      <x:c r="J702" s="12" t="str">
        <x:v>Medium</x:v>
      </x:c>
      <x:c r="K702" s="16" t="n">
        <x:v>0.75</x:v>
      </x:c>
      <x:c r="L702" s="12" t="str">
        <x:v>LSA similarity cluster; human review pending</x:v>
      </x:c>
      <x:c r="M702" s="12" t="str">
        <x:v>Section: 9.4 Key Actions</x:v>
      </x:c>
      <x:c r="N702" s="12" t="str"/>
      <x:c r="O702" s="12" t="str">
        <x:v>No</x:v>
      </x:c>
      <x:c r="P702" s="12" t="str">
        <x:v>No</x:v>
      </x:c>
      <x:c r="Q702" s="12"/>
      <x:c r="R702" s="12"/>
    </x:row>
    <x:row r="703">
      <x:c r="A703" s="12" t="str">
        <x:v>EVD-00702</x:v>
      </x:c>
      <x:c r="B703" s="12" t="str">
        <x:v>NEED-0126</x:v>
      </x:c>
      <x:c r="C703" s="12" t="str">
        <x:v>SRC-0002</x:v>
      </x:c>
      <x:c r="D703" s="12" t="str">
        <x:v>[UWG22-S01] Continue to improve the efficiency of data publication and reduce backlog.</x:v>
      </x:c>
      <x:c r="E703" s="12" t="str">
        <x:v>[UWG22-S01] Continue to improve the efficiency of data publication and reduce backlog.</x:v>
      </x:c>
      <x:c r="F703" s="12" t="str">
        <x:v>Suggestion</x:v>
      </x:c>
      <x:c r="G703" s="12" t="str">
        <x:v>ORNL DAAC User Working Group</x:v>
      </x:c>
      <x:c r="H703" s="12" t="n">
        <x:v>2022</x:v>
      </x:c>
      <x:c r="I703" s="12" t="str">
        <x:v>Data producers and mission teams</x:v>
      </x:c>
      <x:c r="J703" s="12" t="str">
        <x:v>High</x:v>
      </x:c>
      <x:c r="K703" s="16" t="n">
        <x:v>0.75</x:v>
      </x:c>
      <x:c r="L703" s="12" t="str">
        <x:v>LSA similarity cluster; human review pending</x:v>
      </x:c>
      <x:c r="M703" s="12" t="str">
        <x:v>Section: 10.6 ORNL DAAC UWG Suggestions for 2022</x:v>
      </x:c>
      <x:c r="N703" s="12" t="str"/>
      <x:c r="O703" s="12" t="str">
        <x:v>No</x:v>
      </x:c>
      <x:c r="P703" s="12" t="str">
        <x:v>No</x:v>
      </x:c>
      <x:c r="Q703" s="12"/>
      <x:c r="R703" s="12"/>
    </x:row>
    <x:row r="704">
      <x:c r="A704" s="12" t="str">
        <x:v>EVD-00703</x:v>
      </x:c>
      <x:c r="B704" s="12" t="str">
        <x:v>NEED-0088</x:v>
      </x:c>
      <x:c r="C704" s="12" t="str">
        <x:v>SRC-0002</x:v>
      </x:c>
      <x:c r="D704" s="12" t="str">
        <x:v>[UWG22-S02] Clarify what "provisional" means for preprint datasets and provide information to help users determine appropriate use.</x:v>
      </x:c>
      <x:c r="E704" s="12" t="str">
        <x:v>[UWG22-S02] Clarify what "provisional" means for preprint datasets and provide information to help users determine appropriate use.</x:v>
      </x:c>
      <x:c r="F704" s="12" t="str">
        <x:v>Suggestion</x:v>
      </x:c>
      <x:c r="G704" s="12" t="str">
        <x:v>ORNL DAAC User Working Group</x:v>
      </x:c>
      <x:c r="H704" s="12" t="n">
        <x:v>2022</x:v>
      </x:c>
      <x:c r="I704" s="12" t="str">
        <x:v>Earthdata users</x:v>
      </x:c>
      <x:c r="J704" s="12" t="str">
        <x:v>High</x:v>
      </x:c>
      <x:c r="K704" s="16" t="n">
        <x:v>0.75</x:v>
      </x:c>
      <x:c r="L704" s="12" t="str">
        <x:v>LSA similarity cluster; human review pending</x:v>
      </x:c>
      <x:c r="M704" s="12" t="str">
        <x:v>Section: 10.6 ORNL DAAC UWG Suggestions for 2022</x:v>
      </x:c>
      <x:c r="N704" s="12" t="str"/>
      <x:c r="O704" s="12" t="str">
        <x:v>No</x:v>
      </x:c>
      <x:c r="P704" s="12" t="str">
        <x:v>No</x:v>
      </x:c>
      <x:c r="Q704" s="12"/>
      <x:c r="R704" s="12"/>
    </x:row>
    <x:row r="705">
      <x:c r="A705" s="12" t="str">
        <x:v>EVD-00704</x:v>
      </x:c>
      <x:c r="B705" s="12" t="str">
        <x:v>NEED-0027</x:v>
      </x:c>
      <x:c r="C705" s="12" t="str">
        <x:v>SRC-0002</x:v>
      </x:c>
      <x:c r="D705" s="12" t="str">
        <x:v>[UWG22-S03] Evaluate, and implement where practical, additional methods (particularly opt-in methods) to notify users when new versions of data they have downloaded are available.</x:v>
      </x:c>
      <x:c r="E705" s="12" t="str">
        <x:v>[UWG22-S03] Evaluate, and implement where practical, additional methods (particularly opt-in methods) to notify users when new versions of data they have downloaded are available.</x:v>
      </x:c>
      <x:c r="F705" s="12" t="str">
        <x:v>Suggestion</x:v>
      </x:c>
      <x:c r="G705" s="12" t="str">
        <x:v>ORNL DAAC User Working Group</x:v>
      </x:c>
      <x:c r="H705" s="12" t="n">
        <x:v>2022</x:v>
      </x:c>
      <x:c r="I705" s="12" t="str">
        <x:v>Earthdata users</x:v>
      </x:c>
      <x:c r="J705" s="12" t="str">
        <x:v>Medium</x:v>
      </x:c>
      <x:c r="K705" s="16" t="n">
        <x:v>0.75</x:v>
      </x:c>
      <x:c r="L705" s="12" t="str">
        <x:v>LSA similarity cluster; human review pending</x:v>
      </x:c>
      <x:c r="M705" s="12" t="str">
        <x:v>Section: 10.6 ORNL DAAC UWG Suggestions for 2022</x:v>
      </x:c>
      <x:c r="N705" s="12" t="str"/>
      <x:c r="O705" s="12" t="str">
        <x:v>No</x:v>
      </x:c>
      <x:c r="P705" s="12" t="str">
        <x:v>No</x:v>
      </x:c>
      <x:c r="Q705" s="12"/>
      <x:c r="R705" s="12"/>
    </x:row>
    <x:row r="706">
      <x:c r="A706" s="12" t="str">
        <x:v>EVD-00705</x:v>
      </x:c>
      <x:c r="B706" s="12" t="str">
        <x:v>NEED-0179</x:v>
      </x:c>
      <x:c r="C706" s="12" t="str">
        <x:v>SRC-0002</x:v>
      </x:c>
      <x:c r="D706" s="12" t="str">
        <x:v>[UWG22-S04] Seek to further improve the quality of data submitted to the ORNL DAAC by providing documentation for data providers about Levels of Service and the data expectations and requirements for implementing those Levels of Service.</x:v>
      </x:c>
      <x:c r="E706" s="12" t="str">
        <x:v>[UWG22-S04] Seek to further improve the quality of data submitted to the ORNL DAAC by providing documentation for data providers about Levels of Service and the data expectations and requirements for implementing those Levels of Service.</x:v>
      </x:c>
      <x:c r="F706" s="12" t="str">
        <x:v>Suggestion</x:v>
      </x:c>
      <x:c r="G706" s="12" t="str">
        <x:v>ORNL DAAC User Working Group</x:v>
      </x:c>
      <x:c r="H706" s="12" t="n">
        <x:v>2022</x:v>
      </x:c>
      <x:c r="I706" s="12" t="str">
        <x:v>Earthdata users</x:v>
      </x:c>
      <x:c r="J706" s="12" t="str">
        <x:v>High</x:v>
      </x:c>
      <x:c r="K706" s="16" t="n">
        <x:v>0.75</x:v>
      </x:c>
      <x:c r="L706" s="12" t="str">
        <x:v>LSA similarity cluster; human review pending</x:v>
      </x:c>
      <x:c r="M706" s="12" t="str">
        <x:v>Section: 10.6 ORNL DAAC UWG Suggestions for 2022</x:v>
      </x:c>
      <x:c r="N706" s="12" t="str"/>
      <x:c r="O706" s="12" t="str">
        <x:v>No</x:v>
      </x:c>
      <x:c r="P706" s="12" t="str">
        <x:v>No</x:v>
      </x:c>
      <x:c r="Q706" s="12"/>
      <x:c r="R706" s="12"/>
    </x:row>
    <x:row r="707">
      <x:c r="A707" s="12" t="str">
        <x:v>EVD-00706</x:v>
      </x:c>
      <x:c r="B707" s="12" t="str">
        <x:v>NEED-0103</x:v>
      </x:c>
      <x:c r="C707" s="12" t="str">
        <x:v>SRC-0002</x:v>
      </x:c>
      <x:c r="D707" s="12" t="str">
        <x:v>[UWG22-S05] Improve data provider guidelines to further clarify the ORNL DAAC's versioning and DOI practices.</x:v>
      </x:c>
      <x:c r="E707" s="12" t="str">
        <x:v>[UWG22-S05] Improve data provider guidelines to further clarify the ORNL DAAC's versioning and DOI practices.</x:v>
      </x:c>
      <x:c r="F707" s="12" t="str">
        <x:v>Suggestion</x:v>
      </x:c>
      <x:c r="G707" s="12" t="str">
        <x:v>ORNL DAAC User Working Group</x:v>
      </x:c>
      <x:c r="H707" s="12" t="n">
        <x:v>2022</x:v>
      </x:c>
      <x:c r="I707" s="12" t="str">
        <x:v>Earthdata users</x:v>
      </x:c>
      <x:c r="J707" s="12" t="str">
        <x:v>High</x:v>
      </x:c>
      <x:c r="K707" s="16" t="n">
        <x:v>0.75</x:v>
      </x:c>
      <x:c r="L707" s="12" t="str">
        <x:v>LSA similarity cluster; human review pending</x:v>
      </x:c>
      <x:c r="M707" s="12" t="str">
        <x:v>Section: 10.6 ORNL DAAC UWG Suggestions for 2022</x:v>
      </x:c>
      <x:c r="N707" s="12" t="str"/>
      <x:c r="O707" s="12" t="str">
        <x:v>No</x:v>
      </x:c>
      <x:c r="P707" s="12" t="str">
        <x:v>No</x:v>
      </x:c>
      <x:c r="Q707" s="12"/>
      <x:c r="R707" s="12"/>
    </x:row>
    <x:row r="708">
      <x:c r="A708" s="12" t="str">
        <x:v>EVD-00707</x:v>
      </x:c>
      <x:c r="B708" s="12" t="str">
        <x:v>NEED-0050</x:v>
      </x:c>
      <x:c r="C708" s="12" t="str">
        <x:v>SRC-0002</x:v>
      </x:c>
      <x:c r="D708" s="12" t="str">
        <x:v>[UWG22-S06] Continue to help improve data management practices in the terrestrial ecology community through guidelines, workshops, and close engagement with research projects.</x:v>
      </x:c>
      <x:c r="E708" s="12" t="str">
        <x:v>[UWG22-S06] Continue to help improve data management practices in the terrestrial ecology community through guidelines, workshops, and close engagement with research projects.</x:v>
      </x:c>
      <x:c r="F708" s="12" t="str">
        <x:v>Suggestion</x:v>
      </x:c>
      <x:c r="G708" s="12" t="str">
        <x:v>ORNL DAAC User Working Group</x:v>
      </x:c>
      <x:c r="H708" s="12" t="n">
        <x:v>2022</x:v>
      </x:c>
      <x:c r="I708" s="12" t="str">
        <x:v>Educators and trainers; Earth science researchers</x:v>
      </x:c>
      <x:c r="J708" s="12" t="str">
        <x:v>High</x:v>
      </x:c>
      <x:c r="K708" s="16" t="n">
        <x:v>0.75</x:v>
      </x:c>
      <x:c r="L708" s="12" t="str">
        <x:v>LSA similarity cluster; human review pending</x:v>
      </x:c>
      <x:c r="M708" s="12" t="str">
        <x:v>Section: 10.6 ORNL DAAC UWG Suggestions for 2022</x:v>
      </x:c>
      <x:c r="N708" s="12" t="str"/>
      <x:c r="O708" s="12" t="str">
        <x:v>No</x:v>
      </x:c>
      <x:c r="P708" s="12" t="str">
        <x:v>No</x:v>
      </x:c>
      <x:c r="Q708" s="12"/>
      <x:c r="R708" s="12"/>
    </x:row>
    <x:row r="709">
      <x:c r="A709" s="12" t="str">
        <x:v>EVD-00708</x:v>
      </x:c>
      <x:c r="B709" s="12" t="str">
        <x:v>NEED-0126</x:v>
      </x:c>
      <x:c r="C709" s="12" t="str">
        <x:v>SRC-0002</x:v>
      </x:c>
      <x:c r="D709" s="12" t="str">
        <x:v>[UWG22-S07] Continue the effort of Flight Catalog development with needs from diverse user communities in mind.</x:v>
      </x:c>
      <x:c r="E709" s="12" t="str">
        <x:v>[UWG22-S07] Continue the effort of Flight Catalog development with needs from diverse user communities in mind.</x:v>
      </x:c>
      <x:c r="F709" s="12" t="str">
        <x:v>Suggestion</x:v>
      </x:c>
      <x:c r="G709" s="12" t="str">
        <x:v>ORNL DAAC User Working Group</x:v>
      </x:c>
      <x:c r="H709" s="12" t="n">
        <x:v>2022</x:v>
      </x:c>
      <x:c r="I709" s="12" t="str">
        <x:v>Earthdata users</x:v>
      </x:c>
      <x:c r="J709" s="12" t="str">
        <x:v>High</x:v>
      </x:c>
      <x:c r="K709" s="16" t="n">
        <x:v>0.75</x:v>
      </x:c>
      <x:c r="L709" s="12" t="str">
        <x:v>LSA similarity cluster; human review pending</x:v>
      </x:c>
      <x:c r="M709" s="12" t="str">
        <x:v>Section: 10.6 ORNL DAAC UWG Suggestions for 2022</x:v>
      </x:c>
      <x:c r="N709" s="12" t="str"/>
      <x:c r="O709" s="12" t="str">
        <x:v>No</x:v>
      </x:c>
      <x:c r="P709" s="12" t="str">
        <x:v>No</x:v>
      </x:c>
      <x:c r="Q709" s="12"/>
      <x:c r="R709" s="12"/>
    </x:row>
    <x:row r="710">
      <x:c r="A710" s="12" t="str">
        <x:v>EVD-00709</x:v>
      </x:c>
      <x:c r="B710" s="12" t="str">
        <x:v>NEED-0190</x:v>
      </x:c>
      <x:c r="C710" s="12" t="str">
        <x:v>SRC-0002</x:v>
      </x:c>
      <x:c r="D710" s="12" t="str">
        <x:v>[UWG22-S08] Evaluate, and implement where practical, additional methods and channels for proactively notifying users of impending or recent changes to data tools and services.</x:v>
      </x:c>
      <x:c r="E710" s="12" t="str">
        <x:v>[UWG22-S08] Evaluate, and implement where practical, additional methods and channels for proactively notifying users of impending or recent changes to data tools and services.</x:v>
      </x:c>
      <x:c r="F710" s="12" t="str">
        <x:v>Suggestion</x:v>
      </x:c>
      <x:c r="G710" s="12" t="str">
        <x:v>ORNL DAAC User Working Group</x:v>
      </x:c>
      <x:c r="H710" s="12" t="n">
        <x:v>2022</x:v>
      </x:c>
      <x:c r="I710" s="12" t="str">
        <x:v>Earthdata users</x:v>
      </x:c>
      <x:c r="J710" s="12" t="str">
        <x:v>Medium</x:v>
      </x:c>
      <x:c r="K710" s="16" t="n">
        <x:v>0.75</x:v>
      </x:c>
      <x:c r="L710" s="12" t="str">
        <x:v>LSA similarity cluster; human review pending</x:v>
      </x:c>
      <x:c r="M710" s="12" t="str">
        <x:v>Section: 10.6 ORNL DAAC UWG Suggestions for 2022</x:v>
      </x:c>
      <x:c r="N710" s="12" t="str"/>
      <x:c r="O710" s="12" t="str">
        <x:v>No</x:v>
      </x:c>
      <x:c r="P710" s="12" t="str">
        <x:v>No</x:v>
      </x:c>
      <x:c r="Q710" s="12"/>
      <x:c r="R710" s="12"/>
    </x:row>
    <x:row r="711">
      <x:c r="A711" s="12" t="str">
        <x:v>EVD-00710</x:v>
      </x:c>
      <x:c r="B711" s="12" t="str">
        <x:v>NEED-0007</x:v>
      </x:c>
      <x:c r="C711" s="12" t="str">
        <x:v>SRC-0002</x:v>
      </x:c>
      <x:c r="D711" s="12" t="str">
        <x:v>[UWG22-S09] Proactively promote and advance data use in both traditional and cloud-based analysis environments for terrestrial ecology and related user communities.</x:v>
      </x:c>
      <x:c r="E711" s="12" t="str">
        <x:v>[UWG22-S09] Proactively promote and advance data use in both traditional and cloud-based analysis environments for terrestrial ecology and related user communities.</x:v>
      </x:c>
      <x:c r="F711" s="12" t="str">
        <x:v>Suggestion</x:v>
      </x:c>
      <x:c r="G711" s="12" t="str">
        <x:v>ORNL DAAC User Working Group</x:v>
      </x:c>
      <x:c r="H711" s="12" t="n">
        <x:v>2022</x:v>
      </x:c>
      <x:c r="I711" s="12" t="str">
        <x:v>Cloud-native researchers; Earth science researchers</x:v>
      </x:c>
      <x:c r="J711" s="12" t="str">
        <x:v>Medium</x:v>
      </x:c>
      <x:c r="K711" s="16" t="n">
        <x:v>0.75</x:v>
      </x:c>
      <x:c r="L711" s="12" t="str">
        <x:v>LSA similarity cluster; human review pending</x:v>
      </x:c>
      <x:c r="M711" s="12" t="str">
        <x:v>Section: 10.6 ORNL DAAC UWG Suggestions for 2022</x:v>
      </x:c>
      <x:c r="N711" s="12" t="str"/>
      <x:c r="O711" s="12" t="str">
        <x:v>No</x:v>
      </x:c>
      <x:c r="P711" s="12" t="str">
        <x:v>No</x:v>
      </x:c>
      <x:c r="Q711" s="12"/>
      <x:c r="R711" s="12"/>
    </x:row>
    <x:row r="712">
      <x:c r="A712" s="12" t="str">
        <x:v>EVD-00711</x:v>
      </x:c>
      <x:c r="B712" s="12" t="str">
        <x:v>NEED-0146</x:v>
      </x:c>
      <x:c r="C712" s="12" t="str">
        <x:v>SRC-0002</x:v>
      </x:c>
      <x:c r="D712" s="12" t="str">
        <x:v>The UWG is very supportive of OB.DAAC’s current work and applaud the robust plans for website updates.</x:v>
      </x:c>
      <x:c r="E712" s="12" t="str">
        <x:v>The UWG is very supportive of OB.DAAC’s current work and applaud the robust plans for website updates.</x:v>
      </x:c>
      <x:c r="F712" s="12" t="str">
        <x:v>Key Takeaway</x:v>
      </x:c>
      <x:c r="G712" s="12" t="str">
        <x:v>Ocean Biology DAAC User Working Group</x:v>
      </x:c>
      <x:c r="H712" s="12" t="n">
        <x:v>2022</x:v>
      </x:c>
      <x:c r="I712" s="12" t="str">
        <x:v>Earthdata users</x:v>
      </x:c>
      <x:c r="J712" s="12" t="str">
        <x:v>Low</x:v>
      </x:c>
      <x:c r="K712" s="16" t="n">
        <x:v>0.75</x:v>
      </x:c>
      <x:c r="L712" s="12" t="str">
        <x:v>LSA similarity cluster; human review pending</x:v>
      </x:c>
      <x:c r="M712" s="12" t="str">
        <x:v>Section: 11.1.1 Key Points</x:v>
      </x:c>
      <x:c r="N712" s="12" t="str"/>
      <x:c r="O712" s="12" t="str">
        <x:v>No</x:v>
      </x:c>
      <x:c r="P712" s="12" t="str">
        <x:v>No</x:v>
      </x:c>
      <x:c r="Q712" s="12"/>
      <x:c r="R712" s="12"/>
    </x:row>
    <x:row r="713">
      <x:c r="A713" s="12" t="str">
        <x:v>EVD-00712</x:v>
      </x:c>
      <x:c r="B713" s="12" t="str">
        <x:v>NEED-0042</x:v>
      </x:c>
      <x:c r="C713" s="12" t="str">
        <x:v>SRC-0002</x:v>
      </x:c>
      <x:c r="D713" s="12" t="str">
        <x:v>The UWG urges OB.DAAC to continue their work on data distribution and SeaDAS software training.</x:v>
      </x:c>
      <x:c r="E713" s="12" t="str">
        <x:v>The UWG urges OB.DAAC to continue their work on data distribution and SeaDAS software training.</x:v>
      </x:c>
      <x:c r="F713" s="12" t="str">
        <x:v>Key Takeaway</x:v>
      </x:c>
      <x:c r="G713" s="12" t="str">
        <x:v>Ocean Biology DAAC User Working Group</x:v>
      </x:c>
      <x:c r="H713" s="12" t="n">
        <x:v>2022</x:v>
      </x:c>
      <x:c r="I713" s="12" t="str">
        <x:v>Application developers; Educators and trainers</x:v>
      </x:c>
      <x:c r="J713" s="12" t="str">
        <x:v>High</x:v>
      </x:c>
      <x:c r="K713" s="16" t="n">
        <x:v>0.75</x:v>
      </x:c>
      <x:c r="L713" s="12" t="str">
        <x:v>LSA similarity cluster; human review pending</x:v>
      </x:c>
      <x:c r="M713" s="12" t="str">
        <x:v>Section: 11.1.1 Key Points</x:v>
      </x:c>
      <x:c r="N713" s="12" t="str"/>
      <x:c r="O713" s="12" t="str">
        <x:v>No</x:v>
      </x:c>
      <x:c r="P713" s="12" t="str">
        <x:v>No</x:v>
      </x:c>
      <x:c r="Q713" s="12"/>
      <x:c r="R713" s="12"/>
    </x:row>
    <x:row r="714">
      <x:c r="A714" s="12" t="str">
        <x:v>EVD-00713</x:v>
      </x:c>
      <x:c r="B714" s="12" t="str">
        <x:v>NEED-0124</x:v>
      </x:c>
      <x:c r="C714" s="12" t="str">
        <x:v>SRC-0002</x:v>
      </x:c>
      <x:c r="D714" s="12" t="str">
        <x:v>The UWG made suggestions for an in-person meeting next year.</x:v>
      </x:c>
      <x:c r="E714" s="12" t="str">
        <x:v>The UWG made suggestions for an in-person meeting next year.</x:v>
      </x:c>
      <x:c r="F714" s="12" t="str">
        <x:v>Suggestion</x:v>
      </x:c>
      <x:c r="G714" s="12" t="str">
        <x:v>Ocean Biology DAAC User Working Group</x:v>
      </x:c>
      <x:c r="H714" s="12" t="n">
        <x:v>2022</x:v>
      </x:c>
      <x:c r="I714" s="12" t="str">
        <x:v>Earthdata users</x:v>
      </x:c>
      <x:c r="J714" s="12" t="str">
        <x:v>Medium</x:v>
      </x:c>
      <x:c r="K714" s="16" t="n">
        <x:v>0.75</x:v>
      </x:c>
      <x:c r="L714" s="12" t="str">
        <x:v>LSA similarity cluster; human review pending</x:v>
      </x:c>
      <x:c r="M714" s="12" t="str">
        <x:v>Section: 11.1.1 Key Points</x:v>
      </x:c>
      <x:c r="N714" s="12" t="str"/>
      <x:c r="O714" s="12" t="str">
        <x:v>No</x:v>
      </x:c>
      <x:c r="P714" s="12" t="str">
        <x:v>No</x:v>
      </x:c>
      <x:c r="Q714" s="12"/>
      <x:c r="R714" s="12"/>
    </x:row>
    <x:row r="715">
      <x:c r="A715" s="12" t="str">
        <x:v>EVD-00714</x:v>
      </x:c>
      <x:c r="B715" s="12" t="str">
        <x:v>NEED-0196</x:v>
      </x:c>
      <x:c r="C715" s="12" t="str">
        <x:v>SRC-0002</x:v>
      </x:c>
      <x:c r="D715" s="12" t="str">
        <x:v>UWG would urge OB.DAAC to keep up to date on data documentation, and enhance the data visualization capabilities.</x:v>
      </x:c>
      <x:c r="E715" s="12" t="str">
        <x:v>UWG would urge OB.DAAC to keep up to date on data documentation, and enhance the data visualization capabilities.</x:v>
      </x:c>
      <x:c r="F715" s="12" t="str">
        <x:v>Key Takeaway</x:v>
      </x:c>
      <x:c r="G715" s="12" t="str">
        <x:v>Ocean Biology DAAC User Working Group</x:v>
      </x:c>
      <x:c r="H715" s="12" t="n">
        <x:v>2022</x:v>
      </x:c>
      <x:c r="I715" s="12" t="str">
        <x:v>Earthdata users</x:v>
      </x:c>
      <x:c r="J715" s="12" t="str">
        <x:v>Medium</x:v>
      </x:c>
      <x:c r="K715" s="16" t="n">
        <x:v>0.75</x:v>
      </x:c>
      <x:c r="L715" s="12" t="str">
        <x:v>LSA similarity cluster; human review pending</x:v>
      </x:c>
      <x:c r="M715" s="12" t="str">
        <x:v>Section: 11.1.1 Key Points</x:v>
      </x:c>
      <x:c r="N715" s="12" t="str"/>
      <x:c r="O715" s="12" t="str">
        <x:v>No</x:v>
      </x:c>
      <x:c r="P715" s="12" t="str">
        <x:v>No</x:v>
      </x:c>
      <x:c r="Q715" s="12"/>
      <x:c r="R715" s="12"/>
    </x:row>
    <x:row r="716">
      <x:c r="A716" s="12" t="str">
        <x:v>EVD-00715</x:v>
      </x:c>
      <x:c r="B716" s="12" t="str">
        <x:v>NEED-0085</x:v>
      </x:c>
      <x:c r="C716" s="12" t="str">
        <x:v>SRC-0002</x:v>
      </x:c>
      <x:c r="D716" s="12" t="str">
        <x:v>Consider possibility of producing/distributing Landsat/Sentinel-2 products over coastal ocean.</x:v>
      </x:c>
      <x:c r="E716" s="12" t="str">
        <x:v>Consider possibility of producing/distributing Landsat/Sentinel-2 products over coastal ocean.</x:v>
      </x:c>
      <x:c r="F716" s="12" t="str">
        <x:v>Action</x:v>
      </x:c>
      <x:c r="G716" s="12" t="str">
        <x:v>Ocean Biology DAAC User Working Group</x:v>
      </x:c>
      <x:c r="H716" s="12" t="n">
        <x:v>2022</x:v>
      </x:c>
      <x:c r="I716" s="12" t="str">
        <x:v>Earthdata users</x:v>
      </x:c>
      <x:c r="J716" s="12" t="str">
        <x:v>High</x:v>
      </x:c>
      <x:c r="K716" s="16" t="n">
        <x:v>0.75</x:v>
      </x:c>
      <x:c r="L716" s="12" t="str">
        <x:v>LSA similarity cluster; human review pending</x:v>
      </x:c>
      <x:c r="M716" s="12" t="str">
        <x:v>Section: 11.1.2 Key Action Items</x:v>
      </x:c>
      <x:c r="N716" s="12" t="str"/>
      <x:c r="O716" s="12" t="str">
        <x:v>No</x:v>
      </x:c>
      <x:c r="P716" s="12" t="str">
        <x:v>No</x:v>
      </x:c>
      <x:c r="Q716" s="12"/>
      <x:c r="R716" s="12"/>
    </x:row>
    <x:row r="717">
      <x:c r="A717" s="12" t="str">
        <x:v>EVD-00716</x:v>
      </x:c>
      <x:c r="B717" s="12" t="str">
        <x:v>NEED-0132</x:v>
      </x:c>
      <x:c r="C717" s="12" t="str">
        <x:v>SRC-0002</x:v>
      </x:c>
      <x:c r="D717" s="12" t="str">
        <x:v>Look for ways to link to external repositories (e.g. NOAA Coastwatch (https://coastwatch.noaa.gov/cw_html/cwViewer.html), BCO-DMO (https://www.bco-dmo.org/), Go-ship (https://www.go-ship.org/DataDirect.html))</x:v>
      </x:c>
      <x:c r="E717" s="12" t="str">
        <x:v>Look for ways to link to external repositories (e.g. NOAA Coastwatch (https://coastwatch.noaa.gov/cw_html/cwViewer.html), BCO-DMO (https://www.bco-dmo.org/), Go-ship (https://www.go-ship.org/DataDirect.html))</x:v>
      </x:c>
      <x:c r="F717" s="12" t="str">
        <x:v>Action</x:v>
      </x:c>
      <x:c r="G717" s="12" t="str">
        <x:v>Ocean Biology DAAC User Working Group</x:v>
      </x:c>
      <x:c r="H717" s="12" t="n">
        <x:v>2022</x:v>
      </x:c>
      <x:c r="I717" s="12" t="str">
        <x:v>Earthdata users</x:v>
      </x:c>
      <x:c r="J717" s="12" t="str">
        <x:v>Medium</x:v>
      </x:c>
      <x:c r="K717" s="16" t="n">
        <x:v>0.75</x:v>
      </x:c>
      <x:c r="L717" s="12" t="str">
        <x:v>LSA similarity cluster; human review pending</x:v>
      </x:c>
      <x:c r="M717" s="12" t="str">
        <x:v>Section: 11.1.2 Key Action Items</x:v>
      </x:c>
      <x:c r="N717" s="12" t="str"/>
      <x:c r="O717" s="12" t="str">
        <x:v>No</x:v>
      </x:c>
      <x:c r="P717" s="12" t="str">
        <x:v>No</x:v>
      </x:c>
      <x:c r="Q717" s="12"/>
      <x:c r="R717" s="12"/>
    </x:row>
    <x:row r="718">
      <x:c r="A718" s="12" t="str">
        <x:v>EVD-00717</x:v>
      </x:c>
      <x:c r="B718" s="12" t="str">
        <x:v>NEED-0023</x:v>
      </x:c>
      <x:c r="C718" s="12" t="str">
        <x:v>SRC-0002</x:v>
      </x:c>
      <x:c r="D718" s="12" t="str">
        <x:v>Discussion about reaching and educating new audiences about availability and accessibility of data, including where to access data and how to use it.</x:v>
      </x:c>
      <x:c r="E718" s="12" t="str">
        <x:v>Discussion about reaching and educating new audiences about availability and accessibility of data, including where to access data and how to use it.</x:v>
      </x:c>
      <x:c r="F718" s="12" t="str">
        <x:v>Action</x:v>
      </x:c>
      <x:c r="G718" s="12" t="str">
        <x:v>Ocean Biology DAAC User Working Group</x:v>
      </x:c>
      <x:c r="H718" s="12" t="n">
        <x:v>2022</x:v>
      </x:c>
      <x:c r="I718" s="12" t="str">
        <x:v>Earthdata users</x:v>
      </x:c>
      <x:c r="J718" s="12" t="str">
        <x:v>Medium</x:v>
      </x:c>
      <x:c r="K718" s="16" t="n">
        <x:v>0.75</x:v>
      </x:c>
      <x:c r="L718" s="12" t="str">
        <x:v>LSA similarity cluster; human review pending</x:v>
      </x:c>
      <x:c r="M718" s="12" t="str">
        <x:v>Section: 11.1.2 Key Action Items</x:v>
      </x:c>
      <x:c r="N718" s="12" t="str"/>
      <x:c r="O718" s="12" t="str">
        <x:v>No</x:v>
      </x:c>
      <x:c r="P718" s="12" t="str">
        <x:v>No</x:v>
      </x:c>
      <x:c r="Q718" s="12"/>
      <x:c r="R718" s="12"/>
    </x:row>
    <x:row r="719">
      <x:c r="A719" s="12" t="str">
        <x:v>EVD-00718</x:v>
      </x:c>
      <x:c r="B719" s="12" t="str">
        <x:v>NEED-0154</x:v>
      </x:c>
      <x:c r="C719" s="12" t="str">
        <x:v>SRC-0002</x:v>
      </x:c>
      <x:c r="D719" s="12" t="str">
        <x:v>Make a beta version of the proposed website changes available for users to test drive and offer comments/suggestions.</x:v>
      </x:c>
      <x:c r="E719" s="12" t="str">
        <x:v>Make a beta version of the proposed website changes available for users to test drive and offer comments/suggestions.</x:v>
      </x:c>
      <x:c r="F719" s="12" t="str">
        <x:v>Action</x:v>
      </x:c>
      <x:c r="G719" s="12" t="str">
        <x:v>Ocean Biology DAAC User Working Group</x:v>
      </x:c>
      <x:c r="H719" s="12" t="n">
        <x:v>2022</x:v>
      </x:c>
      <x:c r="I719" s="12" t="str">
        <x:v>Earthdata users</x:v>
      </x:c>
      <x:c r="J719" s="12" t="str">
        <x:v>Medium</x:v>
      </x:c>
      <x:c r="K719" s="16" t="n">
        <x:v>0.75</x:v>
      </x:c>
      <x:c r="L719" s="12" t="str">
        <x:v>LSA similarity cluster; human review pending</x:v>
      </x:c>
      <x:c r="M719" s="12" t="str">
        <x:v>Section: 11.1.2 Key Action Items</x:v>
      </x:c>
      <x:c r="N719" s="12" t="str"/>
      <x:c r="O719" s="12" t="str">
        <x:v>No</x:v>
      </x:c>
      <x:c r="P719" s="12" t="str">
        <x:v>No</x:v>
      </x:c>
      <x:c r="Q719" s="12"/>
      <x:c r="R719" s="12"/>
    </x:row>
    <x:row r="720">
      <x:c r="A720" s="12" t="str">
        <x:v>EVD-00719</x:v>
      </x:c>
      <x:c r="B720" s="12" t="str">
        <x:v>NEED-0121</x:v>
      </x:c>
      <x:c r="C720" s="12" t="str">
        <x:v>SRC-0002</x:v>
      </x:c>
      <x:c r="D720" s="12" t="str">
        <x:v>Update PACE simulated data page to link L2/L3 data.</x:v>
      </x:c>
      <x:c r="E720" s="12" t="str">
        <x:v>Update PACE simulated data page to link L2/L3 data.</x:v>
      </x:c>
      <x:c r="F720" s="12" t="str">
        <x:v>Action</x:v>
      </x:c>
      <x:c r="G720" s="12" t="str">
        <x:v>Ocean Biology DAAC User Working Group</x:v>
      </x:c>
      <x:c r="H720" s="12" t="n">
        <x:v>2022</x:v>
      </x:c>
      <x:c r="I720" s="12" t="str">
        <x:v>Earthdata users</x:v>
      </x:c>
      <x:c r="J720" s="12" t="str">
        <x:v>Medium</x:v>
      </x:c>
      <x:c r="K720" s="16" t="n">
        <x:v>0.75</x:v>
      </x:c>
      <x:c r="L720" s="12" t="str">
        <x:v>LSA similarity cluster; human review pending</x:v>
      </x:c>
      <x:c r="M720" s="12" t="str">
        <x:v>Section: 11.1.2 Key Action Items</x:v>
      </x:c>
      <x:c r="N720" s="12" t="str"/>
      <x:c r="O720" s="12" t="str">
        <x:v>No</x:v>
      </x:c>
      <x:c r="P720" s="12" t="str">
        <x:v>No</x:v>
      </x:c>
      <x:c r="Q720" s="12"/>
      <x:c r="R720" s="12"/>
    </x:row>
    <x:row r="721">
      <x:c r="A721" s="12" t="str">
        <x:v>EVD-00720</x:v>
      </x:c>
      <x:c r="B721" s="12" t="str">
        <x:v>NEED-0196</x:v>
      </x:c>
      <x:c r="C721" s="12" t="str">
        <x:v>SRC-0002</x:v>
      </x:c>
      <x:c r="D721" s="12" t="str">
        <x:v>Documentation on PACE simulated data to inform new users on how to use and what you can do with the data.</x:v>
      </x:c>
      <x:c r="E721" s="12" t="str">
        <x:v>Documentation on PACE simulated data to inform new users on how to use and what you can do with the data.</x:v>
      </x:c>
      <x:c r="F721" s="12" t="str">
        <x:v>Action</x:v>
      </x:c>
      <x:c r="G721" s="12" t="str">
        <x:v>Ocean Biology DAAC User Working Group</x:v>
      </x:c>
      <x:c r="H721" s="12" t="n">
        <x:v>2022</x:v>
      </x:c>
      <x:c r="I721" s="12" t="str">
        <x:v>New and occasional users</x:v>
      </x:c>
      <x:c r="J721" s="12" t="str">
        <x:v>Medium</x:v>
      </x:c>
      <x:c r="K721" s="16" t="n">
        <x:v>0.75</x:v>
      </x:c>
      <x:c r="L721" s="12" t="str">
        <x:v>LSA similarity cluster; human review pending</x:v>
      </x:c>
      <x:c r="M721" s="12" t="str">
        <x:v>Section: 11.1.2 Key Action Items</x:v>
      </x:c>
      <x:c r="N721" s="12" t="str"/>
      <x:c r="O721" s="12" t="str">
        <x:v>No</x:v>
      </x:c>
      <x:c r="P721" s="12" t="str">
        <x:v>No</x:v>
      </x:c>
      <x:c r="Q721" s="12"/>
      <x:c r="R721" s="12"/>
    </x:row>
    <x:row r="722">
      <x:c r="A722" s="12" t="str">
        <x:v>EVD-00721</x:v>
      </x:c>
      <x:c r="B722" s="12" t="str">
        <x:v>NEED-0167</x:v>
      </x:c>
      <x:c r="C722" s="12" t="str">
        <x:v>SRC-0002</x:v>
      </x:c>
      <x:c r="D722" s="12" t="str">
        <x:v>Make data browse tools more intuitive and enhance the visualization capabilities.</x:v>
      </x:c>
      <x:c r="E722" s="12" t="str">
        <x:v>Make data browse tools more intuitive and enhance the visualization capabilities.</x:v>
      </x:c>
      <x:c r="F722" s="12" t="str">
        <x:v>Action</x:v>
      </x:c>
      <x:c r="G722" s="12" t="str">
        <x:v>Ocean Biology DAAC User Working Group</x:v>
      </x:c>
      <x:c r="H722" s="12" t="n">
        <x:v>2022</x:v>
      </x:c>
      <x:c r="I722" s="12" t="str">
        <x:v>Earthdata users</x:v>
      </x:c>
      <x:c r="J722" s="12" t="str">
        <x:v>Medium</x:v>
      </x:c>
      <x:c r="K722" s="16" t="n">
        <x:v>0.75</x:v>
      </x:c>
      <x:c r="L722" s="12" t="str">
        <x:v>LSA similarity cluster; human review pending</x:v>
      </x:c>
      <x:c r="M722" s="12" t="str">
        <x:v>Section: 11.1.2 Key Action Items</x:v>
      </x:c>
      <x:c r="N722" s="12" t="str"/>
      <x:c r="O722" s="12" t="str">
        <x:v>No</x:v>
      </x:c>
      <x:c r="P722" s="12" t="str">
        <x:v>No</x:v>
      </x:c>
      <x:c r="Q722" s="12"/>
      <x:c r="R722" s="12"/>
    </x:row>
    <x:row r="723">
      <x:c r="A723" s="12" t="str">
        <x:v>EVD-00722</x:v>
      </x:c>
      <x:c r="B723" s="12" t="str">
        <x:v>NEED-0204</x:v>
      </x:c>
      <x:c r="C723" s="12" t="str">
        <x:v>SRC-0002</x:v>
      </x:c>
      <x:c r="D723" s="12" t="str">
        <x:v>Add case studies in a tutorial / "new to ocean color" section.</x:v>
      </x:c>
      <x:c r="E723" s="12" t="str">
        <x:v>Add case studies in a tutorial / "new to ocean color" section.</x:v>
      </x:c>
      <x:c r="F723" s="12" t="str">
        <x:v>Action</x:v>
      </x:c>
      <x:c r="G723" s="12" t="str">
        <x:v>Ocean Biology DAAC User Working Group</x:v>
      </x:c>
      <x:c r="H723" s="12" t="n">
        <x:v>2022</x:v>
      </x:c>
      <x:c r="I723" s="12" t="str">
        <x:v>Educators and trainers</x:v>
      </x:c>
      <x:c r="J723" s="12" t="str">
        <x:v>Medium</x:v>
      </x:c>
      <x:c r="K723" s="16" t="n">
        <x:v>0.75</x:v>
      </x:c>
      <x:c r="L723" s="12" t="str">
        <x:v>LSA similarity cluster; human review pending</x:v>
      </x:c>
      <x:c r="M723" s="12" t="str">
        <x:v>Section: 11.1.2 Key Action Items</x:v>
      </x:c>
      <x:c r="N723" s="12" t="str"/>
      <x:c r="O723" s="12" t="str">
        <x:v>No</x:v>
      </x:c>
      <x:c r="P723" s="12" t="str">
        <x:v>No</x:v>
      </x:c>
      <x:c r="Q723" s="12"/>
      <x:c r="R723" s="12"/>
    </x:row>
    <x:row r="724">
      <x:c r="A724" s="12" t="str">
        <x:v>EVD-00723</x:v>
      </x:c>
      <x:c r="B724" s="12" t="str">
        <x:v>NEED-0169</x:v>
      </x:c>
      <x:c r="C724" s="12" t="str">
        <x:v>SRC-0002</x:v>
      </x:c>
      <x:c r="D724" s="12" t="str">
        <x:v>Use case studies to teach people how to use all tools including how to process data.</x:v>
      </x:c>
      <x:c r="E724" s="12" t="str">
        <x:v>Use case studies to teach people how to use all tools including how to process data.</x:v>
      </x:c>
      <x:c r="F724" s="12" t="str">
        <x:v>Action</x:v>
      </x:c>
      <x:c r="G724" s="12" t="str">
        <x:v>Ocean Biology DAAC User Working Group</x:v>
      </x:c>
      <x:c r="H724" s="12" t="n">
        <x:v>2022</x:v>
      </x:c>
      <x:c r="I724" s="12" t="str">
        <x:v>Earthdata users</x:v>
      </x:c>
      <x:c r="J724" s="12" t="str">
        <x:v>Medium</x:v>
      </x:c>
      <x:c r="K724" s="16" t="n">
        <x:v>0.75</x:v>
      </x:c>
      <x:c r="L724" s="12" t="str">
        <x:v>LSA similarity cluster; human review pending</x:v>
      </x:c>
      <x:c r="M724" s="12" t="str">
        <x:v>Section: 11.1.2 Key Action Items</x:v>
      </x:c>
      <x:c r="N724" s="12" t="str"/>
      <x:c r="O724" s="12" t="str">
        <x:v>No</x:v>
      </x:c>
      <x:c r="P724" s="12" t="str">
        <x:v>No</x:v>
      </x:c>
      <x:c r="Q724" s="12"/>
      <x:c r="R724" s="12"/>
    </x:row>
    <x:row r="725">
      <x:c r="A725" s="12" t="str">
        <x:v>EVD-00724</x:v>
      </x:c>
      <x:c r="B725" s="12" t="str">
        <x:v>NEED-0125</x:v>
      </x:c>
      <x:c r="C725" s="12" t="str">
        <x:v>SRC-0002</x:v>
      </x:c>
      <x:c r="D725" s="12" t="str">
        <x:v>Add verbiage to explain why we have non-NASA data sets (MERIS, OLCI, VIIRS, GOCI, etc.) - how offering these data benefits the community.</x:v>
      </x:c>
      <x:c r="E725" s="12" t="str">
        <x:v>Add verbiage to explain why we have non-NASA data sets (MERIS, OLCI, VIIRS, GOCI, etc.) - how offering these data benefits the community.</x:v>
      </x:c>
      <x:c r="F725" s="12" t="str">
        <x:v>Action</x:v>
      </x:c>
      <x:c r="G725" s="12" t="str">
        <x:v>Ocean Biology DAAC User Working Group</x:v>
      </x:c>
      <x:c r="H725" s="12" t="n">
        <x:v>2022</x:v>
      </x:c>
      <x:c r="I725" s="12" t="str">
        <x:v>Earthdata users</x:v>
      </x:c>
      <x:c r="J725" s="12" t="str">
        <x:v>Medium</x:v>
      </x:c>
      <x:c r="K725" s="16" t="n">
        <x:v>0.75</x:v>
      </x:c>
      <x:c r="L725" s="12" t="str">
        <x:v>LSA similarity cluster; human review pending</x:v>
      </x:c>
      <x:c r="M725" s="12" t="str">
        <x:v>Section: 11.1.2 Key Action Items</x:v>
      </x:c>
      <x:c r="N725" s="12" t="str"/>
      <x:c r="O725" s="12" t="str">
        <x:v>No</x:v>
      </x:c>
      <x:c r="P725" s="12" t="str">
        <x:v>No</x:v>
      </x:c>
      <x:c r="Q725" s="12"/>
      <x:c r="R725" s="12"/>
    </x:row>
    <x:row r="726">
      <x:c r="A726" s="12" t="str">
        <x:v>EVD-00725</x:v>
      </x:c>
      <x:c r="B726" s="12" t="str">
        <x:v>NEED-0029</x:v>
      </x:c>
      <x:c r="C726" s="12" t="str">
        <x:v>SRC-0002</x:v>
      </x:c>
      <x:c r="D726" s="12" t="str">
        <x:v>Should have a webpage that talks about data distribution especially for the data holding by multiple DAACS, such as SST by PO.DAAC, and PACE atmosphere by LANCE.</x:v>
      </x:c>
      <x:c r="E726" s="12" t="str">
        <x:v>Should have a webpage that talks about data distribution especially for the data holding by multiple DAACS, such as SST by PO.DAAC, and PACE atmosphere by LANCE.</x:v>
      </x:c>
      <x:c r="F726" s="12" t="str">
        <x:v>Action</x:v>
      </x:c>
      <x:c r="G726" s="12" t="str">
        <x:v>Ocean Biology DAAC User Working Group</x:v>
      </x:c>
      <x:c r="H726" s="12" t="n">
        <x:v>2022</x:v>
      </x:c>
      <x:c r="I726" s="12" t="str">
        <x:v>Operational and near-real-time users</x:v>
      </x:c>
      <x:c r="J726" s="12" t="str">
        <x:v>High</x:v>
      </x:c>
      <x:c r="K726" s="16" t="n">
        <x:v>0.75</x:v>
      </x:c>
      <x:c r="L726" s="12" t="str">
        <x:v>LSA similarity cluster; human review pending</x:v>
      </x:c>
      <x:c r="M726" s="12" t="str">
        <x:v>Section: 11.1.2 Key Action Items</x:v>
      </x:c>
      <x:c r="N726" s="12" t="str"/>
      <x:c r="O726" s="12" t="str">
        <x:v>No</x:v>
      </x:c>
      <x:c r="P726" s="12" t="str">
        <x:v>No</x:v>
      </x:c>
      <x:c r="Q726" s="12"/>
      <x:c r="R726" s="12"/>
    </x:row>
    <x:row r="727">
      <x:c r="A727" s="12" t="str">
        <x:v>EVD-00726</x:v>
      </x:c>
      <x:c r="B727" s="12" t="str">
        <x:v>NEED-0129</x:v>
      </x:c>
      <x:c r="C727" s="12" t="str">
        <x:v>SRC-0002</x:v>
      </x:c>
      <x:c r="D727" s="12" t="str">
        <x:v>Engage with ARSET</x:v>
      </x:c>
      <x:c r="E727" s="12" t="str">
        <x:v>Engage with ARSET</x:v>
      </x:c>
      <x:c r="F727" s="12" t="str">
        <x:v>Action</x:v>
      </x:c>
      <x:c r="G727" s="12" t="str">
        <x:v>Ocean Biology DAAC User Working Group</x:v>
      </x:c>
      <x:c r="H727" s="12" t="n">
        <x:v>2022</x:v>
      </x:c>
      <x:c r="I727" s="12" t="str">
        <x:v>Earthdata users</x:v>
      </x:c>
      <x:c r="J727" s="12" t="str">
        <x:v>Medium</x:v>
      </x:c>
      <x:c r="K727" s="16" t="n">
        <x:v>0.75</x:v>
      </x:c>
      <x:c r="L727" s="12" t="str">
        <x:v>LSA similarity cluster; human review pending</x:v>
      </x:c>
      <x:c r="M727" s="12" t="str">
        <x:v>Section: 11.1.2 Key Action Items</x:v>
      </x:c>
      <x:c r="N727" s="12" t="str"/>
      <x:c r="O727" s="12" t="str">
        <x:v>No</x:v>
      </x:c>
      <x:c r="P727" s="12" t="str">
        <x:v>No</x:v>
      </x:c>
      <x:c r="Q727" s="12"/>
      <x:c r="R727" s="12"/>
    </x:row>
    <x:row r="728">
      <x:c r="A728" s="12" t="str">
        <x:v>EVD-00727</x:v>
      </x:c>
      <x:c r="B728" s="12" t="str">
        <x:v>NEED-0192</x:v>
      </x:c>
      <x:c r="C728" s="12" t="str">
        <x:v>SRC-0002</x:v>
      </x:c>
      <x:c r="D728" s="12" t="str">
        <x:v>Inform them of the changes to any interfaces/website navigation changes as it may impact training they do - or update videos/walkthroughs.</x:v>
      </x:c>
      <x:c r="E728" s="12" t="str">
        <x:v>Inform them of the changes to any interfaces/website navigation changes as it may impact training they do - or update videos/walkthroughs.</x:v>
      </x:c>
      <x:c r="F728" s="12" t="str">
        <x:v>Action</x:v>
      </x:c>
      <x:c r="G728" s="12" t="str">
        <x:v>Ocean Biology DAAC User Working Group</x:v>
      </x:c>
      <x:c r="H728" s="12" t="n">
        <x:v>2022</x:v>
      </x:c>
      <x:c r="I728" s="12" t="str">
        <x:v>Educators and trainers</x:v>
      </x:c>
      <x:c r="J728" s="12" t="str">
        <x:v>Medium</x:v>
      </x:c>
      <x:c r="K728" s="16" t="n">
        <x:v>0.75</x:v>
      </x:c>
      <x:c r="L728" s="12" t="str">
        <x:v>LSA similarity cluster; human review pending</x:v>
      </x:c>
      <x:c r="M728" s="12" t="str">
        <x:v>Section: 11.1.2 Key Action Items</x:v>
      </x:c>
      <x:c r="N728" s="12" t="str"/>
      <x:c r="O728" s="12" t="str">
        <x:v>No</x:v>
      </x:c>
      <x:c r="P728" s="12" t="str">
        <x:v>No</x:v>
      </x:c>
      <x:c r="Q728" s="12"/>
      <x:c r="R728" s="12"/>
    </x:row>
    <x:row r="729">
      <x:c r="A729" s="12" t="str">
        <x:v>EVD-00728</x:v>
      </x:c>
      <x:c r="B729" s="12" t="str">
        <x:v>NEED-0060</x:v>
      </x:c>
      <x:c r="C729" s="12" t="str">
        <x:v>SRC-0002</x:v>
      </x:c>
      <x:c r="D729" s="12" t="str">
        <x:v>Seek UWG representation from outside core ocean color research community, e.g. applied science; water quality managers.</x:v>
      </x:c>
      <x:c r="E729" s="12" t="str">
        <x:v>Seek UWG representation from outside core ocean color research community, e.g. applied science; water quality managers.</x:v>
      </x:c>
      <x:c r="F729" s="12" t="str">
        <x:v>Action</x:v>
      </x:c>
      <x:c r="G729" s="12" t="str">
        <x:v>Ocean Biology DAAC User Working Group</x:v>
      </x:c>
      <x:c r="H729" s="12" t="n">
        <x:v>2022</x:v>
      </x:c>
      <x:c r="I729" s="12" t="str">
        <x:v>Earth science researchers</x:v>
      </x:c>
      <x:c r="J729" s="12" t="str">
        <x:v>Medium</x:v>
      </x:c>
      <x:c r="K729" s="16" t="n">
        <x:v>0.75</x:v>
      </x:c>
      <x:c r="L729" s="12" t="str">
        <x:v>LSA similarity cluster; human review pending</x:v>
      </x:c>
      <x:c r="M729" s="12" t="str">
        <x:v>Section: 11.1.2 Key Action Items</x:v>
      </x:c>
      <x:c r="N729" s="12" t="str"/>
      <x:c r="O729" s="12" t="str">
        <x:v>No</x:v>
      </x:c>
      <x:c r="P729" s="12" t="str">
        <x:v>No</x:v>
      </x:c>
      <x:c r="Q729" s="12"/>
      <x:c r="R729" s="12"/>
    </x:row>
    <x:row r="730">
      <x:c r="A730" s="12" t="str">
        <x:v>EVD-00729</x:v>
      </x:c>
      <x:c r="B730" s="12" t="str">
        <x:v>NEED-0148</x:v>
      </x:c>
      <x:c r="C730" s="12" t="str">
        <x:v>SRC-0002</x:v>
      </x:c>
      <x:c r="D730" s="12" t="str">
        <x:v>In future UWG terms, recruit members from other science teams (not ocean color) that also use our website and data.</x:v>
      </x:c>
      <x:c r="E730" s="12" t="str">
        <x:v>In future UWG terms, recruit members from other science teams (not ocean color) that also use our website and data.</x:v>
      </x:c>
      <x:c r="F730" s="12" t="str">
        <x:v>Action</x:v>
      </x:c>
      <x:c r="G730" s="12" t="str">
        <x:v>Ocean Biology DAAC User Working Group</x:v>
      </x:c>
      <x:c r="H730" s="12" t="n">
        <x:v>2022</x:v>
      </x:c>
      <x:c r="I730" s="12" t="str">
        <x:v>Earthdata users</x:v>
      </x:c>
      <x:c r="J730" s="12" t="str">
        <x:v>Medium</x:v>
      </x:c>
      <x:c r="K730" s="16" t="n">
        <x:v>0.75</x:v>
      </x:c>
      <x:c r="L730" s="12" t="str">
        <x:v>LSA similarity cluster; human review pending</x:v>
      </x:c>
      <x:c r="M730" s="12" t="str">
        <x:v>Section: 11.1.2 Key Action Items</x:v>
      </x:c>
      <x:c r="N730" s="12" t="str"/>
      <x:c r="O730" s="12" t="str">
        <x:v>No</x:v>
      </x:c>
      <x:c r="P730" s="12" t="str">
        <x:v>No</x:v>
      </x:c>
      <x:c r="Q730" s="12"/>
      <x:c r="R730" s="12"/>
    </x:row>
    <x:row r="731">
      <x:c r="A731" s="12" t="str">
        <x:v>EVD-00730</x:v>
      </x:c>
      <x:c r="B731" s="12" t="str">
        <x:v>NEED-0124</x:v>
      </x:c>
      <x:c r="C731" s="12" t="str">
        <x:v>SRC-0002</x:v>
      </x:c>
      <x:c r="D731" s="12" t="str">
        <x:v>Carbon Cycle and Ecosystem meeting</x:v>
      </x:c>
      <x:c r="E731" s="12" t="str">
        <x:v>Carbon Cycle and Ecosystem meeting</x:v>
      </x:c>
      <x:c r="F731" s="12" t="str">
        <x:v>Action</x:v>
      </x:c>
      <x:c r="G731" s="12" t="str">
        <x:v>Ocean Biology DAAC User Working Group</x:v>
      </x:c>
      <x:c r="H731" s="12" t="n">
        <x:v>2022</x:v>
      </x:c>
      <x:c r="I731" s="12" t="str">
        <x:v>Earthdata users</x:v>
      </x:c>
      <x:c r="J731" s="12" t="str">
        <x:v>Medium</x:v>
      </x:c>
      <x:c r="K731" s="16" t="n">
        <x:v>0.75</x:v>
      </x:c>
      <x:c r="L731" s="12" t="str">
        <x:v>LSA similarity cluster; human review pending</x:v>
      </x:c>
      <x:c r="M731" s="12" t="str">
        <x:v>Section: 11.1.2 Key Action Items</x:v>
      </x:c>
      <x:c r="N731" s="12" t="str"/>
      <x:c r="O731" s="12" t="str">
        <x:v>No</x:v>
      </x:c>
      <x:c r="P731" s="12" t="str">
        <x:v>No</x:v>
      </x:c>
      <x:c r="Q731" s="12"/>
      <x:c r="R731" s="12"/>
    </x:row>
    <x:row r="732">
      <x:c r="A732" s="12" t="str">
        <x:v>EVD-00731</x:v>
      </x:c>
      <x:c r="B732" s="12" t="str">
        <x:v>NEED-0031</x:v>
      </x:c>
      <x:c r="C732" s="12" t="str">
        <x:v>SRC-0002</x:v>
      </x:c>
      <x:c r="D732" s="12" t="str">
        <x:v>Investigate how to allow external Teams users access to the chat feature.</x:v>
      </x:c>
      <x:c r="E732" s="12" t="str">
        <x:v>Investigate how to allow external Teams users access to the chat feature.</x:v>
      </x:c>
      <x:c r="F732" s="12" t="str">
        <x:v>Action</x:v>
      </x:c>
      <x:c r="G732" s="12" t="str">
        <x:v>Ocean Biology DAAC User Working Group</x:v>
      </x:c>
      <x:c r="H732" s="12" t="n">
        <x:v>2022</x:v>
      </x:c>
      <x:c r="I732" s="12" t="str">
        <x:v>Earthdata users</x:v>
      </x:c>
      <x:c r="J732" s="12" t="str">
        <x:v>High</x:v>
      </x:c>
      <x:c r="K732" s="16" t="n">
        <x:v>0.75</x:v>
      </x:c>
      <x:c r="L732" s="12" t="str">
        <x:v>LSA similarity cluster; human review pending</x:v>
      </x:c>
      <x:c r="M732" s="12" t="str">
        <x:v>Section: 11.1.2 Key Action Items</x:v>
      </x:c>
      <x:c r="N732" s="12" t="str"/>
      <x:c r="O732" s="12" t="str">
        <x:v>No</x:v>
      </x:c>
      <x:c r="P732" s="12" t="str">
        <x:v>No</x:v>
      </x:c>
      <x:c r="Q732" s="12"/>
      <x:c r="R732" s="12"/>
    </x:row>
    <x:row r="733">
      <x:c r="A733" s="12" t="str">
        <x:v>EVD-00732</x:v>
      </x:c>
      <x:c r="B733" s="12" t="str">
        <x:v>NEED-0007</x:v>
      </x:c>
      <x:c r="C733" s="12" t="str">
        <x:v>SRC-0002</x:v>
      </x:c>
      <x:c r="D733" s="12" t="str">
        <x:v>Access to cloud resources/environments is an important but complicated part of transitioning to the cloud. If cloud tools are demonstrated, users need at least a sandbox in the cloud to try it out. UWG recommends (2022.1.6) that PO.DAAC sets up the environment to do this (e.g., as done by Openscapes) to reduce the barriers to cloud transition.</x:v>
      </x:c>
      <x:c r="E733" s="12" t="str">
        <x:v>Access to cloud resources/environments is an important but complicated part of transitioning to the cloud. If cloud tools are demonstrated, users need at least a sandbox in the cloud to try it out. UWG recommends (2022.1.6) that PO.DAAC sets up the environment to do this (e.g., as done by Openscapes) to reduce the barriers to cloud transition.</x:v>
      </x:c>
      <x:c r="F733" s="12" t="str">
        <x:v>Recommendation</x:v>
      </x:c>
      <x:c r="G733" s="12" t="str">
        <x:v>PO.DAAC User Working Group</x:v>
      </x:c>
      <x:c r="H733" s="12" t="n">
        <x:v>2022</x:v>
      </x:c>
      <x:c r="I733" s="12" t="str">
        <x:v>Cloud-native researchers</x:v>
      </x:c>
      <x:c r="J733" s="12" t="str">
        <x:v>High</x:v>
      </x:c>
      <x:c r="K733" s="16" t="n">
        <x:v>0.75</x:v>
      </x:c>
      <x:c r="L733" s="12" t="str">
        <x:v>LSA similarity cluster; human review pending</x:v>
      </x:c>
      <x:c r="M733" s="12" t="str">
        <x:v>Section: 12.4 PO.DAAC UWG 2022 Report Key Points</x:v>
      </x:c>
      <x:c r="N733" s="12" t="str"/>
      <x:c r="O733" s="12" t="str">
        <x:v>No</x:v>
      </x:c>
      <x:c r="P733" s="12" t="str">
        <x:v>No</x:v>
      </x:c>
      <x:c r="Q733" s="12"/>
      <x:c r="R733" s="12"/>
    </x:row>
    <x:row r="734">
      <x:c r="A734" s="12" t="str">
        <x:v>EVD-00733</x:v>
      </x:c>
      <x:c r="B734" s="12" t="str">
        <x:v>NEED-0010</x:v>
      </x:c>
      <x:c r="C734" s="12" t="str">
        <x:v>SRC-0002</x:v>
      </x:c>
      <x:c r="D734" s="12" t="str">
        <x:v>“Work with HQ to develop a ROSES cloud framework” should be a priority to guide the community in their research proposals (2020.2.7).</x:v>
      </x:c>
      <x:c r="E734" s="12" t="str">
        <x:v>“Work with HQ to develop a ROSES cloud framework” should be a priority to guide the community in their research proposals (2020.2.7).</x:v>
      </x:c>
      <x:c r="F734" s="12" t="str">
        <x:v>Key Takeaway</x:v>
      </x:c>
      <x:c r="G734" s="12" t="str">
        <x:v>PO.DAAC User Working Group</x:v>
      </x:c>
      <x:c r="H734" s="12" t="n">
        <x:v>2022</x:v>
      </x:c>
      <x:c r="I734" s="12" t="str">
        <x:v>Cloud-native researchers; Earth science researchers</x:v>
      </x:c>
      <x:c r="J734" s="12" t="str">
        <x:v>High</x:v>
      </x:c>
      <x:c r="K734" s="16" t="n">
        <x:v>0.75</x:v>
      </x:c>
      <x:c r="L734" s="12" t="str">
        <x:v>LSA similarity cluster; human review pending</x:v>
      </x:c>
      <x:c r="M734" s="12" t="str">
        <x:v>Section: 12.4 PO.DAAC UWG 2022 Report Key Points</x:v>
      </x:c>
      <x:c r="N734" s="12" t="str"/>
      <x:c r="O734" s="12" t="str">
        <x:v>No</x:v>
      </x:c>
      <x:c r="P734" s="12" t="str">
        <x:v>No</x:v>
      </x:c>
      <x:c r="Q734" s="12"/>
      <x:c r="R734" s="12"/>
    </x:row>
    <x:row r="735">
      <x:c r="A735" s="12" t="str">
        <x:v>EVD-00734</x:v>
      </x:c>
      <x:c r="B735" s="12" t="str">
        <x:v>NEED-0002</x:v>
      </x:c>
      <x:c r="C735" s="12" t="str">
        <x:v>SRC-0002</x:v>
      </x:c>
      <x:c r="D735" s="12" t="str">
        <x:v>THREDDS is critical to the user community for its ability to present an automatic, aggregated view of data. For that reason, UWG recommend that PO.DAAC explore working with Unidata to develop and maintain a cloud version of THREDDS. (2022.1.1)</x:v>
      </x:c>
      <x:c r="E735" s="12" t="str">
        <x:v>THREDDS is critical to the user community for its ability to present an automatic, aggregated view of data. For that reason, UWG recommend that PO.DAAC explore working with Unidata to develop and maintain a cloud version of THREDDS. (2022.1.1)</x:v>
      </x:c>
      <x:c r="F735" s="12" t="str">
        <x:v>Recommendation</x:v>
      </x:c>
      <x:c r="G735" s="12" t="str">
        <x:v>PO.DAAC User Working Group</x:v>
      </x:c>
      <x:c r="H735" s="12" t="n">
        <x:v>2022</x:v>
      </x:c>
      <x:c r="I735" s="12" t="str">
        <x:v>Cloud-native researchers</x:v>
      </x:c>
      <x:c r="J735" s="12" t="str">
        <x:v>High</x:v>
      </x:c>
      <x:c r="K735" s="16" t="n">
        <x:v>0.75</x:v>
      </x:c>
      <x:c r="L735" s="12" t="str">
        <x:v>LSA similarity cluster; human review pending</x:v>
      </x:c>
      <x:c r="M735" s="12" t="str">
        <x:v>Section: 12.4 PO.DAAC UWG 2022 Report Key Points</x:v>
      </x:c>
      <x:c r="N735" s="12" t="str"/>
      <x:c r="O735" s="12" t="str">
        <x:v>No</x:v>
      </x:c>
      <x:c r="P735" s="12" t="str">
        <x:v>No</x:v>
      </x:c>
      <x:c r="Q735" s="12"/>
      <x:c r="R735" s="12"/>
    </x:row>
    <x:row r="736">
      <x:c r="A736" s="12" t="str">
        <x:v>EVD-00735</x:v>
      </x:c>
      <x:c r="B736" s="12" t="str">
        <x:v>NEED-0010</x:v>
      </x:c>
      <x:c r="C736" s="12" t="str">
        <x:v>SRC-0002</x:v>
      </x:c>
      <x:c r="D736" s="12" t="str">
        <x:v>Elevate cloud computing to a higher level as an equal with download options (2022.1.2), because cloud computing will be essential to analyze large data in the cloud.</x:v>
      </x:c>
      <x:c r="E736" s="12" t="str">
        <x:v>Elevate cloud computing to a higher level as an equal with download options (2022.1.2), because cloud computing will be essential to analyze large data in the cloud.</x:v>
      </x:c>
      <x:c r="F736" s="12" t="str">
        <x:v>Key Takeaway</x:v>
      </x:c>
      <x:c r="G736" s="12" t="str">
        <x:v>PO.DAAC User Working Group</x:v>
      </x:c>
      <x:c r="H736" s="12" t="n">
        <x:v>2022</x:v>
      </x:c>
      <x:c r="I736" s="12" t="str">
        <x:v>Cloud-native researchers</x:v>
      </x:c>
      <x:c r="J736" s="12" t="str">
        <x:v>Medium</x:v>
      </x:c>
      <x:c r="K736" s="16" t="n">
        <x:v>0.75</x:v>
      </x:c>
      <x:c r="L736" s="12" t="str">
        <x:v>LSA similarity cluster; human review pending</x:v>
      </x:c>
      <x:c r="M736" s="12" t="str">
        <x:v>Section: 12.4 PO.DAAC UWG 2022 Report Key Points</x:v>
      </x:c>
      <x:c r="N736" s="12" t="str"/>
      <x:c r="O736" s="12" t="str">
        <x:v>No</x:v>
      </x:c>
      <x:c r="P736" s="12" t="str">
        <x:v>No</x:v>
      </x:c>
      <x:c r="Q736" s="12"/>
      <x:c r="R736" s="12"/>
    </x:row>
    <x:row r="737">
      <x:c r="A737" s="12" t="str">
        <x:v>EVD-00736</x:v>
      </x:c>
      <x:c r="B737" s="12" t="str">
        <x:v>NEED-0006</x:v>
      </x:c>
      <x:c r="C737" s="12" t="str">
        <x:v>SRC-0002</x:v>
      </x:c>
      <x:c r="D737" s="12" t="str">
        <x:v>Provide a simple ‘roadmap’ toward cloud computing, such as cost-benefit analysis in different scenarios with different task sizes in computing.</x:v>
      </x:c>
      <x:c r="E737" s="12" t="str">
        <x:v>Provide a simple ‘roadmap’ toward cloud computing, such as cost-benefit analysis in different scenarios with different task sizes in computing.</x:v>
      </x:c>
      <x:c r="F737" s="12" t="str">
        <x:v>Key Takeaway</x:v>
      </x:c>
      <x:c r="G737" s="12" t="str">
        <x:v>PO.DAAC User Working Group</x:v>
      </x:c>
      <x:c r="H737" s="12" t="n">
        <x:v>2022</x:v>
      </x:c>
      <x:c r="I737" s="12" t="str">
        <x:v>Cloud-native researchers; Earth science researchers</x:v>
      </x:c>
      <x:c r="J737" s="12" t="str">
        <x:v>High</x:v>
      </x:c>
      <x:c r="K737" s="16" t="n">
        <x:v>0.75</x:v>
      </x:c>
      <x:c r="L737" s="12" t="str">
        <x:v>LSA similarity cluster; human review pending</x:v>
      </x:c>
      <x:c r="M737" s="12" t="str">
        <x:v>Section: 12.4 PO.DAAC UWG 2022 Report Key Points</x:v>
      </x:c>
      <x:c r="N737" s="12" t="str"/>
      <x:c r="O737" s="12" t="str">
        <x:v>No</x:v>
      </x:c>
      <x:c r="P737" s="12" t="str">
        <x:v>No</x:v>
      </x:c>
      <x:c r="Q737" s="12"/>
      <x:c r="R737" s="12"/>
    </x:row>
    <x:row r="738">
      <x:c r="A738" s="12" t="str">
        <x:v>EVD-00737</x:v>
      </x:c>
      <x:c r="B738" s="12" t="str">
        <x:v>NEED-0001</x:v>
      </x:c>
      <x:c r="C738" s="12" t="str">
        <x:v>SRC-0002</x:v>
      </x:c>
      <x:c r="D738" s="12" t="str">
        <x:v>Simplify training materials to focus on low-level basic self-guided training to use cloud.</x:v>
      </x:c>
      <x:c r="E738" s="12" t="str">
        <x:v>Simplify training materials to focus on low-level basic self-guided training to use cloud.</x:v>
      </x:c>
      <x:c r="F738" s="12" t="str">
        <x:v>Key Takeaway</x:v>
      </x:c>
      <x:c r="G738" s="12" t="str">
        <x:v>PO.DAAC User Working Group</x:v>
      </x:c>
      <x:c r="H738" s="12" t="n">
        <x:v>2022</x:v>
      </x:c>
      <x:c r="I738" s="12" t="str">
        <x:v>Cloud-native researchers; Educators and trainers</x:v>
      </x:c>
      <x:c r="J738" s="12" t="str">
        <x:v>Medium</x:v>
      </x:c>
      <x:c r="K738" s="16" t="n">
        <x:v>0.75</x:v>
      </x:c>
      <x:c r="L738" s="12" t="str">
        <x:v>LSA similarity cluster; human review pending</x:v>
      </x:c>
      <x:c r="M738" s="12" t="str">
        <x:v>Section: 12.4 PO.DAAC UWG 2022 Report Key Points</x:v>
      </x:c>
      <x:c r="N738" s="12" t="str"/>
      <x:c r="O738" s="12" t="str">
        <x:v>No</x:v>
      </x:c>
      <x:c r="P738" s="12" t="str">
        <x:v>No</x:v>
      </x:c>
      <x:c r="Q738" s="12"/>
      <x:c r="R738" s="12"/>
    </x:row>
    <x:row r="739">
      <x:c r="A739" s="12" t="str">
        <x:v>EVD-00738</x:v>
      </x:c>
      <x:c r="B739" s="12" t="str">
        <x:v>NEED-0120</x:v>
      </x:c>
      <x:c r="C739" s="12" t="str">
        <x:v>SRC-0002</x:v>
      </x:c>
      <x:c r="D739" s="12" t="str">
        <x:v>Engage in the discussions and/or developments about hosting (numerical) model data.</x:v>
      </x:c>
      <x:c r="E739" s="12" t="str">
        <x:v>Engage in the discussions and/or developments about hosting (numerical) model data.</x:v>
      </x:c>
      <x:c r="F739" s="12" t="str">
        <x:v>Key Takeaway</x:v>
      </x:c>
      <x:c r="G739" s="12" t="str">
        <x:v>PO.DAAC User Working Group</x:v>
      </x:c>
      <x:c r="H739" s="12" t="n">
        <x:v>2022</x:v>
      </x:c>
      <x:c r="I739" s="12" t="str">
        <x:v>Earthdata users</x:v>
      </x:c>
      <x:c r="J739" s="12" t="str">
        <x:v>Medium</x:v>
      </x:c>
      <x:c r="K739" s="16" t="n">
        <x:v>0.75</x:v>
      </x:c>
      <x:c r="L739" s="12" t="str">
        <x:v>LSA similarity cluster; human review pending</x:v>
      </x:c>
      <x:c r="M739" s="12" t="str">
        <x:v>Section: 12.4 PO.DAAC UWG 2022 Report Key Points</x:v>
      </x:c>
      <x:c r="N739" s="12" t="str"/>
      <x:c r="O739" s="12" t="str">
        <x:v>No</x:v>
      </x:c>
      <x:c r="P739" s="12" t="str">
        <x:v>No</x:v>
      </x:c>
      <x:c r="Q739" s="12"/>
      <x:c r="R739" s="12"/>
    </x:row>
    <x:row r="740">
      <x:c r="A740" s="12" t="str">
        <x:v>EVD-00739</x:v>
      </x:c>
      <x:c r="B740" s="12" t="str">
        <x:v>NEED-0081</x:v>
      </x:c>
      <x:c r="C740" s="12" t="str">
        <x:v>SRC-0002</x:v>
      </x:c>
      <x:c r="D740" s="12" t="str">
        <x:v>We recommend (2022.2.1, 2.2, 2.3, 2.4) that the PO.DAAC clarify the process for creating and publishing PI-generated datasets. In addition, UWG urges PO.DAAC to continue participating Earthdata Publication activities (2019.4.2).</x:v>
      </x:c>
      <x:c r="E740" s="12" t="str">
        <x:v>We recommend (2022.2.1, 2.2, 2.3, 2.4) that the PO.DAAC clarify the process for creating and publishing PI-generated datasets. In addition, UWG urges PO.DAAC to continue participating Earthdata Publication activities (2019.4.2).</x:v>
      </x:c>
      <x:c r="F740" s="12" t="str">
        <x:v>Recommendation</x:v>
      </x:c>
      <x:c r="G740" s="12" t="str">
        <x:v>PO.DAAC User Working Group</x:v>
      </x:c>
      <x:c r="H740" s="12" t="n">
        <x:v>2022</x:v>
      </x:c>
      <x:c r="I740" s="12" t="str">
        <x:v>Data producers and mission teams</x:v>
      </x:c>
      <x:c r="J740" s="12" t="str">
        <x:v>High</x:v>
      </x:c>
      <x:c r="K740" s="16" t="n">
        <x:v>0.75</x:v>
      </x:c>
      <x:c r="L740" s="12" t="str">
        <x:v>LSA similarity cluster; human review pending</x:v>
      </x:c>
      <x:c r="M740" s="12" t="str">
        <x:v>Section: 12.4 PO.DAAC UWG 2022 Report Key Points</x:v>
      </x:c>
      <x:c r="N740" s="12" t="str"/>
      <x:c r="O740" s="12" t="str">
        <x:v>No</x:v>
      </x:c>
      <x:c r="P740" s="12" t="str">
        <x:v>No</x:v>
      </x:c>
      <x:c r="Q740" s="12"/>
      <x:c r="R740" s="12"/>
    </x:row>
    <x:row r="741">
      <x:c r="A741" s="12" t="str">
        <x:v>EVD-00740</x:v>
      </x:c>
      <x:c r="B741" s="12" t="str">
        <x:v>NEED-0126</x:v>
      </x:c>
      <x:c r="C741" s="12" t="str">
        <x:v>SRC-0002</x:v>
      </x:c>
      <x:c r="D741" s="12" t="str">
        <x:v>One recommendation is to identify (and perhaps prioritize) the PO.DAAC “user base,” enabling UWG to understand how PO.DAAC prioritizes its activities (and thus UWG’s input) because different user communities have different needs. (2022.3.1)</x:v>
      </x:c>
      <x:c r="E741" s="12" t="str">
        <x:v>One recommendation is to identify (and perhaps prioritize) the PO.DAAC “user base,” enabling UWG to understand how PO.DAAC prioritizes its activities (and thus UWG’s input) because different user communities have different needs. (2022.3.1)</x:v>
      </x:c>
      <x:c r="F741" s="12" t="str">
        <x:v>Recommendation</x:v>
      </x:c>
      <x:c r="G741" s="12" t="str">
        <x:v>PO.DAAC User Working Group</x:v>
      </x:c>
      <x:c r="H741" s="12" t="n">
        <x:v>2022</x:v>
      </x:c>
      <x:c r="I741" s="12" t="str">
        <x:v>Earthdata users</x:v>
      </x:c>
      <x:c r="J741" s="12" t="str">
        <x:v>Low</x:v>
      </x:c>
      <x:c r="K741" s="16" t="n">
        <x:v>0.75</x:v>
      </x:c>
      <x:c r="L741" s="12" t="str">
        <x:v>LSA similarity cluster; human review pending</x:v>
      </x:c>
      <x:c r="M741" s="12" t="str">
        <x:v>Section: 12.4 PO.DAAC UWG 2022 Report Key Points</x:v>
      </x:c>
      <x:c r="N741" s="12" t="str"/>
      <x:c r="O741" s="12" t="str">
        <x:v>No</x:v>
      </x:c>
      <x:c r="P741" s="12" t="str">
        <x:v>No</x:v>
      </x:c>
      <x:c r="Q741" s="12"/>
      <x:c r="R741" s="12"/>
    </x:row>
    <x:row r="742">
      <x:c r="A742" s="12" t="str">
        <x:v>EVD-00741</x:v>
      </x:c>
      <x:c r="B742" s="12" t="str">
        <x:v>NEED-0148</x:v>
      </x:c>
      <x:c r="C742" s="12" t="str">
        <x:v>SRC-0002</x:v>
      </x:c>
      <x:c r="D742" s="12" t="str">
        <x:v>UWG suggests that PO.DAAC reach users through a hackathon focused on PO.DAAC datasets that are specific to given science teams (e.g., as was done for the SWOT science team in 2021) (2022.3.2), and enhance the communication between PO.DAAC and Science Teams (2022.3.3).</x:v>
      </x:c>
      <x:c r="E742" s="12" t="str">
        <x:v>UWG suggests that PO.DAAC reach users through a hackathon focused on PO.DAAC datasets that are specific to given science teams (e.g., as was done for the SWOT science team in 2021) (2022.3.2), and enhance the communication between PO.DAAC and Science Teams (2022.3.3).</x:v>
      </x:c>
      <x:c r="F742" s="12" t="str">
        <x:v>Suggestion</x:v>
      </x:c>
      <x:c r="G742" s="12" t="str">
        <x:v>PO.DAAC User Working Group</x:v>
      </x:c>
      <x:c r="H742" s="12" t="n">
        <x:v>2022</x:v>
      </x:c>
      <x:c r="I742" s="12" t="str">
        <x:v>Earthdata users</x:v>
      </x:c>
      <x:c r="J742" s="12" t="str">
        <x:v>Medium</x:v>
      </x:c>
      <x:c r="K742" s="16" t="n">
        <x:v>0.75</x:v>
      </x:c>
      <x:c r="L742" s="12" t="str">
        <x:v>LSA similarity cluster; human review pending</x:v>
      </x:c>
      <x:c r="M742" s="12" t="str">
        <x:v>Section: 12.4 PO.DAAC UWG 2022 Report Key Points</x:v>
      </x:c>
      <x:c r="N742" s="12" t="str"/>
      <x:c r="O742" s="12" t="str">
        <x:v>No</x:v>
      </x:c>
      <x:c r="P742" s="12" t="str">
        <x:v>No</x:v>
      </x:c>
      <x:c r="Q742" s="12"/>
      <x:c r="R742" s="12"/>
    </x:row>
    <x:row r="743">
      <x:c r="A743" s="12" t="str">
        <x:v>EVD-00742</x:v>
      </x:c>
      <x:c r="B743" s="12" t="str">
        <x:v>NEED-0168</x:v>
      </x:c>
      <x:c r="C743" s="12" t="str">
        <x:v>SRC-0002</x:v>
      </x:c>
      <x:c r="D743" s="12" t="str">
        <x:v>The UWG has significant concern with consolidation of NASA webpages due to the potential loss of service and functionality. UWG recommends (2022.4.5) that PO.DAAC retains the flexibility to serve its disciplinary user community as needed as NASA moves towards the goal of “website consolidation”. Specifically, no services tailored to the PO.DAAC user community should be lost as a result of this effort.</x:v>
      </x:c>
      <x:c r="E743" s="12" t="str">
        <x:v>The UWG has significant concern with consolidation of NASA webpages due to the potential loss of service and functionality. UWG recommends (2022.4.5) that PO.DAAC retains the flexibility to serve its disciplinary user community as needed as NASA moves towards the goal of “website consolidation”. Specifically, no services tailored to the PO.DAAC user community should be lost as a result of this effort.</x:v>
      </x:c>
      <x:c r="F743" s="12" t="str">
        <x:v>Recommendation</x:v>
      </x:c>
      <x:c r="G743" s="12" t="str">
        <x:v>PO.DAAC User Working Group</x:v>
      </x:c>
      <x:c r="H743" s="12" t="n">
        <x:v>2022</x:v>
      </x:c>
      <x:c r="I743" s="12" t="str">
        <x:v>Earthdata users</x:v>
      </x:c>
      <x:c r="J743" s="12" t="str">
        <x:v>High</x:v>
      </x:c>
      <x:c r="K743" s="16" t="n">
        <x:v>0.75</x:v>
      </x:c>
      <x:c r="L743" s="12" t="str">
        <x:v>LSA similarity cluster; human review pending</x:v>
      </x:c>
      <x:c r="M743" s="12" t="str">
        <x:v>Section: 12.4 PO.DAAC UWG 2022 Report Key Points</x:v>
      </x:c>
      <x:c r="N743" s="12" t="str"/>
      <x:c r="O743" s="12" t="str">
        <x:v>No</x:v>
      </x:c>
      <x:c r="P743" s="12" t="str">
        <x:v>No</x:v>
      </x:c>
      <x:c r="Q743" s="12"/>
      <x:c r="R743" s="12"/>
    </x:row>
    <x:row r="744">
      <x:c r="A744" s="12" t="str">
        <x:v>EVD-00743</x:v>
      </x:c>
      <x:c r="B744" s="12" t="str">
        <x:v>NEED-0168</x:v>
      </x:c>
      <x:c r="C744" s="12" t="str">
        <x:v>SRC-0002</x:v>
      </x:c>
      <x:c r="D744" s="12" t="str">
        <x:v>UWG encourage continuous development of the SOTO-worldview, which is one of the PO.DAAC essential tools. (2022.4.1)</x:v>
      </x:c>
      <x:c r="E744" s="12" t="str">
        <x:v>UWG encourage continuous development of the SOTO-worldview, which is one of the PO.DAAC essential tools. (2022.4.1)</x:v>
      </x:c>
      <x:c r="F744" s="12" t="str">
        <x:v>Key Takeaway</x:v>
      </x:c>
      <x:c r="G744" s="12" t="str">
        <x:v>PO.DAAC User Working Group</x:v>
      </x:c>
      <x:c r="H744" s="12" t="n">
        <x:v>2022</x:v>
      </x:c>
      <x:c r="I744" s="12" t="str">
        <x:v>Earthdata users</x:v>
      </x:c>
      <x:c r="J744" s="12" t="str">
        <x:v>High</x:v>
      </x:c>
      <x:c r="K744" s="16" t="n">
        <x:v>0.75</x:v>
      </x:c>
      <x:c r="L744" s="12" t="str">
        <x:v>LSA similarity cluster; human review pending</x:v>
      </x:c>
      <x:c r="M744" s="12" t="str">
        <x:v>Section: 12.4 PO.DAAC UWG 2022 Report Key Points</x:v>
      </x:c>
      <x:c r="N744" s="12" t="str"/>
      <x:c r="O744" s="12" t="str">
        <x:v>No</x:v>
      </x:c>
      <x:c r="P744" s="12" t="str">
        <x:v>No</x:v>
      </x:c>
      <x:c r="Q744" s="12"/>
      <x:c r="R744" s="12"/>
    </x:row>
    <x:row r="745">
      <x:c r="A745" s="12" t="str">
        <x:v>EVD-00744</x:v>
      </x:c>
      <x:c r="B745" s="12" t="str">
        <x:v>NEED-0134</x:v>
      </x:c>
      <x:c r="C745" s="12" t="str">
        <x:v>SRC-0002</x:v>
      </x:c>
      <x:c r="D745" s="12" t="str">
        <x:v>It is pointed out that the PO.DAAC forum is underutilized. UWG recommend that PO.DAAC considers how to either better utilize/promote or get rid of the forum. (2022.4.3, 4.4)</x:v>
      </x:c>
      <x:c r="E745" s="12" t="str">
        <x:v>It is pointed out that the PO.DAAC forum is underutilized. UWG recommend that PO.DAAC considers how to either better utilize/promote or get rid of the forum. (2022.4.3, 4.4)</x:v>
      </x:c>
      <x:c r="F745" s="12" t="str">
        <x:v>Recommendation</x:v>
      </x:c>
      <x:c r="G745" s="12" t="str">
        <x:v>PO.DAAC User Working Group</x:v>
      </x:c>
      <x:c r="H745" s="12" t="n">
        <x:v>2022</x:v>
      </x:c>
      <x:c r="I745" s="12" t="str">
        <x:v>Earthdata users</x:v>
      </x:c>
      <x:c r="J745" s="12" t="str">
        <x:v>High</x:v>
      </x:c>
      <x:c r="K745" s="16" t="n">
        <x:v>0.75</x:v>
      </x:c>
      <x:c r="L745" s="12" t="str">
        <x:v>LSA similarity cluster; human review pending</x:v>
      </x:c>
      <x:c r="M745" s="12" t="str">
        <x:v>Section: 12.4 PO.DAAC UWG 2022 Report Key Points</x:v>
      </x:c>
      <x:c r="N745" s="12" t="str"/>
      <x:c r="O745" s="12" t="str">
        <x:v>No</x:v>
      </x:c>
      <x:c r="P745" s="12" t="str">
        <x:v>No</x:v>
      </x:c>
      <x:c r="Q745" s="12"/>
      <x:c r="R745" s="12"/>
    </x:row>
    <x:row r="746">
      <x:c r="A746" s="12" t="str">
        <x:v>EVD-00745</x:v>
      </x:c>
      <x:c r="B746" s="12" t="str">
        <x:v>NEED-0134</x:v>
      </x:c>
      <x:c r="C746" s="12" t="str">
        <x:v>SRC-0002</x:v>
      </x:c>
      <x:c r="D746" s="12" t="str">
        <x:v>With the recognition that it is outside its role according to the terms of reference, UWG is interested in PO.DAAC’s five-year work plan. (2022.5.1)</x:v>
      </x:c>
      <x:c r="E746" s="12" t="str">
        <x:v>With the recognition that it is outside its role according to the terms of reference, UWG is interested in PO.DAAC’s five-year work plan. (2022.5.1)</x:v>
      </x:c>
      <x:c r="F746" s="12" t="str">
        <x:v>Key Takeaway</x:v>
      </x:c>
      <x:c r="G746" s="12" t="str">
        <x:v>PO.DAAC User Working Group</x:v>
      </x:c>
      <x:c r="H746" s="12" t="n">
        <x:v>2022</x:v>
      </x:c>
      <x:c r="I746" s="12" t="str">
        <x:v>Earthdata users</x:v>
      </x:c>
      <x:c r="J746" s="12" t="str">
        <x:v>Medium</x:v>
      </x:c>
      <x:c r="K746" s="16" t="n">
        <x:v>0.75</x:v>
      </x:c>
      <x:c r="L746" s="12" t="str">
        <x:v>LSA similarity cluster; human review pending</x:v>
      </x:c>
      <x:c r="M746" s="12" t="str">
        <x:v>Section: 12.4 PO.DAAC UWG 2022 Report Key Points</x:v>
      </x:c>
      <x:c r="N746" s="12" t="str"/>
      <x:c r="O746" s="12" t="str">
        <x:v>No</x:v>
      </x:c>
      <x:c r="P746" s="12" t="str">
        <x:v>No</x:v>
      </x:c>
      <x:c r="Q746" s="12"/>
      <x:c r="R746" s="12"/>
    </x:row>
    <x:row r="747">
      <x:c r="A747" s="12" t="str">
        <x:v>EVD-00746</x:v>
      </x:c>
      <x:c r="B747" s="12" t="str">
        <x:v>NEED-0055</x:v>
      </x:c>
      <x:c r="C747" s="12" t="str">
        <x:v>SRC-0002</x:v>
      </x:c>
      <x:c r="D747" s="12" t="str">
        <x:v>As NASA moves towards the concept of changing the role of DAACs to become “Science Enabling Centers,” UWG recommends that PO.DAAC retains sufficient autonomy to continue to develop and provide services tailored to support its core discipline focused user communities. Examples include nuanced data discovery, access, and visualization services that may provide significant utility to oceanography and hydrology focused research. (2022.5.6)</x:v>
      </x:c>
      <x:c r="E747" s="12" t="str">
        <x:v>As NASA moves towards the concept of changing the role of DAACs to become “Science Enabling Centers,” UWG recommends that PO.DAAC retains sufficient autonomy to continue to develop and provide services tailored to support its core discipline focused user communities. Examples include nuanced data discovery, access, and visualization services that may provide significant utility to oceanography and hydrology focused research. (2022.5.6)</x:v>
      </x:c>
      <x:c r="F747" s="12" t="str">
        <x:v>Recommendation</x:v>
      </x:c>
      <x:c r="G747" s="12" t="str">
        <x:v>PO.DAAC User Working Group</x:v>
      </x:c>
      <x:c r="H747" s="12" t="n">
        <x:v>2022</x:v>
      </x:c>
      <x:c r="I747" s="12" t="str">
        <x:v>Earth science researchers</x:v>
      </x:c>
      <x:c r="J747" s="12" t="str">
        <x:v>High</x:v>
      </x:c>
      <x:c r="K747" s="16" t="n">
        <x:v>0.75</x:v>
      </x:c>
      <x:c r="L747" s="12" t="str">
        <x:v>LSA similarity cluster; human review pending</x:v>
      </x:c>
      <x:c r="M747" s="12" t="str">
        <x:v>Section: 12.4 PO.DAAC UWG 2022 Report Key Points</x:v>
      </x:c>
      <x:c r="N747" s="12" t="str"/>
      <x:c r="O747" s="12" t="str">
        <x:v>No</x:v>
      </x:c>
      <x:c r="P747" s="12" t="str">
        <x:v>No</x:v>
      </x:c>
      <x:c r="Q747" s="12"/>
      <x:c r="R747" s="12"/>
    </x:row>
    <x:row r="748">
      <x:c r="A748" s="12" t="str">
        <x:v>EVD-00747</x:v>
      </x:c>
      <x:c r="B748" s="12" t="str">
        <x:v>NEED-0010</x:v>
      </x:c>
      <x:c r="C748" s="12" t="str">
        <x:v>SRC-0002</x:v>
      </x:c>
      <x:c r="D748" s="12" t="str">
        <x:v>We recommend (2022.5.5) adding a person to the UWG who is currently involved in cloud computing (i.e., not just cloud data access).</x:v>
      </x:c>
      <x:c r="E748" s="12" t="str">
        <x:v>We recommend (2022.5.5) adding a person to the UWG who is currently involved in cloud computing (i.e., not just cloud data access).</x:v>
      </x:c>
      <x:c r="F748" s="12" t="str">
        <x:v>Recommendation</x:v>
      </x:c>
      <x:c r="G748" s="12" t="str">
        <x:v>PO.DAAC User Working Group</x:v>
      </x:c>
      <x:c r="H748" s="12" t="n">
        <x:v>2022</x:v>
      </x:c>
      <x:c r="I748" s="12" t="str">
        <x:v>Cloud-native researchers</x:v>
      </x:c>
      <x:c r="J748" s="12" t="str">
        <x:v>High</x:v>
      </x:c>
      <x:c r="K748" s="16" t="n">
        <x:v>0.75</x:v>
      </x:c>
      <x:c r="L748" s="12" t="str">
        <x:v>LSA similarity cluster; human review pending</x:v>
      </x:c>
      <x:c r="M748" s="12" t="str">
        <x:v>Section: 12.4 PO.DAAC UWG 2022 Report Key Points</x:v>
      </x:c>
      <x:c r="N748" s="12" t="str"/>
      <x:c r="O748" s="12" t="str">
        <x:v>No</x:v>
      </x:c>
      <x:c r="P748" s="12" t="str">
        <x:v>No</x:v>
      </x:c>
      <x:c r="Q748" s="12"/>
      <x:c r="R748" s="12"/>
    </x:row>
    <x:row r="749">
      <x:c r="A749" s="12" t="str">
        <x:v>EVD-00748</x:v>
      </x:c>
      <x:c r="B749" s="12" t="str">
        <x:v>NEED-0132</x:v>
      </x:c>
      <x:c r="C749" s="12" t="str">
        <x:v>SRC-0002</x:v>
      </x:c>
      <x:c r="D749" s="12" t="str">
        <x:v>Deepak Cherian https://cherian.net/ (Pangeo; oceanography mixing, coastal, equatorial)</x:v>
      </x:c>
      <x:c r="E749" s="12" t="str">
        <x:v>Deepak Cherian https://cherian.net/ (Pangeo; oceanography mixing, coastal, equatorial)</x:v>
      </x:c>
      <x:c r="F749" s="12" t="str">
        <x:v>Key Takeaway</x:v>
      </x:c>
      <x:c r="G749" s="12" t="str">
        <x:v>PO.DAAC User Working Group</x:v>
      </x:c>
      <x:c r="H749" s="12" t="n">
        <x:v>2022</x:v>
      </x:c>
      <x:c r="I749" s="12" t="str">
        <x:v>Earthdata users</x:v>
      </x:c>
      <x:c r="J749" s="12" t="str">
        <x:v>Medium</x:v>
      </x:c>
      <x:c r="K749" s="16" t="n">
        <x:v>0.75</x:v>
      </x:c>
      <x:c r="L749" s="12" t="str">
        <x:v>LSA similarity cluster; human review pending</x:v>
      </x:c>
      <x:c r="M749" s="12" t="str">
        <x:v>Section: 12.4 PO.DAAC UWG 2022 Report Key Points</x:v>
      </x:c>
      <x:c r="N749" s="12" t="str"/>
      <x:c r="O749" s="12" t="str">
        <x:v>No</x:v>
      </x:c>
      <x:c r="P749" s="12" t="str">
        <x:v>No</x:v>
      </x:c>
      <x:c r="Q749" s="12"/>
      <x:c r="R749" s="12"/>
    </x:row>
    <x:row r="750">
      <x:c r="A750" s="12" t="str">
        <x:v>EVD-00749</x:v>
      </x:c>
      <x:c r="B750" s="12" t="str">
        <x:v>NEED-0132</x:v>
      </x:c>
      <x:c r="C750" s="12" t="str">
        <x:v>SRC-0002</x:v>
      </x:c>
      <x:c r="D750" s="12" t="str">
        <x:v>Christopher Edwards https://oceansci.ucsc.edu/faculty/index.php?uid=cedwards (coastal modeling and data assimilation)</x:v>
      </x:c>
      <x:c r="E750" s="12" t="str">
        <x:v>Christopher Edwards https://oceansci.ucsc.edu/faculty/index.php?uid=cedwards (coastal modeling and data assimilation)</x:v>
      </x:c>
      <x:c r="F750" s="12" t="str">
        <x:v>Key Takeaway</x:v>
      </x:c>
      <x:c r="G750" s="12" t="str">
        <x:v>PO.DAAC User Working Group</x:v>
      </x:c>
      <x:c r="H750" s="12" t="n">
        <x:v>2022</x:v>
      </x:c>
      <x:c r="I750" s="12" t="str">
        <x:v>Earthdata users</x:v>
      </x:c>
      <x:c r="J750" s="12" t="str">
        <x:v>Medium</x:v>
      </x:c>
      <x:c r="K750" s="16" t="n">
        <x:v>0.75</x:v>
      </x:c>
      <x:c r="L750" s="12" t="str">
        <x:v>LSA similarity cluster; human review pending</x:v>
      </x:c>
      <x:c r="M750" s="12" t="str">
        <x:v>Section: 12.4 PO.DAAC UWG 2022 Report Key Points</x:v>
      </x:c>
      <x:c r="N750" s="12" t="str"/>
      <x:c r="O750" s="12" t="str">
        <x:v>No</x:v>
      </x:c>
      <x:c r="P750" s="12" t="str">
        <x:v>No</x:v>
      </x:c>
      <x:c r="Q750" s="12"/>
      <x:c r="R750" s="12"/>
    </x:row>
    <x:row r="751">
      <x:c r="A751" s="12" t="str">
        <x:v>EVD-00750</x:v>
      </x:c>
      <x:c r="B751" s="12" t="str">
        <x:v>NEED-0049</x:v>
      </x:c>
      <x:c r="C751" s="12" t="str">
        <x:v>SRC-0002</x:v>
      </x:c>
      <x:c r="D751" s="12" t="str">
        <x:v>On Earthdata Search, fix optimization of search to organize by relevance rather than most-used.</x:v>
      </x:c>
      <x:c r="E751" s="12" t="str">
        <x:v>On Earthdata Search, fix optimization of search to organize by relevance rather than most-used.</x:v>
      </x:c>
      <x:c r="F751" s="12" t="str">
        <x:v>Key Takeaway</x:v>
      </x:c>
      <x:c r="G751" s="12" t="str">
        <x:v>PO.DAAC User Working Group</x:v>
      </x:c>
      <x:c r="H751" s="12" t="n">
        <x:v>2022</x:v>
      </x:c>
      <x:c r="I751" s="12" t="str">
        <x:v>Earthdata users</x:v>
      </x:c>
      <x:c r="J751" s="12" t="str">
        <x:v>Medium</x:v>
      </x:c>
      <x:c r="K751" s="16" t="n">
        <x:v>0.75</x:v>
      </x:c>
      <x:c r="L751" s="12" t="str">
        <x:v>LSA similarity cluster; human review pending</x:v>
      </x:c>
      <x:c r="M751" s="12" t="str">
        <x:v>Section: 12.4 PO.DAAC UWG 2022 Report Key Points</x:v>
      </x:c>
      <x:c r="N751" s="12" t="str"/>
      <x:c r="O751" s="12" t="str">
        <x:v>No</x:v>
      </x:c>
      <x:c r="P751" s="12" t="str">
        <x:v>No</x:v>
      </x:c>
      <x:c r="Q751" s="12"/>
      <x:c r="R751" s="12"/>
    </x:row>
    <x:row r="752">
      <x:c r="A752" s="12" t="str">
        <x:v>EVD-00751</x:v>
      </x:c>
      <x:c r="B752" s="12" t="str">
        <x:v>NEED-0049</x:v>
      </x:c>
      <x:c r="C752" s="12" t="str">
        <x:v>SRC-0002</x:v>
      </x:c>
      <x:c r="D752" s="12" t="str">
        <x:v>Correct Earthdata Search OPeNDAP/Harmony errors for large downloads.</x:v>
      </x:c>
      <x:c r="E752" s="12" t="str">
        <x:v>Correct Earthdata Search OPeNDAP/Harmony errors for large downloads.</x:v>
      </x:c>
      <x:c r="F752" s="12" t="str">
        <x:v>Key Takeaway</x:v>
      </x:c>
      <x:c r="G752" s="12" t="str">
        <x:v>PO.DAAC User Working Group</x:v>
      </x:c>
      <x:c r="H752" s="12" t="n">
        <x:v>2022</x:v>
      </x:c>
      <x:c r="I752" s="12" t="str">
        <x:v>Earthdata users</x:v>
      </x:c>
      <x:c r="J752" s="12" t="str">
        <x:v>Medium</x:v>
      </x:c>
      <x:c r="K752" s="16" t="n">
        <x:v>0.75</x:v>
      </x:c>
      <x:c r="L752" s="12" t="str">
        <x:v>LSA similarity cluster; human review pending</x:v>
      </x:c>
      <x:c r="M752" s="12" t="str">
        <x:v>Section: 12.4 PO.DAAC UWG 2022 Report Key Points</x:v>
      </x:c>
      <x:c r="N752" s="12" t="str"/>
      <x:c r="O752" s="12" t="str">
        <x:v>No</x:v>
      </x:c>
      <x:c r="P752" s="12" t="str">
        <x:v>No</x:v>
      </x:c>
      <x:c r="Q752" s="12"/>
      <x:c r="R752" s="12"/>
    </x:row>
    <x:row r="753">
      <x:c r="A753" s="12" t="str">
        <x:v>EVD-00752</x:v>
      </x:c>
      <x:c r="B753" s="12" t="str">
        <x:v>NEED-0049</x:v>
      </x:c>
      <x:c r="C753" s="12" t="str">
        <x:v>SRC-0002</x:v>
      </x:c>
      <x:c r="D753" s="12" t="str">
        <x:v>Provide option for Earthdata Search “manual download” to sort by file type (NetCDF, etc.) and easily download a simple subset based on that.</x:v>
      </x:c>
      <x:c r="E753" s="12" t="str">
        <x:v>Provide option for Earthdata Search “manual download” to sort by file type (NetCDF, etc.) and easily download a simple subset based on that.</x:v>
      </x:c>
      <x:c r="F753" s="12" t="str">
        <x:v>Key Takeaway</x:v>
      </x:c>
      <x:c r="G753" s="12" t="str">
        <x:v>PO.DAAC User Working Group</x:v>
      </x:c>
      <x:c r="H753" s="12" t="n">
        <x:v>2022</x:v>
      </x:c>
      <x:c r="I753" s="12" t="str">
        <x:v>Earthdata users</x:v>
      </x:c>
      <x:c r="J753" s="12" t="str">
        <x:v>High</x:v>
      </x:c>
      <x:c r="K753" s="16" t="n">
        <x:v>0.75</x:v>
      </x:c>
      <x:c r="L753" s="12" t="str">
        <x:v>LSA similarity cluster; human review pending</x:v>
      </x:c>
      <x:c r="M753" s="12" t="str">
        <x:v>Section: 12.4 PO.DAAC UWG 2022 Report Key Points</x:v>
      </x:c>
      <x:c r="N753" s="12" t="str"/>
      <x:c r="O753" s="12" t="str">
        <x:v>No</x:v>
      </x:c>
      <x:c r="P753" s="12" t="str">
        <x:v>No</x:v>
      </x:c>
      <x:c r="Q753" s="12"/>
      <x:c r="R753" s="12"/>
    </x:row>
    <x:row r="754">
      <x:c r="A754" s="12" t="str">
        <x:v>EVD-00753</x:v>
      </x:c>
      <x:c r="B754" s="12" t="str">
        <x:v>NEED-0140</x:v>
      </x:c>
      <x:c r="C754" s="12" t="str">
        <x:v>SRC-0002</x:v>
      </x:c>
      <x:c r="D754" s="12" t="str">
        <x:v>Updates by SEDAC and NASA</x:v>
      </x:c>
      <x:c r="E754" s="12" t="str">
        <x:v>Updates by SEDAC and NASA</x:v>
      </x:c>
      <x:c r="F754" s="12" t="str">
        <x:v>Finding</x:v>
      </x:c>
      <x:c r="G754" s="12" t="str">
        <x:v>SEDAC User Working Group</x:v>
      </x:c>
      <x:c r="H754" s="12" t="n">
        <x:v>2022</x:v>
      </x:c>
      <x:c r="I754" s="12" t="str">
        <x:v>Earthdata users</x:v>
      </x:c>
      <x:c r="J754" s="12" t="str">
        <x:v>Medium</x:v>
      </x:c>
      <x:c r="K754" s="16" t="n">
        <x:v>0.75</x:v>
      </x:c>
      <x:c r="L754" s="12" t="str">
        <x:v>LSA similarity cluster; human review pending</x:v>
      </x:c>
      <x:c r="M754" s="12" t="str">
        <x:v>Section: 13.4 Key Findings</x:v>
      </x:c>
      <x:c r="N754" s="12" t="str"/>
      <x:c r="O754" s="12" t="str">
        <x:v>No</x:v>
      </x:c>
      <x:c r="P754" s="12" t="str">
        <x:v>No</x:v>
      </x:c>
      <x:c r="Q754" s="12"/>
      <x:c r="R754" s="12"/>
    </x:row>
    <x:row r="755">
      <x:c r="A755" s="12" t="str">
        <x:v>EVD-00754</x:v>
      </x:c>
      <x:c r="B755" s="12" t="str">
        <x:v>NEED-0079</x:v>
      </x:c>
      <x:c r="C755" s="12" t="str">
        <x:v>SRC-0002</x:v>
      </x:c>
      <x:c r="D755" s="12" t="str">
        <x:v>Following SEDAC manager R. Chen’s update on SEDAC, the UWG expressed strong interest in SEDAC’s work with Lehman College, a Minority Serving Institution (MSI) with graduate students in geographic information science. The effort to develop flood hazard vulnerability data using online imagery has led to a peer-reviewed paper, a dataset, and several scientific presentations. Chen noted that the students really do need to be paid owing to their financial circumstances. Two former interns have been hired by NASA Marshall Space Flight Center in Huntsville AL to work on SERVIR and the Human Planet initiative. Another student is participating in the DEVELOP program. There are opportunities at other CUNY schools including Hunter College.</x:v>
      </x:c>
      <x:c r="E755" s="12" t="str">
        <x:v>Following SEDAC manager R. Chen’s update on SEDAC, the UWG expressed strong interest in SEDAC’s work with Lehman College, a Minority Serving Institution (MSI) with graduate students in geographic information science. The effort to develop flood hazard vulnerability data using online imagery has led to a peer-reviewed paper, a dataset, and several scientific presentations. Chen noted that the students really do need to be paid owing to their financial circumstances. Two former interns have been hired by NASA Marshall Space Flight Center in Huntsville AL to work on SERVIR and the Human Planet initiative. Another student is participating in the DEVELOP program. There are opportunities at other CUNY schools including Hunter College.</x:v>
      </x:c>
      <x:c r="F755" s="12" t="str">
        <x:v>Finding</x:v>
      </x:c>
      <x:c r="G755" s="12" t="str">
        <x:v>SEDAC User Working Group</x:v>
      </x:c>
      <x:c r="H755" s="12" t="n">
        <x:v>2022</x:v>
      </x:c>
      <x:c r="I755" s="12" t="str">
        <x:v>Educators and trainers</x:v>
      </x:c>
      <x:c r="J755" s="12" t="str">
        <x:v>High</x:v>
      </x:c>
      <x:c r="K755" s="16" t="n">
        <x:v>0.75</x:v>
      </x:c>
      <x:c r="L755" s="12" t="str">
        <x:v>LSA similarity cluster; human review pending</x:v>
      </x:c>
      <x:c r="M755" s="12" t="str">
        <x:v>Section: 13.4 Key Findings</x:v>
      </x:c>
      <x:c r="N755" s="12" t="str"/>
      <x:c r="O755" s="12" t="str">
        <x:v>No</x:v>
      </x:c>
      <x:c r="P755" s="12" t="str">
        <x:v>No</x:v>
      </x:c>
      <x:c r="Q755" s="12"/>
      <x:c r="R755" s="12"/>
    </x:row>
    <x:row r="756">
      <x:c r="A756" s="12" t="str">
        <x:v>EVD-00755</x:v>
      </x:c>
      <x:c r="B756" s="12" t="str">
        <x:v>NEED-0009</x:v>
      </x:c>
      <x:c r="C756" s="12" t="str">
        <x:v>SRC-0002</x:v>
      </x:c>
      <x:c r="D756" s="12" t="str">
        <x:v>C. Albers, NASA’s new Program Executive for the Earth Science Data Systems (ESDS) Program, presented on the move to open-source science, the practical ramifications for the DAACs of users accessing and processing the data in the cloud, and the ongoing development of Science Enabling Centers (SECs). She noted that workshops on open-source science will take place in fall 2022. During the Q&amp;A, there were questions about the long-term continuity of the mission/products and plans for Terra, Aqua, and other missions. UWG members also asked about the possible costs of data access through the cloud and how this could affect openness and accessibility (e.g., given that commercial users are now being charged to use Google Earth Engine). One UWG member inquired about the transition to the cloud being platform independent or agnostic in terms of tools, and about technological “lock in” implied by architecture decisions. Albers noted that the Multi Mission Analysis and Algorithm (MMAA) approach will support multiple tools.</x:v>
      </x:c>
      <x:c r="E756" s="12" t="str">
        <x:v>C. Albers, NASA’s new Program Executive for the Earth Science Data Systems (ESDS) Program, presented on the move to open-source science, the practical ramifications for the DAACs of users accessing and processing the data in the cloud, and the ongoing development of Science Enabling Centers (SECs). She noted that workshops on open-source science will take place in fall 2022. During the Q&amp;A, there were questions about the long-term continuity of the mission/products and plans for Terra, Aqua, and other missions. UWG members also asked about the possible costs of data access through the cloud and how this could affect openness and accessibility (e.g., given that commercial users are now being charged to use Google Earth Engine). One UWG member inquired about the transition to the cloud being platform independent or agnostic in terms of tools, and about technological “lock in” implied by architecture decisions. Albers noted that the Multi Mission Analysis and Algorithm (MMAA) approach will support multiple tools.</x:v>
      </x:c>
      <x:c r="F756" s="12" t="str">
        <x:v>Finding</x:v>
      </x:c>
      <x:c r="G756" s="12" t="str">
        <x:v>SEDAC User Working Group</x:v>
      </x:c>
      <x:c r="H756" s="12" t="n">
        <x:v>2022</x:v>
      </x:c>
      <x:c r="I756" s="12" t="str">
        <x:v>Cloud-native researchers; Data producers and mission teams; Educators and trainers; Earth science researchers</x:v>
      </x:c>
      <x:c r="J756" s="12" t="str">
        <x:v>High</x:v>
      </x:c>
      <x:c r="K756" s="16" t="n">
        <x:v>0.75</x:v>
      </x:c>
      <x:c r="L756" s="12" t="str">
        <x:v>LSA similarity cluster; human review pending</x:v>
      </x:c>
      <x:c r="M756" s="12" t="str">
        <x:v>Section: 13.4 Key Findings</x:v>
      </x:c>
      <x:c r="N756" s="12" t="str"/>
      <x:c r="O756" s="12" t="str">
        <x:v>No</x:v>
      </x:c>
      <x:c r="P756" s="12" t="str">
        <x:v>No</x:v>
      </x:c>
      <x:c r="Q756" s="12"/>
      <x:c r="R756" s="12"/>
    </x:row>
    <x:row r="757">
      <x:c r="A757" s="12" t="str">
        <x:v>EVD-00756</x:v>
      </x:c>
      <x:c r="B757" s="12" t="str">
        <x:v>NEED-0009</x:v>
      </x:c>
      <x:c r="C757" s="12" t="str">
        <x:v>SRC-0002</x:v>
      </x:c>
      <x:c r="D757" s="12" t="str">
        <x:v>F. Lindsay, DAAC Engineer for SEDAC, provided an update on the ESDS Project. He pointed out that the sheer volume of ESDS data (about 350 PB by 2019) has been a driver of the movement to the cloud, along with the need for a richer, more integrate data environment (or “data lake”). A benefit of migration to the cloud is increased collaboration among the DAACs. The Science Enabling Centers (SECs) will be support mechanisms for open science. SECs represent a shift to a focus on enabling scientific research and supporting increasingly diverse communities. Data access becomes standardized with common user interfaces, and EOSDIS architecture and infrastructure become managed services. There was an animated discussion on SEDAC’s mission as an information gateway and how to align it with the SEC concept and potentially contribute to multiple SECs. The discussion also touched on the co-existence of DAACs and SECs. NASA is planning to develop curriculum and training through the Transform to Open Science (TOPS) platform, and SEDAC’s past training materials on data integration could be redeveloped for the cloud computing environment.</x:v>
      </x:c>
      <x:c r="E757" s="12" t="str">
        <x:v>F. Lindsay, DAAC Engineer for SEDAC, provided an update on the ESDS Project. He pointed out that the sheer volume of ESDS data (about 350 PB by 2019) has been a driver of the movement to the cloud, along with the need for a richer, more integrate data environment (or “data lake”). A benefit of migration to the cloud is increased collaboration among the DAACs. The Science Enabling Centers (SECs) will be support mechanisms for open science. SECs represent a shift to a focus on enabling scientific research and supporting increasingly diverse communities. Data access becomes standardized with common user interfaces, and EOSDIS architecture and infrastructure become managed services. There was an animated discussion on SEDAC’s mission as an information gateway and how to align it with the SEC concept and potentially contribute to multiple SECs. The discussion also touched on the co-existence of DAACs and SECs. NASA is planning to develop curriculum and training through the Transform to Open Science (TOPS) platform, and SEDAC’s past training materials on data integration could be redeveloped for the cloud computing environment.</x:v>
      </x:c>
      <x:c r="F757" s="12" t="str">
        <x:v>Finding</x:v>
      </x:c>
      <x:c r="G757" s="12" t="str">
        <x:v>SEDAC User Working Group</x:v>
      </x:c>
      <x:c r="H757" s="12" t="n">
        <x:v>2022</x:v>
      </x:c>
      <x:c r="I757" s="12" t="str">
        <x:v>Cloud-native researchers; Data producers and mission teams; Educators and trainers; Earth science researchers</x:v>
      </x:c>
      <x:c r="J757" s="12" t="str">
        <x:v>High</x:v>
      </x:c>
      <x:c r="K757" s="16" t="n">
        <x:v>0.75</x:v>
      </x:c>
      <x:c r="L757" s="12" t="str">
        <x:v>LSA similarity cluster; human review pending</x:v>
      </x:c>
      <x:c r="M757" s="12" t="str">
        <x:v>Section: 13.4 Key Findings</x:v>
      </x:c>
      <x:c r="N757" s="12" t="str"/>
      <x:c r="O757" s="12" t="str">
        <x:v>No</x:v>
      </x:c>
      <x:c r="P757" s="12" t="str">
        <x:v>No</x:v>
      </x:c>
      <x:c r="Q757" s="12"/>
      <x:c r="R757" s="12"/>
    </x:row>
    <x:row r="758">
      <x:c r="A758" s="12" t="str">
        <x:v>EVD-00757</x:v>
      </x:c>
      <x:c r="B758" s="12" t="str">
        <x:v>NEED-0009</x:v>
      </x:c>
      <x:c r="C758" s="12" t="str">
        <x:v>SRC-0002</x:v>
      </x:c>
      <x:c r="D758" s="12" t="str">
        <x:v>J. Brennan, EOSDIS Communications Lead, presented remotely on joint EOSDIS-SEDAC communications activities. As an example of materials that could be re-developed for cloud computing environments, she noted the Earthdata webinar on “Using Geospatial Data to Evaluate Climate Hazards and Inform Environmental Justice,” which was presented by SEDAC postdocs C. Tuholske and C. Hultquist (who have recently moved on to faculty positions). She also summarized other communication efforts during the past year, including 2 data user profiles of SEDAC UWG members, 2 feature articles, and 2 dataset announcements.</x:v>
      </x:c>
      <x:c r="E758" s="12" t="str">
        <x:v>J. Brennan, EOSDIS Communications Lead, presented remotely on joint EOSDIS-SEDAC communications activities. As an example of materials that could be re-developed for cloud computing environments, she noted the Earthdata webinar on “Using Geospatial Data to Evaluate Climate Hazards and Inform Environmental Justice,” which was presented by SEDAC postdocs C. Tuholske and C. Hultquist (who have recently moved on to faculty positions). She also summarized other communication efforts during the past year, including 2 data user profiles of SEDAC UWG members, 2 feature articles, and 2 dataset announcements.</x:v>
      </x:c>
      <x:c r="F758" s="12" t="str">
        <x:v>Finding</x:v>
      </x:c>
      <x:c r="G758" s="12" t="str">
        <x:v>SEDAC User Working Group</x:v>
      </x:c>
      <x:c r="H758" s="12" t="n">
        <x:v>2022</x:v>
      </x:c>
      <x:c r="I758" s="12" t="str">
        <x:v>GIS users; Cloud-native researchers</x:v>
      </x:c>
      <x:c r="J758" s="12" t="str">
        <x:v>Medium</x:v>
      </x:c>
      <x:c r="K758" s="16" t="n">
        <x:v>0.75</x:v>
      </x:c>
      <x:c r="L758" s="12" t="str">
        <x:v>LSA similarity cluster; human review pending</x:v>
      </x:c>
      <x:c r="M758" s="12" t="str">
        <x:v>Section: 13.4 Key Findings</x:v>
      </x:c>
      <x:c r="N758" s="12" t="str"/>
      <x:c r="O758" s="12" t="str">
        <x:v>No</x:v>
      </x:c>
      <x:c r="P758" s="12" t="str">
        <x:v>No</x:v>
      </x:c>
      <x:c r="Q758" s="12"/>
      <x:c r="R758" s="12"/>
    </x:row>
    <x:row r="759">
      <x:c r="A759" s="12" t="str">
        <x:v>EVD-00758</x:v>
      </x:c>
      <x:c r="B759" s="12" t="str">
        <x:v>NEED-0140</x:v>
      </x:c>
      <x:c r="C759" s="12" t="str">
        <x:v>SRC-0002</x:v>
      </x:c>
      <x:c r="D759" s="12" t="str">
        <x:v>Action Items Update</x:v>
      </x:c>
      <x:c r="E759" s="12" t="str">
        <x:v>Action Items Update</x:v>
      </x:c>
      <x:c r="F759" s="12" t="str">
        <x:v>Action</x:v>
      </x:c>
      <x:c r="G759" s="12" t="str">
        <x:v>SEDAC User Working Group</x:v>
      </x:c>
      <x:c r="H759" s="12" t="n">
        <x:v>2022</x:v>
      </x:c>
      <x:c r="I759" s="12" t="str">
        <x:v>Earthdata users</x:v>
      </x:c>
      <x:c r="J759" s="12" t="str">
        <x:v>Medium</x:v>
      </x:c>
      <x:c r="K759" s="16" t="n">
        <x:v>0.75</x:v>
      </x:c>
      <x:c r="L759" s="12" t="str">
        <x:v>LSA similarity cluster; human review pending</x:v>
      </x:c>
      <x:c r="M759" s="12" t="str">
        <x:v>Section: 13.4 Key Findings</x:v>
      </x:c>
      <x:c r="N759" s="12" t="str"/>
      <x:c r="O759" s="12" t="str">
        <x:v>No</x:v>
      </x:c>
      <x:c r="P759" s="12" t="str">
        <x:v>No</x:v>
      </x:c>
      <x:c r="Q759" s="12"/>
      <x:c r="R759" s="12"/>
    </x:row>
    <x:row r="760">
      <x:c r="A760" s="12" t="str">
        <x:v>EVD-00759</x:v>
      </x:c>
      <x:c r="B760" s="12" t="str">
        <x:v>NEED-0106</x:v>
      </x:c>
      <x:c r="C760" s="12" t="str">
        <x:v>SRC-0002</x:v>
      </x:c>
      <x:c r="D760" s="12" t="str">
        <x:v>As a follow-up to UWG action items 21-09 and 21-10, senior digital archivist R. Downs presented an update to the SEDAC Citation Analysis, focusing on joint citations of SEDAC and remote sensing data. There is recognition that this gets at the core of SEDAC’s mission. Questions arose around what keywords are used to identify terms related to “remote sensing” (a long list of terms is used), and what percentage of articles substantively use both SEDAC and remote sensing data versus simple citations of both data types but without any joint analysis or integration. A more detailed inspection of each article is required to get at this distinction, which would take substantial time. It was suggested that it would be interesting to look at the authors who do consistently integrate socioeconomic and remote sensing data in terms of their institutional and disciplinary affiliations.</x:v>
      </x:c>
      <x:c r="E760" s="12" t="str">
        <x:v>As a follow-up to UWG action items 21-09 and 21-10, senior digital archivist R. Downs presented an update to the SEDAC Citation Analysis, focusing on joint citations of SEDAC and remote sensing data. There is recognition that this gets at the core of SEDAC’s mission. Questions arose around what keywords are used to identify terms related to “remote sensing” (a long list of terms is used), and what percentage of articles substantively use both SEDAC and remote sensing data versus simple citations of both data types but without any joint analysis or integration. A more detailed inspection of each article is required to get at this distinction, which would take substantial time. It was suggested that it would be interesting to look at the authors who do consistently integrate socioeconomic and remote sensing data in terms of their institutional and disciplinary affiliations.</x:v>
      </x:c>
      <x:c r="F760" s="12" t="str">
        <x:v>Action</x:v>
      </x:c>
      <x:c r="G760" s="12" t="str">
        <x:v>SEDAC User Working Group</x:v>
      </x:c>
      <x:c r="H760" s="12" t="n">
        <x:v>2022</x:v>
      </x:c>
      <x:c r="I760" s="12" t="str">
        <x:v>Data producers and mission teams; Earth science researchers</x:v>
      </x:c>
      <x:c r="J760" s="12" t="str">
        <x:v>Medium</x:v>
      </x:c>
      <x:c r="K760" s="16" t="n">
        <x:v>0.75</x:v>
      </x:c>
      <x:c r="L760" s="12" t="str">
        <x:v>LSA similarity cluster; human review pending</x:v>
      </x:c>
      <x:c r="M760" s="12" t="str">
        <x:v>Section: 13.4 Key Findings</x:v>
      </x:c>
      <x:c r="N760" s="12" t="str"/>
      <x:c r="O760" s="12" t="str">
        <x:v>No</x:v>
      </x:c>
      <x:c r="P760" s="12" t="str">
        <x:v>No</x:v>
      </x:c>
      <x:c r="Q760" s="12"/>
      <x:c r="R760" s="12"/>
    </x:row>
    <x:row r="761">
      <x:c r="A761" s="12" t="str">
        <x:v>EVD-00760</x:v>
      </x:c>
      <x:c r="B761" s="12" t="str">
        <x:v>NEED-0170</x:v>
      </x:c>
      <x:c r="C761" s="12" t="str">
        <x:v>SRC-0002</x:v>
      </x:c>
      <x:c r="D761" s="12" t="str">
        <x:v>Following up on action item 21-14, SEDAC deputy manager A. de Sherbinin and project scientist S. Adamo presented on the characteristics of the SEDAC user community and the tools they use. UWG members discussed the potential for a survey of SEDAC-registered Earthdata users, but it was recognized that this may not be possible given restrictions stemming from the Paperwork Reduction Act. F. Lindsay indicated that the American Customer Satisfaction Index (ACSI) annual survey has limits on how it can be changed, but it could be argued that it would improve the user experience for users to provide a bit more information such as disciplinary affiliation. The options for disciplinary affiliation currently provided by Earthdata Login (EDL) are not well suited for SEDAC users, since more than half of SEDAC users choose “other”). It was therefore suggested that the “other” category could include the option to manually fill in a user’s discipline.</x:v>
      </x:c>
      <x:c r="E761" s="12" t="str">
        <x:v>Following up on action item 21-14, SEDAC deputy manager A. de Sherbinin and project scientist S. Adamo presented on the characteristics of the SEDAC user community and the tools they use. UWG members discussed the potential for a survey of SEDAC-registered Earthdata users, but it was recognized that this may not be possible given restrictions stemming from the Paperwork Reduction Act. F. Lindsay indicated that the American Customer Satisfaction Index (ACSI) annual survey has limits on how it can be changed, but it could be argued that it would improve the user experience for users to provide a bit more information such as disciplinary affiliation. The options for disciplinary affiliation currently provided by Earthdata Login (EDL) are not well suited for SEDAC users, since more than half of SEDAC users choose “other”). It was therefore suggested that the “other” category could include the option to manually fill in a user’s discipline.</x:v>
      </x:c>
      <x:c r="F761" s="12" t="str">
        <x:v>Action</x:v>
      </x:c>
      <x:c r="G761" s="12" t="str">
        <x:v>SEDAC User Working Group</x:v>
      </x:c>
      <x:c r="H761" s="12" t="n">
        <x:v>2022</x:v>
      </x:c>
      <x:c r="I761" s="12" t="str">
        <x:v>GIS users; Earth science researchers</x:v>
      </x:c>
      <x:c r="J761" s="12" t="str">
        <x:v>High</x:v>
      </x:c>
      <x:c r="K761" s="16" t="n">
        <x:v>0.75</x:v>
      </x:c>
      <x:c r="L761" s="12" t="str">
        <x:v>LSA similarity cluster; human review pending</x:v>
      </x:c>
      <x:c r="M761" s="12" t="str">
        <x:v>Section: 13.4 Key Findings</x:v>
      </x:c>
      <x:c r="N761" s="12" t="str"/>
      <x:c r="O761" s="12" t="str">
        <x:v>No</x:v>
      </x:c>
      <x:c r="P761" s="12" t="str">
        <x:v>No</x:v>
      </x:c>
      <x:c r="Q761" s="12"/>
      <x:c r="R761" s="12"/>
    </x:row>
    <x:row r="762">
      <x:c r="A762" s="12" t="str">
        <x:v>EVD-00761</x:v>
      </x:c>
      <x:c r="B762" s="12" t="str">
        <x:v>NEED-0121</x:v>
      </x:c>
      <x:c r="C762" s="12" t="str">
        <x:v>SRC-0002</x:v>
      </x:c>
      <x:c r="D762" s="12" t="str">
        <x:v>UWG member D. Wood of the Massachusetts Institute of Technology (MIT) gave an informal lunch briefing on “The Environment-Vulnerability-Decision-Technology (EVDT) Integrated Modeling Framework: Learning from geophysical and socioeconomic insights.”</x:v>
      </x:c>
      <x:c r="E762" s="12" t="str">
        <x:v>UWG member D. Wood of the Massachusetts Institute of Technology (MIT) gave an informal lunch briefing on “The Environment-Vulnerability-Decision-Technology (EVDT) Integrated Modeling Framework: Learning from geophysical and socioeconomic insights.”</x:v>
      </x:c>
      <x:c r="F762" s="12" t="str">
        <x:v>Finding</x:v>
      </x:c>
      <x:c r="G762" s="12" t="str">
        <x:v>SEDAC User Working Group</x:v>
      </x:c>
      <x:c r="H762" s="12" t="n">
        <x:v>2022</x:v>
      </x:c>
      <x:c r="I762" s="12" t="str">
        <x:v>Earthdata users</x:v>
      </x:c>
      <x:c r="J762" s="12" t="str">
        <x:v>Medium</x:v>
      </x:c>
      <x:c r="K762" s="16" t="n">
        <x:v>0.75</x:v>
      </x:c>
      <x:c r="L762" s="12" t="str">
        <x:v>LSA similarity cluster; human review pending</x:v>
      </x:c>
      <x:c r="M762" s="12" t="str">
        <x:v>Section: 13.4 Key Findings</x:v>
      </x:c>
      <x:c r="N762" s="12" t="str"/>
      <x:c r="O762" s="12" t="str">
        <x:v>No</x:v>
      </x:c>
      <x:c r="P762" s="12" t="str">
        <x:v>No</x:v>
      </x:c>
      <x:c r="Q762" s="12"/>
      <x:c r="R762" s="12"/>
    </x:row>
    <x:row r="763">
      <x:c r="A763" s="12" t="str">
        <x:v>EVD-00762</x:v>
      </x:c>
      <x:c r="B763" s="12" t="str">
        <x:v>NEED-0122</x:v>
      </x:c>
      <x:c r="C763" s="12" t="str">
        <x:v>SRC-0002</x:v>
      </x:c>
      <x:c r="D763" s="12" t="str">
        <x:v>Breakout Groups to Discuss Draft SEDAC Strategic Priorities</x:v>
      </x:c>
      <x:c r="E763" s="12" t="str">
        <x:v>Breakout Groups to Discuss Draft SEDAC Strategic Priorities</x:v>
      </x:c>
      <x:c r="F763" s="12" t="str">
        <x:v>Finding</x:v>
      </x:c>
      <x:c r="G763" s="12" t="str">
        <x:v>SEDAC User Working Group</x:v>
      </x:c>
      <x:c r="H763" s="12" t="n">
        <x:v>2022</x:v>
      </x:c>
      <x:c r="I763" s="12" t="str">
        <x:v>Earthdata users</x:v>
      </x:c>
      <x:c r="J763" s="12" t="str">
        <x:v>Medium</x:v>
      </x:c>
      <x:c r="K763" s="16" t="n">
        <x:v>0.75</x:v>
      </x:c>
      <x:c r="L763" s="12" t="str">
        <x:v>LSA similarity cluster; human review pending</x:v>
      </x:c>
      <x:c r="M763" s="12" t="str">
        <x:v>Section: 13.4 Key Findings</x:v>
      </x:c>
      <x:c r="N763" s="12" t="str"/>
      <x:c r="O763" s="12" t="str">
        <x:v>No</x:v>
      </x:c>
      <x:c r="P763" s="12" t="str">
        <x:v>No</x:v>
      </x:c>
      <x:c r="Q763" s="12"/>
      <x:c r="R763" s="12"/>
    </x:row>
    <x:row r="764">
      <x:c r="A764" s="12" t="str">
        <x:v>EVD-00763</x:v>
      </x:c>
      <x:c r="B764" s="12" t="str">
        <x:v>NEED-0009</x:v>
      </x:c>
      <x:c r="C764" s="12" t="str">
        <x:v>SRC-0002</x:v>
      </x:c>
      <x:c r="D764" s="12" t="str">
        <x:v>UWG members, NASA personnel, and SEDAC staff divided into four breakout groups to discuss draft strategic priorities proposed for the new SEDAC Strategic Plan: SP1: population and settlement data for climate, sustainability and health; SP2: environment and sustainable development indicators; SP3: environmental and climate justice; and SP4: tools and services – open-source science and cloud migration. UWG members were asked to chair each breakout.</x:v>
      </x:c>
      <x:c r="E764" s="12" t="str">
        <x:v>UWG members, NASA personnel, and SEDAC staff divided into four breakout groups to discuss draft strategic priorities proposed for the new SEDAC Strategic Plan: SP1: population and settlement data for climate, sustainability and health; SP2: environment and sustainable development indicators; SP3: environmental and climate justice; and SP4: tools and services – open-source science and cloud migration. UWG members were asked to chair each breakout.</x:v>
      </x:c>
      <x:c r="F764" s="12" t="str">
        <x:v>Finding</x:v>
      </x:c>
      <x:c r="G764" s="12" t="str">
        <x:v>SEDAC User Working Group</x:v>
      </x:c>
      <x:c r="H764" s="12" t="n">
        <x:v>2022</x:v>
      </x:c>
      <x:c r="I764" s="12" t="str">
        <x:v>Cloud-native researchers</x:v>
      </x:c>
      <x:c r="J764" s="12" t="str">
        <x:v>Medium</x:v>
      </x:c>
      <x:c r="K764" s="16" t="n">
        <x:v>0.75</x:v>
      </x:c>
      <x:c r="L764" s="12" t="str">
        <x:v>LSA similarity cluster; human review pending</x:v>
      </x:c>
      <x:c r="M764" s="12" t="str">
        <x:v>Section: 13.4 Key Findings</x:v>
      </x:c>
      <x:c r="N764" s="12" t="str"/>
      <x:c r="O764" s="12" t="str">
        <x:v>No</x:v>
      </x:c>
      <x:c r="P764" s="12" t="str">
        <x:v>No</x:v>
      </x:c>
      <x:c r="Q764" s="12"/>
      <x:c r="R764" s="12"/>
    </x:row>
    <x:row r="765">
      <x:c r="A765" s="12" t="str">
        <x:v>EVD-00764</x:v>
      </x:c>
      <x:c r="B765" s="12" t="str">
        <x:v>NEED-0133</x:v>
      </x:c>
      <x:c r="C765" s="12" t="str">
        <x:v>SRC-0002</x:v>
      </x:c>
      <x:c r="D765" s="12" t="str">
        <x:v>After the breakouts, each group reported its main conclusions to the plenary group. Major points are:</x:v>
      </x:c>
      <x:c r="E765" s="12" t="str">
        <x:v>After the breakouts, each group reported its main conclusions to the plenary group. Major points are:</x:v>
      </x:c>
      <x:c r="F765" s="12" t="str">
        <x:v>Finding</x:v>
      </x:c>
      <x:c r="G765" s="12" t="str">
        <x:v>SEDAC User Working Group</x:v>
      </x:c>
      <x:c r="H765" s="12" t="n">
        <x:v>2022</x:v>
      </x:c>
      <x:c r="I765" s="12" t="str">
        <x:v>Earthdata users</x:v>
      </x:c>
      <x:c r="J765" s="12" t="str">
        <x:v>Medium</x:v>
      </x:c>
      <x:c r="K765" s="16" t="n">
        <x:v>0.75</x:v>
      </x:c>
      <x:c r="L765" s="12" t="str">
        <x:v>LSA similarity cluster; human review pending</x:v>
      </x:c>
      <x:c r="M765" s="12" t="str">
        <x:v>Section: 13.4 Key Findings</x:v>
      </x:c>
      <x:c r="N765" s="12" t="str"/>
      <x:c r="O765" s="12" t="str">
        <x:v>No</x:v>
      </x:c>
      <x:c r="P765" s="12" t="str">
        <x:v>No</x:v>
      </x:c>
      <x:c r="Q765" s="12"/>
      <x:c r="R765" s="12"/>
    </x:row>
    <x:row r="766">
      <x:c r="A766" s="12" t="str">
        <x:v>EVD-00765</x:v>
      </x:c>
      <x:c r="B766" s="12" t="str">
        <x:v>NEED-0179</x:v>
      </x:c>
      <x:c r="C766" s="12" t="str">
        <x:v>SRC-0002</x:v>
      </x:c>
      <x:c r="D766" s="12" t="str">
        <x:v>SP1: The group supported continued high priority on efforts to facilitate intercomparison and support sensitivity analysis of the growing variety of population, settlement, and infrastructure data sets. Further attention is needed to the “science” of data integration and to improving and utilizing projections into the future. SEDAC should continue to work with stakeholders from diverse sectors and application areas, with special emphasis on health, social science, and human dimensions user communities.</x:v>
      </x:c>
      <x:c r="E766" s="12" t="str">
        <x:v>SP1: The group supported continued high priority on efforts to facilitate intercomparison and support sensitivity analysis of the growing variety of population, settlement, and infrastructure data sets. Further attention is needed to the “science” of data integration and to improving and utilizing projections into the future. SEDAC should continue to work with stakeholders from diverse sectors and application areas, with special emphasis on health, social science, and human dimensions user communities.</x:v>
      </x:c>
      <x:c r="F766" s="12" t="str">
        <x:v>Finding</x:v>
      </x:c>
      <x:c r="G766" s="12" t="str">
        <x:v>SEDAC User Working Group</x:v>
      </x:c>
      <x:c r="H766" s="12" t="n">
        <x:v>2022</x:v>
      </x:c>
      <x:c r="I766" s="12" t="str">
        <x:v>Earth science researchers</x:v>
      </x:c>
      <x:c r="J766" s="12" t="str">
        <x:v>High</x:v>
      </x:c>
      <x:c r="K766" s="16" t="n">
        <x:v>0.75</x:v>
      </x:c>
      <x:c r="L766" s="12" t="str">
        <x:v>LSA similarity cluster; human review pending</x:v>
      </x:c>
      <x:c r="M766" s="12" t="str">
        <x:v>Section: 13.4 Key Findings</x:v>
      </x:c>
      <x:c r="N766" s="12" t="str"/>
      <x:c r="O766" s="12" t="str">
        <x:v>No</x:v>
      </x:c>
      <x:c r="P766" s="12" t="str">
        <x:v>No</x:v>
      </x:c>
      <x:c r="Q766" s="12"/>
      <x:c r="R766" s="12"/>
    </x:row>
    <x:row r="767">
      <x:c r="A767" s="12" t="str">
        <x:v>EVD-00766</x:v>
      </x:c>
      <x:c r="B767" s="12" t="str">
        <x:v>NEED-0047</x:v>
      </x:c>
      <x:c r="C767" s="12" t="str">
        <x:v>SRC-0002</x:v>
      </x:c>
      <x:c r="D767" s="12" t="str">
        <x:v>SP2: Support for policy-relevant indictors of various type such as the SDGs should remain a high priority, given SEDAC’s mission to support policy and societal applications. Indicators are particularly valuable in monitoring, process tracking, and impact assessment. However, methods and approaches are still evolving, so SEDAC can help the research community with key challenges such as the incorporation of citizen science data, validation, and integration of indicators.</x:v>
      </x:c>
      <x:c r="E767" s="12" t="str">
        <x:v>SP2: Support for policy-relevant indictors of various type such as the SDGs should remain a high priority, given SEDAC’s mission to support policy and societal applications. Indicators are particularly valuable in monitoring, process tracking, and impact assessment. However, methods and approaches are still evolving, so SEDAC can help the research community with key challenges such as the incorporation of citizen science data, validation, and integration of indicators.</x:v>
      </x:c>
      <x:c r="F767" s="12" t="str">
        <x:v>Finding</x:v>
      </x:c>
      <x:c r="G767" s="12" t="str">
        <x:v>SEDAC User Working Group</x:v>
      </x:c>
      <x:c r="H767" s="12" t="n">
        <x:v>2022</x:v>
      </x:c>
      <x:c r="I767" s="12" t="str">
        <x:v>Data producers and mission teams; Earth science researchers</x:v>
      </x:c>
      <x:c r="J767" s="12" t="str">
        <x:v>High</x:v>
      </x:c>
      <x:c r="K767" s="16" t="n">
        <x:v>0.75</x:v>
      </x:c>
      <x:c r="L767" s="12" t="str">
        <x:v>LSA similarity cluster; human review pending</x:v>
      </x:c>
      <x:c r="M767" s="12" t="str">
        <x:v>Section: 13.4 Key Findings</x:v>
      </x:c>
      <x:c r="N767" s="12" t="str"/>
      <x:c r="O767" s="12" t="str">
        <x:v>No</x:v>
      </x:c>
      <x:c r="P767" s="12" t="str">
        <x:v>No</x:v>
      </x:c>
      <x:c r="Q767" s="12"/>
      <x:c r="R767" s="12"/>
    </x:row>
    <x:row r="768">
      <x:c r="A768" s="12" t="str">
        <x:v>EVD-00767</x:v>
      </x:c>
      <x:c r="B768" s="12" t="str">
        <x:v>NEED-0037</x:v>
      </x:c>
      <x:c r="C768" s="12" t="str">
        <x:v>SRC-0002</x:v>
      </x:c>
      <x:c r="D768" s="12" t="str">
        <x:v>SP3: It is clear that SEDAC could and should increase its strategic efforts related to EJ and CJ issues, but at the same time should try to focus on a relatively small set of initiatives. SEDAC could build on existing and planned training and outreach activities to reduce access barriers and customize them to meet specific EJ/CJ community needs. Additional use cases and stakeholder interactions may be valuable in generating interest in current and future SEDAC data and resources useful for EJ/CJ applications. Partnerships need to be pursued with other groups engaged with EJ/CJ, especially in the Earth science and social science communities, including programs such as SERVIR and the NASA Health and Air Quality Applied Sciences Team (HAQAST), as well as the new EJ/CJ projects just being awarded. SEDAC should also explore collaboration with other NASA-supported programs as it seeks ways to scale up outreach other HBCUs and MSIs.</x:v>
      </x:c>
      <x:c r="E768" s="12" t="str">
        <x:v>SP3: It is clear that SEDAC could and should increase its strategic efforts related to EJ and CJ issues, but at the same time should try to focus on a relatively small set of initiatives. SEDAC could build on existing and planned training and outreach activities to reduce access barriers and customize them to meet specific EJ/CJ community needs. Additional use cases and stakeholder interactions may be valuable in generating interest in current and future SEDAC data and resources useful for EJ/CJ applications. Partnerships need to be pursued with other groups engaged with EJ/CJ, especially in the Earth science and social science communities, including programs such as SERVIR and the NASA Health and Air Quality Applied Sciences Team (HAQAST), as well as the new EJ/CJ projects just being awarded. SEDAC should also explore collaboration with other NASA-supported programs as it seeks ways to scale up outreach other HBCUs and MSIs.</x:v>
      </x:c>
      <x:c r="F768" s="12" t="str">
        <x:v>Action</x:v>
      </x:c>
      <x:c r="G768" s="12" t="str">
        <x:v>SEDAC User Working Group</x:v>
      </x:c>
      <x:c r="H768" s="12" t="n">
        <x:v>2022</x:v>
      </x:c>
      <x:c r="I768" s="12" t="str">
        <x:v>Educators and trainers</x:v>
      </x:c>
      <x:c r="J768" s="12" t="str">
        <x:v>High</x:v>
      </x:c>
      <x:c r="K768" s="16" t="n">
        <x:v>0.75</x:v>
      </x:c>
      <x:c r="L768" s="12" t="str">
        <x:v>LSA similarity cluster; human review pending</x:v>
      </x:c>
      <x:c r="M768" s="12" t="str">
        <x:v>Section: 13.4 Key Findings</x:v>
      </x:c>
      <x:c r="N768" s="12" t="str"/>
      <x:c r="O768" s="12" t="str">
        <x:v>No</x:v>
      </x:c>
      <x:c r="P768" s="12" t="str">
        <x:v>No</x:v>
      </x:c>
      <x:c r="Q768" s="12"/>
      <x:c r="R768" s="12"/>
    </x:row>
    <x:row r="769">
      <x:c r="A769" s="12" t="str">
        <x:v>EVD-00768</x:v>
      </x:c>
      <x:c r="B769" s="12" t="str">
        <x:v>NEED-0009</x:v>
      </x:c>
      <x:c r="C769" s="12" t="str">
        <x:v>SRC-0002</x:v>
      </x:c>
      <x:c r="D769" s="12" t="str">
        <x:v>SP4: In light of NASA’s commitment to open-source science and cloud migration, it is important for SEDAC to give high priority to assessing its user communities’ needs and capabilities relative to cloud computing and open-source approaches. Social and health scientists and other types of SEDAC users may be less equipped and willing to work in NASA’s cloud environment than other DAAC users, given differences in analytic needs and software, data portability (e.g., restrictions on data location due to privacy and confidentiality and licensing restrictions), and resource levels. It is important for SEDAC to help represent the needs of the broader scientific and applied user communities as NASA further shifts DAACs and other EOSDIS components to the cloud, implements Science Enabling Centers, and expands its open-source science activities.</x:v>
      </x:c>
      <x:c r="E769" s="12" t="str">
        <x:v>SP4: In light of NASA’s commitment to open-source science and cloud migration, it is important for SEDAC to give high priority to assessing its user communities’ needs and capabilities relative to cloud computing and open-source approaches. Social and health scientists and other types of SEDAC users may be less equipped and willing to work in NASA’s cloud environment than other DAAC users, given differences in analytic needs and software, data portability (e.g., restrictions on data location due to privacy and confidentiality and licensing restrictions), and resource levels. It is important for SEDAC to help represent the needs of the broader scientific and applied user communities as NASA further shifts DAACs and other EOSDIS components to the cloud, implements Science Enabling Centers, and expands its open-source science activities.</x:v>
      </x:c>
      <x:c r="F769" s="12" t="str">
        <x:v>Finding</x:v>
      </x:c>
      <x:c r="G769" s="12" t="str">
        <x:v>SEDAC User Working Group</x:v>
      </x:c>
      <x:c r="H769" s="12" t="n">
        <x:v>2022</x:v>
      </x:c>
      <x:c r="I769" s="12" t="str">
        <x:v>Cloud-native researchers; Application developers; Earth science researchers</x:v>
      </x:c>
      <x:c r="J769" s="12" t="str">
        <x:v>Medium</x:v>
      </x:c>
      <x:c r="K769" s="16" t="n">
        <x:v>0.75</x:v>
      </x:c>
      <x:c r="L769" s="12" t="str">
        <x:v>LSA similarity cluster; human review pending</x:v>
      </x:c>
      <x:c r="M769" s="12" t="str">
        <x:v>Section: 13.4 Key Findings</x:v>
      </x:c>
      <x:c r="N769" s="12" t="str"/>
      <x:c r="O769" s="12" t="str">
        <x:v>No</x:v>
      </x:c>
      <x:c r="P769" s="12" t="str">
        <x:v>No</x:v>
      </x:c>
      <x:c r="Q769" s="12"/>
      <x:c r="R769" s="12"/>
    </x:row>
    <x:row r="770">
      <x:c r="A770" s="12" t="str">
        <x:v>EVD-00769</x:v>
      </x:c>
      <x:c r="B770" s="12" t="str">
        <x:v>NEED-0140</x:v>
      </x:c>
      <x:c r="C770" s="12" t="str">
        <x:v>SRC-0002</x:v>
      </x:c>
      <x:c r="D770" s="12" t="str">
        <x:v>Additional Updates</x:v>
      </x:c>
      <x:c r="E770" s="12" t="str">
        <x:v>Additional Updates</x:v>
      </x:c>
      <x:c r="F770" s="12" t="str">
        <x:v>Finding</x:v>
      </x:c>
      <x:c r="G770" s="12" t="str">
        <x:v>SEDAC User Working Group</x:v>
      </x:c>
      <x:c r="H770" s="12" t="n">
        <x:v>2022</x:v>
      </x:c>
      <x:c r="I770" s="12" t="str">
        <x:v>Earthdata users</x:v>
      </x:c>
      <x:c r="J770" s="12" t="str">
        <x:v>Medium</x:v>
      </x:c>
      <x:c r="K770" s="16" t="n">
        <x:v>0.75</x:v>
      </x:c>
      <x:c r="L770" s="12" t="str">
        <x:v>LSA similarity cluster; human review pending</x:v>
      </x:c>
      <x:c r="M770" s="12" t="str">
        <x:v>Section: 13.4 Key Findings</x:v>
      </x:c>
      <x:c r="N770" s="12" t="str"/>
      <x:c r="O770" s="12" t="str">
        <x:v>No</x:v>
      </x:c>
      <x:c r="P770" s="12" t="str">
        <x:v>No</x:v>
      </x:c>
      <x:c r="Q770" s="12"/>
      <x:c r="R770" s="12"/>
    </x:row>
    <x:row r="771">
      <x:c r="A771" s="12" t="str">
        <x:v>EVD-00770</x:v>
      </x:c>
      <x:c r="B771" s="12" t="str">
        <x:v>NEED-0140</x:v>
      </x:c>
      <x:c r="C771" s="12" t="str">
        <x:v>SRC-0002</x:v>
      </x:c>
      <x:c r="D771" s="12" t="str">
        <x:v>Day 2 of the meeting included several additional updates on action items and other issues.</x:v>
      </x:c>
      <x:c r="E771" s="12" t="str">
        <x:v>Day 2 of the meeting included several additional updates on action items and other issues.</x:v>
      </x:c>
      <x:c r="F771" s="12" t="str">
        <x:v>Action</x:v>
      </x:c>
      <x:c r="G771" s="12" t="str">
        <x:v>SEDAC User Working Group</x:v>
      </x:c>
      <x:c r="H771" s="12" t="n">
        <x:v>2022</x:v>
      </x:c>
      <x:c r="I771" s="12" t="str">
        <x:v>Earthdata users</x:v>
      </x:c>
      <x:c r="J771" s="12" t="str">
        <x:v>Medium</x:v>
      </x:c>
      <x:c r="K771" s="16" t="n">
        <x:v>0.75</x:v>
      </x:c>
      <x:c r="L771" s="12" t="str">
        <x:v>LSA similarity cluster; human review pending</x:v>
      </x:c>
      <x:c r="M771" s="12" t="str">
        <x:v>Section: 13.4 Key Findings</x:v>
      </x:c>
      <x:c r="N771" s="12" t="str"/>
      <x:c r="O771" s="12" t="str">
        <x:v>No</x:v>
      </x:c>
      <x:c r="P771" s="12" t="str">
        <x:v>No</x:v>
      </x:c>
      <x:c r="Q771" s="12"/>
      <x:c r="R771" s="12"/>
    </x:row>
    <x:row r="772">
      <x:c r="A772" s="12" t="str">
        <x:v>EVD-00771</x:v>
      </x:c>
      <x:c r="B772" s="12" t="str">
        <x:v>NEED-0009</x:v>
      </x:c>
      <x:c r="C772" s="12" t="str">
        <x:v>SRC-0002</x:v>
      </x:c>
      <x:c r="D772" s="12" t="str">
        <x:v>SEDAC systems engineer S. Vinay presented on the NASA GIS strategy and SEDAC’s role in implementation (action item 21-07). UWG members noted the need to support data formats that are not directly readable (e.g., NetCDF), subsetting requirements (such as the ability to read single or multiple pixel values in time series), the slowness of current NASA subsetting services, and complications of working with Jupyter notebooks (need a J hub environment and the notebooks will break when you change configuration). These are issues that the NASA GIS strategy should take into consideration.</x:v>
      </x:c>
      <x:c r="E772" s="12" t="str">
        <x:v>SEDAC systems engineer S. Vinay presented on the NASA GIS strategy and SEDAC’s role in implementation (action item 21-07). UWG members noted the need to support data formats that are not directly readable (e.g., NetCDF), subsetting requirements (such as the ability to read single or multiple pixel values in time series), the slowness of current NASA subsetting services, and complications of working with Jupyter notebooks (need a J hub environment and the notebooks will break when you change configuration). These are issues that the NASA GIS strategy should take into consideration.</x:v>
      </x:c>
      <x:c r="F772" s="12" t="str">
        <x:v>Action</x:v>
      </x:c>
      <x:c r="G772" s="12" t="str">
        <x:v>SEDAC User Working Group</x:v>
      </x:c>
      <x:c r="H772" s="12" t="n">
        <x:v>2022</x:v>
      </x:c>
      <x:c r="I772" s="12" t="str">
        <x:v>GIS users; Cloud-native researchers</x:v>
      </x:c>
      <x:c r="J772" s="12" t="str">
        <x:v>High</x:v>
      </x:c>
      <x:c r="K772" s="16" t="n">
        <x:v>0.75</x:v>
      </x:c>
      <x:c r="L772" s="12" t="str">
        <x:v>LSA similarity cluster; human review pending</x:v>
      </x:c>
      <x:c r="M772" s="12" t="str">
        <x:v>Section: 13.4 Key Findings</x:v>
      </x:c>
      <x:c r="N772" s="12" t="str"/>
      <x:c r="O772" s="12" t="str">
        <x:v>No</x:v>
      </x:c>
      <x:c r="P772" s="12" t="str">
        <x:v>No</x:v>
      </x:c>
      <x:c r="Q772" s="12"/>
      <x:c r="R772" s="12"/>
    </x:row>
    <x:row r="773">
      <x:c r="A773" s="12" t="str">
        <x:v>EVD-00772</x:v>
      </x:c>
      <x:c r="B773" s="12" t="str">
        <x:v>NEED-0073</x:v>
      </x:c>
      <x:c r="C773" s="12" t="str">
        <x:v>SRC-0002</x:v>
      </x:c>
      <x:c r="D773" s="12" t="str">
        <x:v>SEDAC staff members K. MacManus and L. Pistolesi gave an update on plans and current status of development of Gridded Population of the World v5 (GPWv5). The UWG was very supportive of the plan to release a full set of inputs to GPWv5, when possible given copyright or licensing restrictions, and the plan to release data asynchronously. Members had questions about how the mechanism for yearly updates would work, whether other products could be released in addition to population counts (e.g., household and dwelling numbers), and about the relationship between the US Census Grids and GPWv5 (given the connection to EJ issues).</x:v>
      </x:c>
      <x:c r="E773" s="12" t="str">
        <x:v>SEDAC staff members K. MacManus and L. Pistolesi gave an update on plans and current status of development of Gridded Population of the World v5 (GPWv5). The UWG was very supportive of the plan to release a full set of inputs to GPWv5, when possible given copyright or licensing restrictions, and the plan to release data asynchronously. Members had questions about how the mechanism for yearly updates would work, whether other products could be released in addition to population counts (e.g., household and dwelling numbers), and about the relationship between the US Census Grids and GPWv5 (given the connection to EJ issues).</x:v>
      </x:c>
      <x:c r="F773" s="12" t="str">
        <x:v>Issue/Concern</x:v>
      </x:c>
      <x:c r="G773" s="12" t="str">
        <x:v>SEDAC User Working Group</x:v>
      </x:c>
      <x:c r="H773" s="12" t="n">
        <x:v>2022</x:v>
      </x:c>
      <x:c r="I773" s="12" t="str">
        <x:v>Earthdata users</x:v>
      </x:c>
      <x:c r="J773" s="12" t="str">
        <x:v>Medium</x:v>
      </x:c>
      <x:c r="K773" s="16" t="n">
        <x:v>0.75</x:v>
      </x:c>
      <x:c r="L773" s="12" t="str">
        <x:v>LSA similarity cluster; human review pending</x:v>
      </x:c>
      <x:c r="M773" s="12" t="str">
        <x:v>Section: 13.4 Key Findings</x:v>
      </x:c>
      <x:c r="N773" s="12" t="str"/>
      <x:c r="O773" s="12" t="str">
        <x:v>No</x:v>
      </x:c>
      <x:c r="P773" s="12" t="str">
        <x:v>No</x:v>
      </x:c>
      <x:c r="Q773" s="12"/>
      <x:c r="R773" s="12"/>
    </x:row>
    <x:row r="774">
      <x:c r="A774" s="12" t="str">
        <x:v>EVD-00773</x:v>
      </x:c>
      <x:c r="B774" s="12" t="str">
        <x:v>NEED-0044</x:v>
      </x:c>
      <x:c r="C774" s="12" t="str">
        <x:v>SRC-0002</x:v>
      </x:c>
      <x:c r="D774" s="12" t="str">
        <x:v>R. Chen and staff member X. Xing presented on SEDAC’s support for the Intergovernmental Panel on Climate Change (IPCC) Data Distribution Center (DDC). Questions about the IPCC DDC addressed funding for handling the data. The IPCC has very limited funding for this, and there is much in-kind work. The IPCC does give credit to NASA for SEDAC’s IPCC work. The potential to obtain additional funding from the US government is low, but this was deemed a very relevant topic that may warrant a focused meeting to strategize.</x:v>
      </x:c>
      <x:c r="E774" s="12" t="str">
        <x:v>R. Chen and staff member X. Xing presented on SEDAC’s support for the Intergovernmental Panel on Climate Change (IPCC) Data Distribution Center (DDC). Questions about the IPCC DDC addressed funding for handling the data. The IPCC has very limited funding for this, and there is much in-kind work. The IPCC does give credit to NASA for SEDAC’s IPCC work. The potential to obtain additional funding from the US government is low, but this was deemed a very relevant topic that may warrant a focused meeting to strategize.</x:v>
      </x:c>
      <x:c r="F774" s="12" t="str">
        <x:v>Finding</x:v>
      </x:c>
      <x:c r="G774" s="12" t="str">
        <x:v>SEDAC User Working Group</x:v>
      </x:c>
      <x:c r="H774" s="12" t="n">
        <x:v>2022</x:v>
      </x:c>
      <x:c r="I774" s="12" t="str">
        <x:v>Earthdata users</x:v>
      </x:c>
      <x:c r="J774" s="12" t="str">
        <x:v>High</x:v>
      </x:c>
      <x:c r="K774" s="16" t="n">
        <x:v>0.55</x:v>
      </x:c>
      <x:c r="L774" s="12" t="str">
        <x:v>LSA similarity cluster; human review pending</x:v>
      </x:c>
      <x:c r="M774" s="12" t="str">
        <x:v>Section: 13.4 Key Findings</x:v>
      </x:c>
      <x:c r="N774" s="12" t="str"/>
      <x:c r="O774" s="12" t="str">
        <x:v>No</x:v>
      </x:c>
      <x:c r="P774" s="12" t="str">
        <x:v>No</x:v>
      </x:c>
      <x:c r="Q774" s="12"/>
      <x:c r="R774" s="12"/>
    </x:row>
    <x:row r="775">
      <x:c r="A775" s="12" t="str">
        <x:v>EVD-00774</x:v>
      </x:c>
      <x:c r="B775" s="12" t="str">
        <x:v>NEED-0134</x:v>
      </x:c>
      <x:c r="C775" s="12" t="str">
        <x:v>SRC-0002</x:v>
      </x:c>
      <x:c r="D775" s="12" t="str">
        <x:v>Columbia Climate School Update</x:v>
      </x:c>
      <x:c r="E775" s="12" t="str">
        <x:v>Columbia Climate School Update</x:v>
      </x:c>
      <x:c r="F775" s="12" t="str">
        <x:v>Finding</x:v>
      </x:c>
      <x:c r="G775" s="12" t="str">
        <x:v>SEDAC User Working Group</x:v>
      </x:c>
      <x:c r="H775" s="12" t="n">
        <x:v>2022</x:v>
      </x:c>
      <x:c r="I775" s="12" t="str">
        <x:v>Earthdata users</x:v>
      </x:c>
      <x:c r="J775" s="12" t="str">
        <x:v>Medium</x:v>
      </x:c>
      <x:c r="K775" s="16" t="n">
        <x:v>0.75</x:v>
      </x:c>
      <x:c r="L775" s="12" t="str">
        <x:v>LSA similarity cluster; human review pending</x:v>
      </x:c>
      <x:c r="M775" s="12" t="str">
        <x:v>Section: 13.4 Key Findings</x:v>
      </x:c>
      <x:c r="N775" s="12" t="str"/>
      <x:c r="O775" s="12" t="str">
        <x:v>No</x:v>
      </x:c>
      <x:c r="P775" s="12" t="str">
        <x:v>No</x:v>
      </x:c>
      <x:c r="Q775" s="12"/>
      <x:c r="R775" s="12"/>
    </x:row>
    <x:row r="776">
      <x:c r="A776" s="12" t="str">
        <x:v>EVD-00775</x:v>
      </x:c>
      <x:c r="B776" s="12" t="str">
        <x:v>NEED-0009</x:v>
      </x:c>
      <x:c r="C776" s="12" t="str">
        <x:v>SRC-0002</x:v>
      </x:c>
      <x:c r="D776" s="12" t="str">
        <x:v>R. Chen gave a short update on the current status of the new Columbia Climate School (CCS). UWG members asked about CCS plans for data infrastructure, which are still in development. There were also questions about how the CCS might benefit or hinder SEDAC. Chen noted that the CCS opens up opportunities to draw on capacity from other areas of the university, such as student interns, computational infrastructure and expertise, and shared resources. Members agreed that the school opens doors to innovation given the urgency of the climate crisis, leading to the question of what can SEDAC can do to be more proactive (e.g., cloud, open science, IPCC, sustainable development goals, etc.). It was recommended that SEDAC consider how its new home in the CCS could support priorities and initiatives in the new SEDAC strategic plan.</x:v>
      </x:c>
      <x:c r="E776" s="12" t="str">
        <x:v>R. Chen gave a short update on the current status of the new Columbia Climate School (CCS). UWG members asked about CCS plans for data infrastructure, which are still in development. There were also questions about how the CCS might benefit or hinder SEDAC. Chen noted that the CCS opens up opportunities to draw on capacity from other areas of the university, such as student interns, computational infrastructure and expertise, and shared resources. Members agreed that the school opens doors to innovation given the urgency of the climate crisis, leading to the question of what can SEDAC can do to be more proactive (e.g., cloud, open science, IPCC, sustainable development goals, etc.). It was recommended that SEDAC consider how its new home in the CCS could support priorities and initiatives in the new SEDAC strategic plan.</x:v>
      </x:c>
      <x:c r="F776" s="12" t="str">
        <x:v>Recommendation</x:v>
      </x:c>
      <x:c r="G776" s="12" t="str">
        <x:v>SEDAC User Working Group</x:v>
      </x:c>
      <x:c r="H776" s="12" t="n">
        <x:v>2022</x:v>
      </x:c>
      <x:c r="I776" s="12" t="str">
        <x:v>Cloud-native researchers; Educators and trainers</x:v>
      </x:c>
      <x:c r="J776" s="12" t="str">
        <x:v>High</x:v>
      </x:c>
      <x:c r="K776" s="16" t="n">
        <x:v>0.75</x:v>
      </x:c>
      <x:c r="L776" s="12" t="str">
        <x:v>LSA similarity cluster; human review pending</x:v>
      </x:c>
      <x:c r="M776" s="12" t="str">
        <x:v>Section: 13.4 Key Findings</x:v>
      </x:c>
      <x:c r="N776" s="12" t="str"/>
      <x:c r="O776" s="12" t="str">
        <x:v>No</x:v>
      </x:c>
      <x:c r="P776" s="12" t="str">
        <x:v>No</x:v>
      </x:c>
      <x:c r="Q776" s="12"/>
      <x:c r="R776" s="12"/>
    </x:row>
    <x:row r="777">
      <x:c r="A777" s="12" t="str">
        <x:v>EVD-00776</x:v>
      </x:c>
      <x:c r="B777" s="12" t="str">
        <x:v>NEED-0125</x:v>
      </x:c>
      <x:c r="C777" s="12" t="str">
        <x:v>SRC-0002</x:v>
      </x:c>
      <x:c r="D777" s="12" t="str">
        <x:v>Data Nominations</x:v>
      </x:c>
      <x:c r="E777" s="12" t="str">
        <x:v>Data Nominations</x:v>
      </x:c>
      <x:c r="F777" s="12" t="str">
        <x:v>Finding</x:v>
      </x:c>
      <x:c r="G777" s="12" t="str">
        <x:v>SEDAC User Working Group</x:v>
      </x:c>
      <x:c r="H777" s="12" t="n">
        <x:v>2022</x:v>
      </x:c>
      <x:c r="I777" s="12" t="str">
        <x:v>Earthdata users</x:v>
      </x:c>
      <x:c r="J777" s="12" t="str">
        <x:v>Medium</x:v>
      </x:c>
      <x:c r="K777" s="16" t="n">
        <x:v>0.75</x:v>
      </x:c>
      <x:c r="L777" s="12" t="str">
        <x:v>LSA similarity cluster; human review pending</x:v>
      </x:c>
      <x:c r="M777" s="12" t="str">
        <x:v>Section: 13.4 Key Findings</x:v>
      </x:c>
      <x:c r="N777" s="12" t="str"/>
      <x:c r="O777" s="12" t="str">
        <x:v>No</x:v>
      </x:c>
      <x:c r="P777" s="12" t="str">
        <x:v>No</x:v>
      </x:c>
      <x:c r="Q777" s="12"/>
      <x:c r="R777" s="12"/>
    </x:row>
    <x:row r="778">
      <x:c r="A778" s="12" t="str">
        <x:v>EVD-00777</x:v>
      </x:c>
      <x:c r="B778" s="12" t="str">
        <x:v>NEED-0024</x:v>
      </x:c>
      <x:c r="C778" s="12" t="str">
        <x:v>SRC-0002</x:v>
      </x:c>
      <x:c r="D778" s="12" t="str">
        <x:v>The UWG reviewed three data nominations in the 25-26 July meeting, one of which was Type 2 and two of which were Type 3 (third party developed) data. About the Sustainable Development Goal (SDG) indicators (Tab 10.1), a UWG member recommended not to use GADM but GeoBoundaries as the international boundaries’ framework. Regarding the Heat Grids dataset (Tab 10.2), the UWG suggested that more temperature datasets could have been used, as ensembles provide a better sense of uncertainty. Finally, there were some questions on the environmental justice (EJ) applications of the PM2.5 grids (Tab 10.3), and the possibility for SEDAC to provide daily 50m subsets, which is not something SEDAC can handle at the current time. There was also a recommendation to provide daily average and maximum values, but given the high resolution of the data, this appears to be beyond current SEDAC processing and data storage capacities.</x:v>
      </x:c>
      <x:c r="E778" s="12" t="str">
        <x:v>The UWG reviewed three data nominations in the 25-26 July meeting, one of which was Type 2 and two of which were Type 3 (third party developed) data. About the Sustainable Development Goal (SDG) indicators (Tab 10.1), a UWG member recommended not to use GADM but GeoBoundaries as the international boundaries’ framework. Regarding the Heat Grids dataset (Tab 10.2), the UWG suggested that more temperature datasets could have been used, as ensembles provide a better sense of uncertainty. Finally, there were some questions on the environmental justice (EJ) applications of the PM2.5 grids (Tab 10.3), and the possibility for SEDAC to provide daily 50m subsets, which is not something SEDAC can handle at the current time. There was also a recommendation to provide daily average and maximum values, but given the high resolution of the data, this appears to be beyond current SEDAC processing and data storage capacities.</x:v>
      </x:c>
      <x:c r="F778" s="12" t="str">
        <x:v>Recommendation</x:v>
      </x:c>
      <x:c r="G778" s="12" t="str">
        <x:v>SEDAC User Working Group</x:v>
      </x:c>
      <x:c r="H778" s="12" t="n">
        <x:v>2022</x:v>
      </x:c>
      <x:c r="I778" s="12" t="str">
        <x:v>International users</x:v>
      </x:c>
      <x:c r="J778" s="12" t="str">
        <x:v>High</x:v>
      </x:c>
      <x:c r="K778" s="16" t="n">
        <x:v>0.75</x:v>
      </x:c>
      <x:c r="L778" s="12" t="str">
        <x:v>LSA similarity cluster; human review pending</x:v>
      </x:c>
      <x:c r="M778" s="12" t="str">
        <x:v>Section: 13.4 Key Findings</x:v>
      </x:c>
      <x:c r="N778" s="12" t="str"/>
      <x:c r="O778" s="12" t="str">
        <x:v>No</x:v>
      </x:c>
      <x:c r="P778" s="12" t="str">
        <x:v>No</x:v>
      </x:c>
      <x:c r="Q778" s="12"/>
      <x:c r="R778" s="12"/>
    </x:row>
    <x:row r="779">
      <x:c r="A779" s="12" t="str">
        <x:v>EVD-00778</x:v>
      </x:c>
      <x:c r="B779" s="12" t="str">
        <x:v>NEED-0125</x:v>
      </x:c>
      <x:c r="C779" s="12" t="str">
        <x:v>SRC-0002</x:v>
      </x:c>
      <x:c r="D779" s="12" t="str">
        <x:v>UWG members were given until 3 August to comment on or object to data nominations, and no further comments have been received. Therefore, all data sets have been approved. The list of approved data nominations from the April UWG telecon and this meeting is provided in Annex 1.</x:v>
      </x:c>
      <x:c r="E779" s="12" t="str">
        <x:v>UWG members were given until 3 August to comment on or object to data nominations, and no further comments have been received. Therefore, all data sets have been approved. The list of approved data nominations from the April UWG telecon and this meeting is provided in Annex 1.</x:v>
      </x:c>
      <x:c r="F779" s="12" t="str">
        <x:v>Finding</x:v>
      </x:c>
      <x:c r="G779" s="12" t="str">
        <x:v>SEDAC User Working Group</x:v>
      </x:c>
      <x:c r="H779" s="12" t="n">
        <x:v>2022</x:v>
      </x:c>
      <x:c r="I779" s="12" t="str">
        <x:v>Earthdata users</x:v>
      </x:c>
      <x:c r="J779" s="12" t="str">
        <x:v>Medium</x:v>
      </x:c>
      <x:c r="K779" s="16" t="n">
        <x:v>0.75</x:v>
      </x:c>
      <x:c r="L779" s="12" t="str">
        <x:v>LSA similarity cluster; human review pending</x:v>
      </x:c>
      <x:c r="M779" s="12" t="str">
        <x:v>Section: 13.4 Key Findings</x:v>
      </x:c>
      <x:c r="N779" s="12" t="str"/>
      <x:c r="O779" s="12" t="str">
        <x:v>No</x:v>
      </x:c>
      <x:c r="P779" s="12" t="str">
        <x:v>No</x:v>
      </x:c>
      <x:c r="Q779" s="12"/>
      <x:c r="R779" s="12"/>
    </x:row>
    <x:row r="780">
      <x:c r="A780" s="12" t="str">
        <x:v>EVD-00779</x:v>
      </x:c>
      <x:c r="B780" s="12" t="str">
        <x:v>NEED-0122</x:v>
      </x:c>
      <x:c r="C780" s="12" t="str">
        <x:v>SRC-0002</x:v>
      </x:c>
      <x:c r="D780" s="12" t="str">
        <x:v>Strategic Plan Priorities and Implementation</x:v>
      </x:c>
      <x:c r="E780" s="12" t="str">
        <x:v>Strategic Plan Priorities and Implementation</x:v>
      </x:c>
      <x:c r="F780" s="12" t="str">
        <x:v>Finding</x:v>
      </x:c>
      <x:c r="G780" s="12" t="str">
        <x:v>SEDAC User Working Group</x:v>
      </x:c>
      <x:c r="H780" s="12" t="n">
        <x:v>2022</x:v>
      </x:c>
      <x:c r="I780" s="12" t="str">
        <x:v>Earthdata users</x:v>
      </x:c>
      <x:c r="J780" s="12" t="str">
        <x:v>Medium</x:v>
      </x:c>
      <x:c r="K780" s="16" t="n">
        <x:v>0.75</x:v>
      </x:c>
      <x:c r="L780" s="12" t="str">
        <x:v>LSA similarity cluster; human review pending</x:v>
      </x:c>
      <x:c r="M780" s="12" t="str">
        <x:v>Section: 13.4 Key Findings</x:v>
      </x:c>
      <x:c r="N780" s="12" t="str"/>
      <x:c r="O780" s="12" t="str">
        <x:v>No</x:v>
      </x:c>
      <x:c r="P780" s="12" t="str">
        <x:v>No</x:v>
      </x:c>
      <x:c r="Q780" s="12"/>
      <x:c r="R780" s="12"/>
    </x:row>
    <x:row r="781">
      <x:c r="A781" s="12" t="str">
        <x:v>EVD-00780</x:v>
      </x:c>
      <x:c r="B781" s="12" t="str">
        <x:v>NEED-0192</x:v>
      </x:c>
      <x:c r="C781" s="12" t="str">
        <x:v>SRC-0002</x:v>
      </x:c>
      <x:c r="D781" s="12" t="str">
        <x:v>The UWG concurred with the four draft strategic priorities, with the caveat that the EJ/CJ priority is quite broad and may need greater focus to create impact and value. For example, if training is to be a priority, more consideration needs to be given on who is trained and on what topics. SEDAC could potentially scale up its efforts more effectively through training of trainers, or perhaps expanding the approach adopted with Lehman College and working with other DAACs and programs to expand outreach to other Historically Black Colleges and Universities (HBCUs) and Minority Serving Institutions (MSIs), and working with other institutions on mentoring and placement (e.g., ESIP, MITs GIS/RS training workshops). It would be important to explicitly identify resources for these activities in the new plan.</x:v>
      </x:c>
      <x:c r="E781" s="12" t="str">
        <x:v>The UWG concurred with the four draft strategic priorities, with the caveat that the EJ/CJ priority is quite broad and may need greater focus to create impact and value. For example, if training is to be a priority, more consideration needs to be given on who is trained and on what topics. SEDAC could potentially scale up its efforts more effectively through training of trainers, or perhaps expanding the approach adopted with Lehman College and working with other DAACs and programs to expand outreach to other Historically Black Colleges and Universities (HBCUs) and Minority Serving Institutions (MSIs), and working with other institutions on mentoring and placement (e.g., ESIP, MITs GIS/RS training workshops). It would be important to explicitly identify resources for these activities in the new plan.</x:v>
      </x:c>
      <x:c r="F781" s="12" t="str">
        <x:v>Finding</x:v>
      </x:c>
      <x:c r="G781" s="12" t="str">
        <x:v>SEDAC User Working Group</x:v>
      </x:c>
      <x:c r="H781" s="12" t="n">
        <x:v>2022</x:v>
      </x:c>
      <x:c r="I781" s="12" t="str">
        <x:v>GIS users; Educators and trainers</x:v>
      </x:c>
      <x:c r="J781" s="12" t="str">
        <x:v>High</x:v>
      </x:c>
      <x:c r="K781" s="16" t="n">
        <x:v>0.75</x:v>
      </x:c>
      <x:c r="L781" s="12" t="str">
        <x:v>LSA similarity cluster; human review pending</x:v>
      </x:c>
      <x:c r="M781" s="12" t="str">
        <x:v>Section: 13.4 Key Findings</x:v>
      </x:c>
      <x:c r="N781" s="12" t="str"/>
      <x:c r="O781" s="12" t="str">
        <x:v>No</x:v>
      </x:c>
      <x:c r="P781" s="12" t="str">
        <x:v>No</x:v>
      </x:c>
      <x:c r="Q781" s="12"/>
      <x:c r="R781" s="12"/>
    </x:row>
    <x:row r="782">
      <x:c r="A782" s="12" t="str">
        <x:v>EVD-00781</x:v>
      </x:c>
      <x:c r="B782" s="12" t="str">
        <x:v>NEED-0050</x:v>
      </x:c>
      <x:c r="C782" s="12" t="str">
        <x:v>SRC-0002</x:v>
      </x:c>
      <x:c r="D782" s="12" t="str">
        <x:v>Another potential area for multi-DAAC collaboration could be open science. The Earth Science community is generally ahead of the social science community in this area. SEDAC could have a role in championing open science in the social sciences through development of standards and promotion of open-source tools. Other ways to build bridges to the social science research community may include providing environmental contextual data for social scientists, reaching out to influential policy users (e.g., MIDAR, Urban Institute), providing services for data extraction linked to the Demographic and Health Surveys (DHS) or International Public Use Microdata Samples (IPUMS). Examples might be development of services like the Population Estimation Service that do not require sharing areas of research, etc.</x:v>
      </x:c>
      <x:c r="E782" s="12" t="str">
        <x:v>Another potential area for multi-DAAC collaboration could be open science. The Earth Science community is generally ahead of the social science community in this area. SEDAC could have a role in championing open science in the social sciences through development of standards and promotion of open-source tools. Other ways to build bridges to the social science research community may include providing environmental contextual data for social scientists, reaching out to influential policy users (e.g., MIDAR, Urban Institute), providing services for data extraction linked to the Demographic and Health Surveys (DHS) or International Public Use Microdata Samples (IPUMS). Examples might be development of services like the Population Estimation Service that do not require sharing areas of research, etc.</x:v>
      </x:c>
      <x:c r="F782" s="12" t="str">
        <x:v>Action</x:v>
      </x:c>
      <x:c r="G782" s="12" t="str">
        <x:v>SEDAC User Working Group</x:v>
      </x:c>
      <x:c r="H782" s="12" t="n">
        <x:v>2022</x:v>
      </x:c>
      <x:c r="I782" s="12" t="str">
        <x:v>International users; Earth science researchers</x:v>
      </x:c>
      <x:c r="J782" s="12" t="str">
        <x:v>Medium</x:v>
      </x:c>
      <x:c r="K782" s="16" t="n">
        <x:v>0.75</x:v>
      </x:c>
      <x:c r="L782" s="12" t="str">
        <x:v>LSA similarity cluster; human review pending</x:v>
      </x:c>
      <x:c r="M782" s="12" t="str">
        <x:v>Section: 13.4 Key Findings</x:v>
      </x:c>
      <x:c r="N782" s="12" t="str"/>
      <x:c r="O782" s="12" t="str">
        <x:v>No</x:v>
      </x:c>
      <x:c r="P782" s="12" t="str">
        <x:v>No</x:v>
      </x:c>
      <x:c r="Q782" s="12"/>
      <x:c r="R782" s="12"/>
    </x:row>
    <x:row r="783">
      <x:c r="A783" s="12" t="str">
        <x:v>EVD-00782</x:v>
      </x:c>
      <x:c r="B783" s="12" t="str">
        <x:v>NEED-0050</x:v>
      </x:c>
      <x:c r="C783" s="12" t="str">
        <x:v>SRC-0002</x:v>
      </x:c>
      <x:c r="D783" s="12" t="str">
        <x:v>It was suggested that SEDAC may wish to organize a user needs workshop on the needs of the social science research community interested in human-environment connections to discuss tools and services, as well as open-source solutions.</x:v>
      </x:c>
      <x:c r="E783" s="12" t="str">
        <x:v>It was suggested that SEDAC may wish to organize a user needs workshop on the needs of the social science research community interested in human-environment connections to discuss tools and services, as well as open-source solutions.</x:v>
      </x:c>
      <x:c r="F783" s="12" t="str">
        <x:v>Suggestion</x:v>
      </x:c>
      <x:c r="G783" s="12" t="str">
        <x:v>SEDAC User Working Group</x:v>
      </x:c>
      <x:c r="H783" s="12" t="n">
        <x:v>2022</x:v>
      </x:c>
      <x:c r="I783" s="12" t="str">
        <x:v>Educators and trainers; Earth science researchers</x:v>
      </x:c>
      <x:c r="J783" s="12" t="str">
        <x:v>Medium</x:v>
      </x:c>
      <x:c r="K783" s="16" t="n">
        <x:v>0.75</x:v>
      </x:c>
      <x:c r="L783" s="12" t="str">
        <x:v>LSA similarity cluster; human review pending</x:v>
      </x:c>
      <x:c r="M783" s="12" t="str">
        <x:v>Section: 13.4 Key Findings</x:v>
      </x:c>
      <x:c r="N783" s="12" t="str"/>
      <x:c r="O783" s="12" t="str">
        <x:v>No</x:v>
      </x:c>
      <x:c r="P783" s="12" t="str">
        <x:v>No</x:v>
      </x:c>
      <x:c r="Q783" s="12"/>
      <x:c r="R783" s="12"/>
    </x:row>
    <x:row r="784">
      <x:c r="A784" s="12" t="str">
        <x:v>EVD-00783</x:v>
      </x:c>
      <x:c r="B784" s="12" t="str">
        <x:v>NEED-0165</x:v>
      </x:c>
      <x:c r="C784" s="12" t="str">
        <x:v>SRC-0002</x:v>
      </x:c>
      <x:c r="D784" s="12" t="str">
        <x:v>The UWG supports SEDAC’s four priorities in a new 5-year strategic plan. The increased emphasis on environmental and social justice is especially timely; however, the scope of EJ is large and SEDAC needs to narrow what it plans down to a manageable focus aligned with broader NASA Earth Science EJ activities. Low hanging fruit could be EJ applications and services that build on data sets already in SEDAC collections and potential cross-DAAC collections.</x:v>
      </x:c>
      <x:c r="E784" s="12" t="str">
        <x:v>The UWG supports SEDAC’s four priorities in a new 5-year strategic plan. The increased emphasis on environmental and social justice is especially timely; however, the scope of EJ is large and SEDAC needs to narrow what it plans down to a manageable focus aligned with broader NASA Earth Science EJ activities. Low hanging fruit could be EJ applications and services that build on data sets already in SEDAC collections and potential cross-DAAC collections.</x:v>
      </x:c>
      <x:c r="F784" s="12" t="str">
        <x:v>Issue/Concern</x:v>
      </x:c>
      <x:c r="G784" s="12" t="str">
        <x:v>SEDAC User Working Group</x:v>
      </x:c>
      <x:c r="H784" s="12" t="n">
        <x:v>2022</x:v>
      </x:c>
      <x:c r="I784" s="12" t="str">
        <x:v>Earthdata users</x:v>
      </x:c>
      <x:c r="J784" s="12" t="str">
        <x:v>Medium</x:v>
      </x:c>
      <x:c r="K784" s="16" t="n">
        <x:v>0.75</x:v>
      </x:c>
      <x:c r="L784" s="12" t="str">
        <x:v>LSA similarity cluster; human review pending</x:v>
      </x:c>
      <x:c r="M784" s="12" t="str">
        <x:v>Section: 13.5 Issues and Concerns</x:v>
      </x:c>
      <x:c r="N784" s="12" t="str"/>
      <x:c r="O784" s="12" t="str">
        <x:v>No</x:v>
      </x:c>
      <x:c r="P784" s="12" t="str">
        <x:v>No</x:v>
      </x:c>
      <x:c r="Q784" s="12"/>
      <x:c r="R784" s="12"/>
    </x:row>
    <x:row r="785">
      <x:c r="A785" s="12" t="str">
        <x:v>EVD-00784</x:v>
      </x:c>
      <x:c r="B785" s="12" t="str">
        <x:v>NEED-0145</x:v>
      </x:c>
      <x:c r="C785" s="12" t="str">
        <x:v>SRC-0002</x:v>
      </x:c>
      <x:c r="D785" s="12" t="str">
        <x:v>Diversifying the Earth Sciences has been a long-standing challenge. Over the past 50 years minority students have comprised less than 5% of Earth science doctoral students in the US, with little change over time. The UWG applauds SEDAC’s engagement with Lehman College. A key challenge is how to expand and sustain such efforts across multiple HBCUs and MSIs.</x:v>
      </x:c>
      <x:c r="E785" s="12" t="str">
        <x:v>Diversifying the Earth Sciences has been a long-standing challenge. Over the past 50 years minority students have comprised less than 5% of Earth science doctoral students in the US, with little change over time. The UWG applauds SEDAC’s engagement with Lehman College. A key challenge is how to expand and sustain such efforts across multiple HBCUs and MSIs.</x:v>
      </x:c>
      <x:c r="F785" s="12" t="str">
        <x:v>Issue/Concern</x:v>
      </x:c>
      <x:c r="G785" s="12" t="str">
        <x:v>SEDAC User Working Group</x:v>
      </x:c>
      <x:c r="H785" s="12" t="n">
        <x:v>2022</x:v>
      </x:c>
      <x:c r="I785" s="12" t="str">
        <x:v>Educators and trainers</x:v>
      </x:c>
      <x:c r="J785" s="12" t="str">
        <x:v>High</x:v>
      </x:c>
      <x:c r="K785" s="16" t="n">
        <x:v>0.75</x:v>
      </x:c>
      <x:c r="L785" s="12" t="str">
        <x:v>LSA similarity cluster; human review pending</x:v>
      </x:c>
      <x:c r="M785" s="12" t="str">
        <x:v>Section: 13.5 Issues and Concerns</x:v>
      </x:c>
      <x:c r="N785" s="12" t="str"/>
      <x:c r="O785" s="12" t="str">
        <x:v>No</x:v>
      </x:c>
      <x:c r="P785" s="12" t="str">
        <x:v>No</x:v>
      </x:c>
      <x:c r="Q785" s="12"/>
      <x:c r="R785" s="12"/>
    </x:row>
    <x:row r="786">
      <x:c r="A786" s="12" t="str">
        <x:v>EVD-00785</x:v>
      </x:c>
      <x:c r="B786" s="12" t="str">
        <x:v>NEED-0165</x:v>
      </x:c>
      <x:c r="C786" s="12" t="str">
        <x:v>SRC-0002</x:v>
      </x:c>
      <x:c r="D786" s="12" t="str">
        <x:v>As SEDAC’s narrative of accomplishments evolves, examples of successful applications (as reported in the peer-reviewed literature) need to be integrated with stated strategic priorities. The current presentation of accomplishments is an apparently unordered list, which is not bad, but value could be added by demonstrating how these examples advance strategic priorities. Also, SEDAC may wish to consider other methods of measuring progress than peer-reviewed publications (e.g., newspaper articles, gray literature, etc.).</x:v>
      </x:c>
      <x:c r="E786" s="12" t="str">
        <x:v>As SEDAC’s narrative of accomplishments evolves, examples of successful applications (as reported in the peer-reviewed literature) need to be integrated with stated strategic priorities. The current presentation of accomplishments is an apparently unordered list, which is not bad, but value could be added by demonstrating how these examples advance strategic priorities. Also, SEDAC may wish to consider other methods of measuring progress than peer-reviewed publications (e.g., newspaper articles, gray literature, etc.).</x:v>
      </x:c>
      <x:c r="F786" s="12" t="str">
        <x:v>Issue/Concern</x:v>
      </x:c>
      <x:c r="G786" s="12" t="str">
        <x:v>SEDAC User Working Group</x:v>
      </x:c>
      <x:c r="H786" s="12" t="n">
        <x:v>2022</x:v>
      </x:c>
      <x:c r="I786" s="12" t="str">
        <x:v>Data producers and mission teams</x:v>
      </x:c>
      <x:c r="J786" s="12" t="str">
        <x:v>High</x:v>
      </x:c>
      <x:c r="K786" s="16" t="n">
        <x:v>0.75</x:v>
      </x:c>
      <x:c r="L786" s="12" t="str">
        <x:v>LSA similarity cluster; human review pending</x:v>
      </x:c>
      <x:c r="M786" s="12" t="str">
        <x:v>Section: 13.5 Issues and Concerns</x:v>
      </x:c>
      <x:c r="N786" s="12" t="str"/>
      <x:c r="O786" s="12" t="str">
        <x:v>No</x:v>
      </x:c>
      <x:c r="P786" s="12" t="str">
        <x:v>No</x:v>
      </x:c>
      <x:c r="Q786" s="12"/>
      <x:c r="R786" s="12"/>
    </x:row>
    <x:row r="787">
      <x:c r="A787" s="12" t="str">
        <x:v>EVD-00786</x:v>
      </x:c>
      <x:c r="B787" s="12" t="str">
        <x:v>NEED-0122</x:v>
      </x:c>
      <x:c r="C787" s="12" t="str">
        <x:v>SRC-0002</x:v>
      </x:c>
      <x:c r="D787" s="12" t="str">
        <x:v>The UWG suggests extra effort to better understand SEDAC’s community of users.</x:v>
      </x:c>
      <x:c r="E787" s="12" t="str">
        <x:v>The UWG suggests extra effort to better understand SEDAC’s community of users.</x:v>
      </x:c>
      <x:c r="F787" s="12" t="str">
        <x:v>Suggestion</x:v>
      </x:c>
      <x:c r="G787" s="12" t="str">
        <x:v>SEDAC User Working Group</x:v>
      </x:c>
      <x:c r="H787" s="12" t="n">
        <x:v>2022</x:v>
      </x:c>
      <x:c r="I787" s="12" t="str">
        <x:v>Earthdata users</x:v>
      </x:c>
      <x:c r="J787" s="12" t="str">
        <x:v>Medium</x:v>
      </x:c>
      <x:c r="K787" s="16" t="n">
        <x:v>0.75</x:v>
      </x:c>
      <x:c r="L787" s="12" t="str">
        <x:v>LSA similarity cluster; human review pending</x:v>
      </x:c>
      <x:c r="M787" s="12" t="str">
        <x:v>Section: 13.6 Suggestions</x:v>
      </x:c>
      <x:c r="N787" s="12" t="str"/>
      <x:c r="O787" s="12" t="str">
        <x:v>No</x:v>
      </x:c>
      <x:c r="P787" s="12" t="str">
        <x:v>No</x:v>
      </x:c>
      <x:c r="Q787" s="12"/>
      <x:c r="R787" s="12"/>
    </x:row>
    <x:row r="788">
      <x:c r="A788" s="12" t="str">
        <x:v>EVD-00787</x:v>
      </x:c>
      <x:c r="B788" s="12" t="str">
        <x:v>NEED-0126</x:v>
      </x:c>
      <x:c r="C788" s="12" t="str">
        <x:v>SRC-0002</x:v>
      </x:c>
      <x:c r="D788" s="12" t="str">
        <x:v>Who are they (categories of user types as well as disciplines)?</x:v>
      </x:c>
      <x:c r="E788" s="12" t="str">
        <x:v>Who are they (categories of user types as well as disciplines)?</x:v>
      </x:c>
      <x:c r="F788" s="12" t="str">
        <x:v>Suggestion</x:v>
      </x:c>
      <x:c r="G788" s="12" t="str">
        <x:v>SEDAC User Working Group</x:v>
      </x:c>
      <x:c r="H788" s="12" t="n">
        <x:v>2022</x:v>
      </x:c>
      <x:c r="I788" s="12" t="str">
        <x:v>Earthdata users</x:v>
      </x:c>
      <x:c r="J788" s="12" t="str">
        <x:v>Medium</x:v>
      </x:c>
      <x:c r="K788" s="16" t="n">
        <x:v>0.75</x:v>
      </x:c>
      <x:c r="L788" s="12" t="str">
        <x:v>LSA similarity cluster; human review pending</x:v>
      </x:c>
      <x:c r="M788" s="12" t="str">
        <x:v>Section: 13.6 Suggestions</x:v>
      </x:c>
      <x:c r="N788" s="12" t="str"/>
      <x:c r="O788" s="12" t="str">
        <x:v>No</x:v>
      </x:c>
      <x:c r="P788" s="12" t="str">
        <x:v>No</x:v>
      </x:c>
      <x:c r="Q788" s="12"/>
      <x:c r="R788" s="12"/>
    </x:row>
    <x:row r="789">
      <x:c r="A789" s="12" t="str">
        <x:v>EVD-00788</x:v>
      </x:c>
      <x:c r="B789" s="12" t="str">
        <x:v>NEED-0094</x:v>
      </x:c>
      <x:c r="C789" s="12" t="str">
        <x:v>SRC-0002</x:v>
      </x:c>
      <x:c r="D789" s="12" t="str">
        <x:v>Where are they located, and the relative make up of international vs domestic users?</x:v>
      </x:c>
      <x:c r="E789" s="12" t="str">
        <x:v>Where are they located, and the relative make up of international vs domestic users?</x:v>
      </x:c>
      <x:c r="F789" s="12" t="str">
        <x:v>Suggestion</x:v>
      </x:c>
      <x:c r="G789" s="12" t="str">
        <x:v>SEDAC User Working Group</x:v>
      </x:c>
      <x:c r="H789" s="12" t="n">
        <x:v>2022</x:v>
      </x:c>
      <x:c r="I789" s="12" t="str">
        <x:v>International users</x:v>
      </x:c>
      <x:c r="J789" s="12" t="str">
        <x:v>Medium</x:v>
      </x:c>
      <x:c r="K789" s="16" t="n">
        <x:v>0.55</x:v>
      </x:c>
      <x:c r="L789" s="12" t="str">
        <x:v>LSA similarity cluster; human review pending</x:v>
      </x:c>
      <x:c r="M789" s="12" t="str">
        <x:v>Section: 13.6 Suggestions</x:v>
      </x:c>
      <x:c r="N789" s="12" t="str"/>
      <x:c r="O789" s="12" t="str">
        <x:v>No</x:v>
      </x:c>
      <x:c r="P789" s="12" t="str">
        <x:v>No</x:v>
      </x:c>
      <x:c r="Q789" s="12"/>
      <x:c r="R789" s="12"/>
    </x:row>
    <x:row r="790">
      <x:c r="A790" s="12" t="str">
        <x:v>EVD-00789</x:v>
      </x:c>
      <x:c r="B790" s="12" t="str">
        <x:v>NEED-0126</x:v>
      </x:c>
      <x:c r="C790" s="12" t="str">
        <x:v>SRC-0002</x:v>
      </x:c>
      <x:c r="D790" s="12" t="str">
        <x:v>How do their needs vary among and between categories of users?</x:v>
      </x:c>
      <x:c r="E790" s="12" t="str">
        <x:v>How do their needs vary among and between categories of users?</x:v>
      </x:c>
      <x:c r="F790" s="12" t="str">
        <x:v>Suggestion</x:v>
      </x:c>
      <x:c r="G790" s="12" t="str">
        <x:v>SEDAC User Working Group</x:v>
      </x:c>
      <x:c r="H790" s="12" t="n">
        <x:v>2022</x:v>
      </x:c>
      <x:c r="I790" s="12" t="str">
        <x:v>Earthdata users</x:v>
      </x:c>
      <x:c r="J790" s="12" t="str">
        <x:v>Medium</x:v>
      </x:c>
      <x:c r="K790" s="16" t="n">
        <x:v>0.75</x:v>
      </x:c>
      <x:c r="L790" s="12" t="str">
        <x:v>LSA similarity cluster; human review pending</x:v>
      </x:c>
      <x:c r="M790" s="12" t="str">
        <x:v>Section: 13.6 Suggestions</x:v>
      </x:c>
      <x:c r="N790" s="12" t="str"/>
      <x:c r="O790" s="12" t="str">
        <x:v>No</x:v>
      </x:c>
      <x:c r="P790" s="12" t="str">
        <x:v>No</x:v>
      </x:c>
      <x:c r="Q790" s="12"/>
      <x:c r="R790" s="12"/>
    </x:row>
    <x:row r="791">
      <x:c r="A791" s="12" t="str">
        <x:v>EVD-00790</x:v>
      </x:c>
      <x:c r="B791" s="12" t="str">
        <x:v>NEED-0189</x:v>
      </x:c>
      <x:c r="C791" s="12" t="str">
        <x:v>SRC-0002</x:v>
      </x:c>
      <x:c r="D791" s="12" t="str">
        <x:v>How are user needs, and the tools they employ, changing over time? Technical changes are happening faster than most user groups can process and manage. What will user needs look like five years from now? Retrospective and ongoing analysis of comments and feedback from new and existing users may help shed light on changing user needs.</x:v>
      </x:c>
      <x:c r="E791" s="12" t="str">
        <x:v>How are user needs, and the tools they employ, changing over time? Technical changes are happening faster than most user groups can process and manage. What will user needs look like five years from now? Retrospective and ongoing analysis of comments and feedback from new and existing users may help shed light on changing user needs.</x:v>
      </x:c>
      <x:c r="F791" s="12" t="str">
        <x:v>Suggestion</x:v>
      </x:c>
      <x:c r="G791" s="12" t="str">
        <x:v>SEDAC User Working Group</x:v>
      </x:c>
      <x:c r="H791" s="12" t="n">
        <x:v>2022</x:v>
      </x:c>
      <x:c r="I791" s="12" t="str">
        <x:v>Earth science researchers</x:v>
      </x:c>
      <x:c r="J791" s="12" t="str">
        <x:v>Medium</x:v>
      </x:c>
      <x:c r="K791" s="16" t="n">
        <x:v>0.75</x:v>
      </x:c>
      <x:c r="L791" s="12" t="str">
        <x:v>LSA similarity cluster; human review pending</x:v>
      </x:c>
      <x:c r="M791" s="12" t="str">
        <x:v>Section: 13.6 Suggestions</x:v>
      </x:c>
      <x:c r="N791" s="12" t="str"/>
      <x:c r="O791" s="12" t="str">
        <x:v>No</x:v>
      </x:c>
      <x:c r="P791" s="12" t="str">
        <x:v>No</x:v>
      </x:c>
      <x:c r="Q791" s="12"/>
      <x:c r="R791" s="12"/>
    </x:row>
    <x:row r="792">
      <x:c r="A792" s="12" t="str">
        <x:v>EVD-00791</x:v>
      </x:c>
      <x:c r="B792" s="12" t="str">
        <x:v>NEED-0096</x:v>
      </x:c>
      <x:c r="C792" s="12" t="str">
        <x:v>SRC-0002</x:v>
      </x:c>
      <x:c r="D792" s="12" t="str">
        <x:v>The UWG encourages SEDAC to develop a diversity and inclusion plank in its new strategic plan that coordinates with the evolving NASA Earth Science Division strategy. This could serve as a road map for more systematic future investments to increase diversity and inclusion.</x:v>
      </x:c>
      <x:c r="E792" s="12" t="str">
        <x:v>The UWG encourages SEDAC to develop a diversity and inclusion plank in its new strategic plan that coordinates with the evolving NASA Earth Science Division strategy. This could serve as a road map for more systematic future investments to increase diversity and inclusion.</x:v>
      </x:c>
      <x:c r="F792" s="12" t="str">
        <x:v>Suggestion</x:v>
      </x:c>
      <x:c r="G792" s="12" t="str">
        <x:v>SEDAC User Working Group</x:v>
      </x:c>
      <x:c r="H792" s="12" t="n">
        <x:v>2022</x:v>
      </x:c>
      <x:c r="I792" s="12" t="str">
        <x:v>Earthdata users</x:v>
      </x:c>
      <x:c r="J792" s="12" t="str">
        <x:v>High</x:v>
      </x:c>
      <x:c r="K792" s="16" t="n">
        <x:v>0.75</x:v>
      </x:c>
      <x:c r="L792" s="12" t="str">
        <x:v>LSA similarity cluster; human review pending</x:v>
      </x:c>
      <x:c r="M792" s="12" t="str">
        <x:v>Section: 13.6 Suggestions</x:v>
      </x:c>
      <x:c r="N792" s="12" t="str"/>
      <x:c r="O792" s="12" t="str">
        <x:v>No</x:v>
      </x:c>
      <x:c r="P792" s="12" t="str">
        <x:v>No</x:v>
      </x:c>
      <x:c r="Q792" s="12"/>
      <x:c r="R792" s="12"/>
    </x:row>
    <x:row r="793">
      <x:c r="A793" s="12" t="str">
        <x:v>EVD-00792</x:v>
      </x:c>
      <x:c r="B793" s="12" t="str">
        <x:v>NEED-0096</x:v>
      </x:c>
      <x:c r="C793" s="12" t="str">
        <x:v>SRC-0002</x:v>
      </x:c>
      <x:c r="D793" s="12" t="str">
        <x:v>UWG members suggest some analyses of SEDAC data use that could help to clarify SEDAC’s strategy vis-à-vis different communities:</x:v>
      </x:c>
      <x:c r="E793" s="12" t="str">
        <x:v>UWG members suggest some analyses of SEDAC data use that could help to clarify SEDAC’s strategy vis-à-vis different communities:</x:v>
      </x:c>
      <x:c r="F793" s="12" t="str">
        <x:v>Suggestion</x:v>
      </x:c>
      <x:c r="G793" s="12" t="str">
        <x:v>SEDAC User Working Group</x:v>
      </x:c>
      <x:c r="H793" s="12" t="n">
        <x:v>2022</x:v>
      </x:c>
      <x:c r="I793" s="12" t="str">
        <x:v>Earthdata users</x:v>
      </x:c>
      <x:c r="J793" s="12" t="str">
        <x:v>High</x:v>
      </x:c>
      <x:c r="K793" s="16" t="n">
        <x:v>0.75</x:v>
      </x:c>
      <x:c r="L793" s="12" t="str">
        <x:v>LSA similarity cluster; human review pending</x:v>
      </x:c>
      <x:c r="M793" s="12" t="str">
        <x:v>Section: 13.6 Suggestions</x:v>
      </x:c>
      <x:c r="N793" s="12" t="str"/>
      <x:c r="O793" s="12" t="str">
        <x:v>No</x:v>
      </x:c>
      <x:c r="P793" s="12" t="str">
        <x:v>No</x:v>
      </x:c>
      <x:c r="Q793" s="12"/>
      <x:c r="R793" s="12"/>
    </x:row>
    <x:row r="794">
      <x:c r="A794" s="12" t="str">
        <x:v>EVD-00793</x:v>
      </x:c>
      <x:c r="B794" s="12" t="str">
        <x:v>NEED-0027</x:v>
      </x:c>
      <x:c r="C794" s="12" t="str">
        <x:v>SRC-0002</x:v>
      </x:c>
      <x:c r="D794" s="12" t="str">
        <x:v>What are most downloaded products?</x:v>
      </x:c>
      <x:c r="E794" s="12" t="str">
        <x:v>What are most downloaded products?</x:v>
      </x:c>
      <x:c r="F794" s="12" t="str">
        <x:v>Suggestion</x:v>
      </x:c>
      <x:c r="G794" s="12" t="str">
        <x:v>SEDAC User Working Group</x:v>
      </x:c>
      <x:c r="H794" s="12" t="n">
        <x:v>2022</x:v>
      </x:c>
      <x:c r="I794" s="12" t="str">
        <x:v>Earthdata users</x:v>
      </x:c>
      <x:c r="J794" s="12" t="str">
        <x:v>Medium</x:v>
      </x:c>
      <x:c r="K794" s="16" t="n">
        <x:v>0.75</x:v>
      </x:c>
      <x:c r="L794" s="12" t="str">
        <x:v>LSA similarity cluster; human review pending</x:v>
      </x:c>
      <x:c r="M794" s="12" t="str">
        <x:v>Section: 13.6 Suggestions</x:v>
      </x:c>
      <x:c r="N794" s="12" t="str"/>
      <x:c r="O794" s="12" t="str">
        <x:v>No</x:v>
      </x:c>
      <x:c r="P794" s="12" t="str">
        <x:v>No</x:v>
      </x:c>
      <x:c r="Q794" s="12"/>
      <x:c r="R794" s="12"/>
    </x:row>
    <x:row r="795">
      <x:c r="A795" s="12" t="str">
        <x:v>EVD-00794</x:v>
      </x:c>
      <x:c r="B795" s="12" t="str">
        <x:v>NEED-0027</x:v>
      </x:c>
      <x:c r="C795" s="12" t="str">
        <x:v>SRC-0002</x:v>
      </x:c>
      <x:c r="D795" s="12" t="str">
        <x:v>If a product is rarely downloaded, explore if the reason is due to the data itself or presentation (or categorization / special use of the data).</x:v>
      </x:c>
      <x:c r="E795" s="12" t="str">
        <x:v>If a product is rarely downloaded, explore if the reason is due to the data itself or presentation (or categorization / special use of the data).</x:v>
      </x:c>
      <x:c r="F795" s="12" t="str">
        <x:v>Suggestion</x:v>
      </x:c>
      <x:c r="G795" s="12" t="str">
        <x:v>SEDAC User Working Group</x:v>
      </x:c>
      <x:c r="H795" s="12" t="n">
        <x:v>2022</x:v>
      </x:c>
      <x:c r="I795" s="12" t="str">
        <x:v>Earthdata users</x:v>
      </x:c>
      <x:c r="J795" s="12" t="str">
        <x:v>Medium</x:v>
      </x:c>
      <x:c r="K795" s="16" t="n">
        <x:v>0.75</x:v>
      </x:c>
      <x:c r="L795" s="12" t="str">
        <x:v>LSA similarity cluster; human review pending</x:v>
      </x:c>
      <x:c r="M795" s="12" t="str">
        <x:v>Section: 13.6 Suggestions</x:v>
      </x:c>
      <x:c r="N795" s="12" t="str"/>
      <x:c r="O795" s="12" t="str">
        <x:v>No</x:v>
      </x:c>
      <x:c r="P795" s="12" t="str">
        <x:v>No</x:v>
      </x:c>
      <x:c r="Q795" s="12"/>
      <x:c r="R795" s="12"/>
    </x:row>
    <x:row r="796">
      <x:c r="A796" s="12" t="str">
        <x:v>EVD-00795</x:v>
      </x:c>
      <x:c r="B796" s="12" t="str">
        <x:v>NEED-0125</x:v>
      </x:c>
      <x:c r="C796" s="12" t="str">
        <x:v>SRC-0002</x:v>
      </x:c>
      <x:c r="D796" s="12" t="str">
        <x:v>May be able to guide the cadence of updates for key data sets.</x:v>
      </x:c>
      <x:c r="E796" s="12" t="str">
        <x:v>May be able to guide the cadence of updates for key data sets.</x:v>
      </x:c>
      <x:c r="F796" s="12" t="str">
        <x:v>Suggestion</x:v>
      </x:c>
      <x:c r="G796" s="12" t="str">
        <x:v>SEDAC User Working Group</x:v>
      </x:c>
      <x:c r="H796" s="12" t="n">
        <x:v>2022</x:v>
      </x:c>
      <x:c r="I796" s="12" t="str">
        <x:v>Earthdata users</x:v>
      </x:c>
      <x:c r="J796" s="12" t="str">
        <x:v>Medium</x:v>
      </x:c>
      <x:c r="K796" s="16" t="n">
        <x:v>0.75</x:v>
      </x:c>
      <x:c r="L796" s="12" t="str">
        <x:v>LSA similarity cluster; human review pending</x:v>
      </x:c>
      <x:c r="M796" s="12" t="str">
        <x:v>Section: 13.6 Suggestions</x:v>
      </x:c>
      <x:c r="N796" s="12" t="str"/>
      <x:c r="O796" s="12" t="str">
        <x:v>No</x:v>
      </x:c>
      <x:c r="P796" s="12" t="str">
        <x:v>No</x:v>
      </x:c>
      <x:c r="Q796" s="12"/>
      <x:c r="R796" s="12"/>
    </x:row>
    <x:row r="797">
      <x:c r="A797" s="12" t="str">
        <x:v>EVD-00796</x:v>
      </x:c>
      <x:c r="B797" s="12" t="str">
        <x:v>NEED-0074</x:v>
      </x:c>
      <x:c r="C797" s="12" t="str">
        <x:v>SRC-0002</x:v>
      </x:c>
      <x:c r="D797" s="12" t="str">
        <x:v>Measure the most common use of products, categorizing as either visualization or (re)analysis.</x:v>
      </x:c>
      <x:c r="E797" s="12" t="str">
        <x:v>Measure the most common use of products, categorizing as either visualization or (re)analysis.</x:v>
      </x:c>
      <x:c r="F797" s="12" t="str">
        <x:v>Suggestion</x:v>
      </x:c>
      <x:c r="G797" s="12" t="str">
        <x:v>SEDAC User Working Group</x:v>
      </x:c>
      <x:c r="H797" s="12" t="n">
        <x:v>2022</x:v>
      </x:c>
      <x:c r="I797" s="12" t="str">
        <x:v>Earth science researchers</x:v>
      </x:c>
      <x:c r="J797" s="12" t="str">
        <x:v>Medium</x:v>
      </x:c>
      <x:c r="K797" s="16" t="n">
        <x:v>0.75</x:v>
      </x:c>
      <x:c r="L797" s="12" t="str">
        <x:v>LSA similarity cluster; human review pending</x:v>
      </x:c>
      <x:c r="M797" s="12" t="str">
        <x:v>Section: 13.6 Suggestions</x:v>
      </x:c>
      <x:c r="N797" s="12" t="str"/>
      <x:c r="O797" s="12" t="str">
        <x:v>No</x:v>
      </x:c>
      <x:c r="P797" s="12" t="str">
        <x:v>No</x:v>
      </x:c>
      <x:c r="Q797" s="12"/>
      <x:c r="R797" s="12"/>
    </x:row>
    <x:row r="798">
      <x:c r="A798" s="12" t="str">
        <x:v>EVD-00797</x:v>
      </x:c>
      <x:c r="B798" s="12" t="str">
        <x:v>NEED-0121</x:v>
      </x:c>
      <x:c r="C798" s="12" t="str">
        <x:v>SRC-0002</x:v>
      </x:c>
      <x:c r="D798" s="12" t="str">
        <x:v>This could drive a decision regarding if investment in python packages would be worthwhile.</x:v>
      </x:c>
      <x:c r="E798" s="12" t="str">
        <x:v>This could drive a decision regarding if investment in python packages would be worthwhile.</x:v>
      </x:c>
      <x:c r="F798" s="12" t="str">
        <x:v>Suggestion</x:v>
      </x:c>
      <x:c r="G798" s="12" t="str">
        <x:v>SEDAC User Working Group</x:v>
      </x:c>
      <x:c r="H798" s="12" t="n">
        <x:v>2022</x:v>
      </x:c>
      <x:c r="I798" s="12" t="str">
        <x:v>Application developers</x:v>
      </x:c>
      <x:c r="J798" s="12" t="str">
        <x:v>Medium</x:v>
      </x:c>
      <x:c r="K798" s="16" t="n">
        <x:v>0.75</x:v>
      </x:c>
      <x:c r="L798" s="12" t="str">
        <x:v>LSA similarity cluster; human review pending</x:v>
      </x:c>
      <x:c r="M798" s="12" t="str">
        <x:v>Section: 13.6 Suggestions</x:v>
      </x:c>
      <x:c r="N798" s="12" t="str"/>
      <x:c r="O798" s="12" t="str">
        <x:v>No</x:v>
      </x:c>
      <x:c r="P798" s="12" t="str">
        <x:v>No</x:v>
      </x:c>
      <x:c r="Q798" s="12"/>
      <x:c r="R798" s="12"/>
    </x:row>
    <x:row r="799">
      <x:c r="A799" s="12" t="str">
        <x:v>EVD-00798</x:v>
      </x:c>
      <x:c r="B799" s="12" t="str">
        <x:v>NEED-0009</x:v>
      </x:c>
      <x:c r="C799" s="12" t="str">
        <x:v>SRC-0002</x:v>
      </x:c>
      <x:c r="D799" s="12" t="str">
        <x:v>Does SEDAC continue to provide data layers via GEE / other cloud services?</x:v>
      </x:c>
      <x:c r="E799" s="12" t="str">
        <x:v>Does SEDAC continue to provide data layers via GEE / other cloud services?</x:v>
      </x:c>
      <x:c r="F799" s="12" t="str">
        <x:v>Suggestion</x:v>
      </x:c>
      <x:c r="G799" s="12" t="str">
        <x:v>SEDAC User Working Group</x:v>
      </x:c>
      <x:c r="H799" s="12" t="n">
        <x:v>2022</x:v>
      </x:c>
      <x:c r="I799" s="12" t="str">
        <x:v>Cloud-native researchers</x:v>
      </x:c>
      <x:c r="J799" s="12" t="str">
        <x:v>High</x:v>
      </x:c>
      <x:c r="K799" s="16" t="n">
        <x:v>0.75</x:v>
      </x:c>
      <x:c r="L799" s="12" t="str">
        <x:v>LSA similarity cluster; human review pending</x:v>
      </x:c>
      <x:c r="M799" s="12" t="str">
        <x:v>Section: 13.6 Suggestions</x:v>
      </x:c>
      <x:c r="N799" s="12" t="str"/>
      <x:c r="O799" s="12" t="str">
        <x:v>No</x:v>
      </x:c>
      <x:c r="P799" s="12" t="str">
        <x:v>No</x:v>
      </x:c>
      <x:c r="Q799" s="12"/>
      <x:c r="R799" s="12"/>
    </x:row>
    <x:row r="800">
      <x:c r="A800" s="12" t="str">
        <x:v>EVD-00799</x:v>
      </x:c>
      <x:c r="B800" s="12" t="str">
        <x:v>NEED-0083</x:v>
      </x:c>
      <x:c r="C800" s="12" t="str">
        <x:v>SRC-0002</x:v>
      </x:c>
      <x:c r="D800" s="12" t="str">
        <x:v>Identify the Department or School of authors (i.e., using Clarivate), including additional information such as number of authors.</x:v>
      </x:c>
      <x:c r="E800" s="12" t="str">
        <x:v>Identify the Department or School of authors (i.e., using Clarivate), including additional information such as number of authors.</x:v>
      </x:c>
      <x:c r="F800" s="12" t="str">
        <x:v>Suggestion</x:v>
      </x:c>
      <x:c r="G800" s="12" t="str">
        <x:v>SEDAC User Working Group</x:v>
      </x:c>
      <x:c r="H800" s="12" t="n">
        <x:v>2022</x:v>
      </x:c>
      <x:c r="I800" s="12" t="str">
        <x:v>Earthdata users</x:v>
      </x:c>
      <x:c r="J800" s="12" t="str">
        <x:v>Medium</x:v>
      </x:c>
      <x:c r="K800" s="16" t="n">
        <x:v>0.75</x:v>
      </x:c>
      <x:c r="L800" s="12" t="str">
        <x:v>LSA similarity cluster; human review pending</x:v>
      </x:c>
      <x:c r="M800" s="12" t="str">
        <x:v>Section: 13.6 Suggestions</x:v>
      </x:c>
      <x:c r="N800" s="12" t="str"/>
      <x:c r="O800" s="12" t="str">
        <x:v>No</x:v>
      </x:c>
      <x:c r="P800" s="12" t="str">
        <x:v>No</x:v>
      </x:c>
      <x:c r="Q800" s="12"/>
      <x:c r="R800" s="12"/>
    </x:row>
    <x:row r="801">
      <x:c r="A801" s="12" t="str">
        <x:v>EVD-00800</x:v>
      </x:c>
      <x:c r="B801" s="12" t="str">
        <x:v>NEED-0217</x:v>
      </x:c>
      <x:c r="C801" s="12" t="str">
        <x:v>SRC-0002</x:v>
      </x:c>
      <x:c r="D801" s="12" t="str">
        <x:v>This could help inform what conferences to attend – i.e., what disciplines to focus on providing support for, or what disciplines SEDAC could engage that are not currently users.</x:v>
      </x:c>
      <x:c r="E801" s="12" t="str">
        <x:v>This could help inform what conferences to attend – i.e., what disciplines to focus on providing support for, or what disciplines SEDAC could engage that are not currently users.</x:v>
      </x:c>
      <x:c r="F801" s="12" t="str">
        <x:v>Suggestion</x:v>
      </x:c>
      <x:c r="G801" s="12" t="str">
        <x:v>SEDAC User Working Group</x:v>
      </x:c>
      <x:c r="H801" s="12" t="n">
        <x:v>2022</x:v>
      </x:c>
      <x:c r="I801" s="12" t="str">
        <x:v>Earthdata users</x:v>
      </x:c>
      <x:c r="J801" s="12" t="str">
        <x:v>High</x:v>
      </x:c>
      <x:c r="K801" s="16" t="n">
        <x:v>0.75</x:v>
      </x:c>
      <x:c r="L801" s="12" t="str">
        <x:v>LSA similarity cluster; human review pending</x:v>
      </x:c>
      <x:c r="M801" s="12" t="str">
        <x:v>Section: 13.6 Suggestions</x:v>
      </x:c>
      <x:c r="N801" s="12" t="str"/>
      <x:c r="O801" s="12" t="str">
        <x:v>No</x:v>
      </x:c>
      <x:c r="P801" s="12" t="str">
        <x:v>No</x:v>
      </x:c>
      <x:c r="Q801" s="12"/>
      <x:c r="R801" s="12"/>
    </x:row>
    <x:row r="802">
      <x:c r="A802" s="12" t="str">
        <x:v>EVD-00801</x:v>
      </x:c>
      <x:c r="B802" s="12" t="str">
        <x:v>NEED-0208</x:v>
      </x:c>
      <x:c r="C802" s="12" t="str">
        <x:v>SRC-0002</x:v>
      </x:c>
      <x:c r="D802" s="12" t="str">
        <x:v>Examine user support requests – how are they tracked, what are they requesting, and who are they from and how many are there? What are their industries?</x:v>
      </x:c>
      <x:c r="E802" s="12" t="str">
        <x:v>Examine user support requests – how are they tracked, what are they requesting, and who are they from and how many are there? What are their industries?</x:v>
      </x:c>
      <x:c r="F802" s="12" t="str">
        <x:v>Suggestion</x:v>
      </x:c>
      <x:c r="G802" s="12" t="str">
        <x:v>SEDAC User Working Group</x:v>
      </x:c>
      <x:c r="H802" s="12" t="n">
        <x:v>2022</x:v>
      </x:c>
      <x:c r="I802" s="12" t="str">
        <x:v>Earthdata users</x:v>
      </x:c>
      <x:c r="J802" s="12" t="str">
        <x:v>High</x:v>
      </x:c>
      <x:c r="K802" s="16" t="n">
        <x:v>0.75</x:v>
      </x:c>
      <x:c r="L802" s="12" t="str">
        <x:v>LSA similarity cluster; human review pending</x:v>
      </x:c>
      <x:c r="M802" s="12" t="str">
        <x:v>Section: 13.6 Suggestions</x:v>
      </x:c>
      <x:c r="N802" s="12" t="str"/>
      <x:c r="O802" s="12" t="str">
        <x:v>No</x:v>
      </x:c>
      <x:c r="P802" s="12" t="str">
        <x:v>No</x:v>
      </x:c>
      <x:c r="Q802" s="12"/>
      <x:c r="R802" s="12"/>
    </x:row>
    <x:row r="803">
      <x:c r="A803" s="12" t="str">
        <x:v>EVD-00802</x:v>
      </x:c>
      <x:c r="B803" s="12" t="str">
        <x:v>NEED-0217</x:v>
      </x:c>
      <x:c r="C803" s="12" t="str">
        <x:v>SRC-0002</x:v>
      </x:c>
      <x:c r="D803" s="12" t="str">
        <x:v>This could help us understand SEDAC’s ultimate reach (i.e., news article hits), and inform the level of staffing that should be providing support.</x:v>
      </x:c>
      <x:c r="E803" s="12" t="str">
        <x:v>This could help us understand SEDAC’s ultimate reach (i.e., news article hits), and inform the level of staffing that should be providing support.</x:v>
      </x:c>
      <x:c r="F803" s="12" t="str">
        <x:v>Suggestion</x:v>
      </x:c>
      <x:c r="G803" s="12" t="str">
        <x:v>SEDAC User Working Group</x:v>
      </x:c>
      <x:c r="H803" s="12" t="n">
        <x:v>2022</x:v>
      </x:c>
      <x:c r="I803" s="12" t="str">
        <x:v>Earthdata users</x:v>
      </x:c>
      <x:c r="J803" s="12" t="str">
        <x:v>High</x:v>
      </x:c>
      <x:c r="K803" s="16" t="n">
        <x:v>0.75</x:v>
      </x:c>
      <x:c r="L803" s="12" t="str">
        <x:v>LSA similarity cluster; human review pending</x:v>
      </x:c>
      <x:c r="M803" s="12" t="str">
        <x:v>Section: 13.6 Suggestions</x:v>
      </x:c>
      <x:c r="N803" s="12" t="str"/>
      <x:c r="O803" s="12" t="str">
        <x:v>No</x:v>
      </x:c>
      <x:c r="P803" s="12" t="str">
        <x:v>No</x:v>
      </x:c>
      <x:c r="Q803" s="12"/>
      <x:c r="R803" s="12"/>
    </x:row>
    <x:row r="804">
      <x:c r="A804" s="12" t="str">
        <x:v>EVD-00803</x:v>
      </x:c>
      <x:c r="B804" s="12" t="str">
        <x:v>NEED-0121</x:v>
      </x:c>
      <x:c r="C804" s="12" t="str">
        <x:v>SRC-0002</x:v>
      </x:c>
      <x:c r="D804" s="12" t="str">
        <x:v>This could drive decision on the geographic regions to target for conferences.</x:v>
      </x:c>
      <x:c r="E804" s="12" t="str">
        <x:v>This could drive decision on the geographic regions to target for conferences.</x:v>
      </x:c>
      <x:c r="F804" s="12" t="str">
        <x:v>Suggestion</x:v>
      </x:c>
      <x:c r="G804" s="12" t="str">
        <x:v>SEDAC User Working Group</x:v>
      </x:c>
      <x:c r="H804" s="12" t="n">
        <x:v>2022</x:v>
      </x:c>
      <x:c r="I804" s="12" t="str">
        <x:v>Earthdata users</x:v>
      </x:c>
      <x:c r="J804" s="12" t="str">
        <x:v>Medium</x:v>
      </x:c>
      <x:c r="K804" s="16" t="n">
        <x:v>0.75</x:v>
      </x:c>
      <x:c r="L804" s="12" t="str">
        <x:v>LSA similarity cluster; human review pending</x:v>
      </x:c>
      <x:c r="M804" s="12" t="str">
        <x:v>Section: 13.6 Suggestions</x:v>
      </x:c>
      <x:c r="N804" s="12" t="str"/>
      <x:c r="O804" s="12" t="str">
        <x:v>No</x:v>
      </x:c>
      <x:c r="P804" s="12" t="str">
        <x:v>No</x:v>
      </x:c>
      <x:c r="Q804" s="12"/>
      <x:c r="R804" s="12"/>
    </x:row>
    <x:row r="805">
      <x:c r="A805" s="12" t="str">
        <x:v>EVD-00804</x:v>
      </x:c>
      <x:c r="B805" s="12" t="str">
        <x:v>NEED-0136</x:v>
      </x:c>
      <x:c r="C805" s="12" t="str">
        <x:v>SRC-0001</x:v>
      </x:c>
      <x:c r="D805" s="12" t="str">
        <x:v>The UWG unanimously commends ASF for exceptional work done and significant progress achieved over the last two years; 18 months of which were under pandemic conditions.</x:v>
      </x:c>
      <x:c r="E805" s="12" t="str">
        <x:v>The UWG unanimously commends ASF for exceptional work done and significant progress achieved over the last two years; 18 months of which were under pandemic conditions.</x:v>
      </x:c>
      <x:c r="F805" s="12" t="str">
        <x:v>Suggestion</x:v>
      </x:c>
      <x:c r="G805" s="12" t="str">
        <x:v>ASF DAAC User Working Group</x:v>
      </x:c>
      <x:c r="H805" s="12" t="n">
        <x:v>2021</x:v>
      </x:c>
      <x:c r="I805" s="12" t="str">
        <x:v>Earthdata users</x:v>
      </x:c>
      <x:c r="J805" s="12" t="str">
        <x:v>Low</x:v>
      </x:c>
      <x:c r="K805" s="16" t="n">
        <x:v>0.75</x:v>
      </x:c>
      <x:c r="L805" s="12" t="str">
        <x:v>LSA similarity cluster; human review pending</x:v>
      </x:c>
      <x:c r="M805" s="12" t="str">
        <x:v>Section: 2.2 Key UWG Suggestions</x:v>
      </x:c>
      <x:c r="N805" s="12" t="str"/>
      <x:c r="O805" s="12" t="str">
        <x:v>No</x:v>
      </x:c>
      <x:c r="P805" s="12" t="str">
        <x:v>No</x:v>
      </x:c>
      <x:c r="Q805" s="12"/>
      <x:c r="R805" s="12"/>
    </x:row>
    <x:row r="806">
      <x:c r="A806" s="12" t="str">
        <x:v>EVD-00805</x:v>
      </x:c>
      <x:c r="B806" s="12" t="str">
        <x:v>NEED-0128</x:v>
      </x:c>
      <x:c r="C806" s="12" t="str">
        <x:v>SRC-0001</x:v>
      </x:c>
      <x:c r="D806" s="12" t="str">
        <x:v>The UWG applauds the fact that junior ASF team members are exposed to UWG meetings and are given the opportunity to present their work and get the deserved recognition.</x:v>
      </x:c>
      <x:c r="E806" s="12" t="str">
        <x:v>The UWG applauds the fact that junior ASF team members are exposed to UWG meetings and are given the opportunity to present their work and get the deserved recognition.</x:v>
      </x:c>
      <x:c r="F806" s="12" t="str">
        <x:v>Suggestion</x:v>
      </x:c>
      <x:c r="G806" s="12" t="str">
        <x:v>ASF DAAC User Working Group</x:v>
      </x:c>
      <x:c r="H806" s="12" t="n">
        <x:v>2021</x:v>
      </x:c>
      <x:c r="I806" s="12" t="str">
        <x:v>Earthdata users</x:v>
      </x:c>
      <x:c r="J806" s="12" t="str">
        <x:v>Low</x:v>
      </x:c>
      <x:c r="K806" s="16" t="n">
        <x:v>0.75</x:v>
      </x:c>
      <x:c r="L806" s="12" t="str">
        <x:v>LSA similarity cluster; human review pending</x:v>
      </x:c>
      <x:c r="M806" s="12" t="str">
        <x:v>Section: 2.2 Key UWG Suggestions</x:v>
      </x:c>
      <x:c r="N806" s="12" t="str"/>
      <x:c r="O806" s="12" t="str">
        <x:v>No</x:v>
      </x:c>
      <x:c r="P806" s="12" t="str">
        <x:v>No</x:v>
      </x:c>
      <x:c r="Q806" s="12"/>
      <x:c r="R806" s="12"/>
    </x:row>
    <x:row r="807">
      <x:c r="A807" s="12" t="str">
        <x:v>EVD-00806</x:v>
      </x:c>
      <x:c r="B807" s="12" t="str">
        <x:v>NEED-0211</x:v>
      </x:c>
      <x:c r="C807" s="12" t="str">
        <x:v>SRC-0001</x:v>
      </x:c>
      <x:c r="D807" s="12" t="str">
        <x:v>The quarterly meetings were seen as useful to provide timely feedback to ASF and NASA on relevant topics.</x:v>
      </x:c>
      <x:c r="E807" s="12" t="str">
        <x:v>The quarterly meetings were seen as useful to provide timely feedback to ASF and NASA on relevant topics.</x:v>
      </x:c>
      <x:c r="F807" s="12" t="str">
        <x:v>Suggestion</x:v>
      </x:c>
      <x:c r="G807" s="12" t="str">
        <x:v>ASF DAAC User Working Group</x:v>
      </x:c>
      <x:c r="H807" s="12" t="n">
        <x:v>2021</x:v>
      </x:c>
      <x:c r="I807" s="12" t="str">
        <x:v>Earthdata users</x:v>
      </x:c>
      <x:c r="J807" s="12" t="str">
        <x:v>High</x:v>
      </x:c>
      <x:c r="K807" s="16" t="n">
        <x:v>0.75</x:v>
      </x:c>
      <x:c r="L807" s="12" t="str">
        <x:v>LSA similarity cluster; human review pending</x:v>
      </x:c>
      <x:c r="M807" s="12" t="str">
        <x:v>Section: 2.2 Key UWG Suggestions</x:v>
      </x:c>
      <x:c r="N807" s="12" t="str"/>
      <x:c r="O807" s="12" t="str">
        <x:v>No</x:v>
      </x:c>
      <x:c r="P807" s="12" t="str">
        <x:v>No</x:v>
      </x:c>
      <x:c r="Q807" s="12"/>
      <x:c r="R807" s="12"/>
    </x:row>
    <x:row r="808">
      <x:c r="A808" s="12" t="str">
        <x:v>EVD-00807</x:v>
      </x:c>
      <x:c r="B808" s="12" t="str">
        <x:v>NEED-0124</x:v>
      </x:c>
      <x:c r="C808" s="12" t="str">
        <x:v>SRC-0001</x:v>
      </x:c>
      <x:c r="D808" s="12" t="str">
        <x:v>UWG members are in favor of going back to one in-person meeting per year (i.e. the annual meeting) if circumstances allow us to do so.</x:v>
      </x:c>
      <x:c r="E808" s="12" t="str">
        <x:v>UWG members are in favor of going back to one in-person meeting per year (i.e. the annual meeting) if circumstances allow us to do so.</x:v>
      </x:c>
      <x:c r="F808" s="12" t="str">
        <x:v>Suggestion</x:v>
      </x:c>
      <x:c r="G808" s="12" t="str">
        <x:v>ASF DAAC User Working Group</x:v>
      </x:c>
      <x:c r="H808" s="12" t="n">
        <x:v>2021</x:v>
      </x:c>
      <x:c r="I808" s="12" t="str">
        <x:v>Earthdata users</x:v>
      </x:c>
      <x:c r="J808" s="12" t="str">
        <x:v>High</x:v>
      </x:c>
      <x:c r="K808" s="16" t="n">
        <x:v>0.75</x:v>
      </x:c>
      <x:c r="L808" s="12" t="str">
        <x:v>LSA similarity cluster; human review pending</x:v>
      </x:c>
      <x:c r="M808" s="12" t="str">
        <x:v>Section: 2.2 Key UWG Suggestions</x:v>
      </x:c>
      <x:c r="N808" s="12" t="str"/>
      <x:c r="O808" s="12" t="str">
        <x:v>No</x:v>
      </x:c>
      <x:c r="P808" s="12" t="str">
        <x:v>No</x:v>
      </x:c>
      <x:c r="Q808" s="12"/>
      <x:c r="R808" s="12"/>
    </x:row>
    <x:row r="809">
      <x:c r="A809" s="12" t="str">
        <x:v>EVD-00808</x:v>
      </x:c>
      <x:c r="B809" s="12" t="str">
        <x:v>NEED-0075</x:v>
      </x:c>
      <x:c r="C809" s="12" t="str">
        <x:v>SRC-0001</x:v>
      </x:c>
      <x:c r="D809" s="12" t="str">
        <x:v>The UWG suggests that relevant DAACs are invited to future ASF UWG meetings if the meeting agenda contains relevant topics, particularly, but not limited to, Observational Products for End-Users from Remote Sensing Analysis (OPERA) related.</x:v>
      </x:c>
      <x:c r="E809" s="12" t="str">
        <x:v>The UWG suggests that relevant DAACs are invited to future ASF UWG meetings if the meeting agenda contains relevant topics, particularly, but not limited to, Observational Products for End-Users from Remote Sensing Analysis (OPERA) related.</x:v>
      </x:c>
      <x:c r="F809" s="12" t="str">
        <x:v>Suggestion</x:v>
      </x:c>
      <x:c r="G809" s="12" t="str">
        <x:v>ASF DAAC User Working Group</x:v>
      </x:c>
      <x:c r="H809" s="12" t="n">
        <x:v>2021</x:v>
      </x:c>
      <x:c r="I809" s="12" t="str">
        <x:v>Earth science researchers</x:v>
      </x:c>
      <x:c r="J809" s="12" t="str">
        <x:v>Medium</x:v>
      </x:c>
      <x:c r="K809" s="16" t="n">
        <x:v>0.75</x:v>
      </x:c>
      <x:c r="L809" s="12" t="str">
        <x:v>LSA similarity cluster; human review pending</x:v>
      </x:c>
      <x:c r="M809" s="12" t="str">
        <x:v>Section: 2.2 Key UWG Suggestions</x:v>
      </x:c>
      <x:c r="N809" s="12" t="str"/>
      <x:c r="O809" s="12" t="str">
        <x:v>No</x:v>
      </x:c>
      <x:c r="P809" s="12" t="str">
        <x:v>No</x:v>
      </x:c>
      <x:c r="Q809" s="12"/>
      <x:c r="R809" s="12"/>
    </x:row>
    <x:row r="810">
      <x:c r="A810" s="12" t="str">
        <x:v>EVD-00809</x:v>
      </x:c>
      <x:c r="B810" s="12" t="str">
        <x:v>NEED-0134</x:v>
      </x:c>
      <x:c r="C810" s="12" t="str">
        <x:v>SRC-0001</x:v>
      </x:c>
      <x:c r="D810" s="12" t="str">
        <x:v>The UWG suggests the continuation of the use of Subject Matter Expert (SME) teams (or tiger teams). Decisions to form a SME team should be made carefully and weighed against the need for the full UWG to be involved in the entire discussion (e.g., for a topic of broad interest). In general, SME findings should be reported to the UWG for discussion and subsequent reporting to NASA.</x:v>
      </x:c>
      <x:c r="E810" s="12" t="str">
        <x:v>The UWG suggests the continuation of the use of Subject Matter Expert (SME) teams (or tiger teams). Decisions to form a SME team should be made carefully and weighed against the need for the full UWG to be involved in the entire discussion (e.g., for a topic of broad interest). In general, SME findings should be reported to the UWG for discussion and subsequent reporting to NASA.</x:v>
      </x:c>
      <x:c r="F810" s="12" t="str">
        <x:v>Suggestion</x:v>
      </x:c>
      <x:c r="G810" s="12" t="str">
        <x:v>ASF DAAC User Working Group</x:v>
      </x:c>
      <x:c r="H810" s="12" t="n">
        <x:v>2021</x:v>
      </x:c>
      <x:c r="I810" s="12" t="str">
        <x:v>Earthdata users</x:v>
      </x:c>
      <x:c r="J810" s="12" t="str">
        <x:v>High</x:v>
      </x:c>
      <x:c r="K810" s="16" t="n">
        <x:v>0.75</x:v>
      </x:c>
      <x:c r="L810" s="12" t="str">
        <x:v>LSA similarity cluster; human review pending</x:v>
      </x:c>
      <x:c r="M810" s="12" t="str">
        <x:v>Section: 2.2 Key UWG Suggestions</x:v>
      </x:c>
      <x:c r="N810" s="12" t="str"/>
      <x:c r="O810" s="12" t="str">
        <x:v>No</x:v>
      </x:c>
      <x:c r="P810" s="12" t="str">
        <x:v>No</x:v>
      </x:c>
      <x:c r="Q810" s="12"/>
      <x:c r="R810" s="12"/>
    </x:row>
    <x:row r="811">
      <x:c r="A811" s="12" t="str">
        <x:v>EVD-00810</x:v>
      </x:c>
      <x:c r="B811" s="12" t="str">
        <x:v>NEED-0173</x:v>
      </x:c>
      <x:c r="C811" s="12" t="str">
        <x:v>SRC-0001</x:v>
      </x:c>
      <x:c r="D811" s="12" t="str">
        <x:v>The UWG considers the Satellite Needs Working Group (SNWG) work, particularly the OPERA project, as a promising development and sees an opportunity for ASF to develop tools to enable the community to utilize the products and to expand on these product lines.</x:v>
      </x:c>
      <x:c r="E811" s="12" t="str">
        <x:v>The UWG considers the Satellite Needs Working Group (SNWG) work, particularly the OPERA project, as a promising development and sees an opportunity for ASF to develop tools to enable the community to utilize the products and to expand on these product lines.</x:v>
      </x:c>
      <x:c r="F811" s="12" t="str">
        <x:v>Suggestion</x:v>
      </x:c>
      <x:c r="G811" s="12" t="str">
        <x:v>ASF DAAC User Working Group</x:v>
      </x:c>
      <x:c r="H811" s="12" t="n">
        <x:v>2021</x:v>
      </x:c>
      <x:c r="I811" s="12" t="str">
        <x:v>Earthdata users</x:v>
      </x:c>
      <x:c r="J811" s="12" t="str">
        <x:v>High</x:v>
      </x:c>
      <x:c r="K811" s="16" t="n">
        <x:v>0.75</x:v>
      </x:c>
      <x:c r="L811" s="12" t="str">
        <x:v>LSA similarity cluster; human review pending</x:v>
      </x:c>
      <x:c r="M811" s="12" t="str">
        <x:v>Section: 2.2 Key UWG Suggestions</x:v>
      </x:c>
      <x:c r="N811" s="12" t="str"/>
      <x:c r="O811" s="12" t="str">
        <x:v>No</x:v>
      </x:c>
      <x:c r="P811" s="12" t="str">
        <x:v>No</x:v>
      </x:c>
      <x:c r="Q811" s="12"/>
      <x:c r="R811" s="12"/>
    </x:row>
    <x:row r="812">
      <x:c r="A812" s="12" t="str">
        <x:v>EVD-00811</x:v>
      </x:c>
      <x:c r="B812" s="12" t="str">
        <x:v>NEED-0173</x:v>
      </x:c>
      <x:c r="C812" s="12" t="str">
        <x:v>SRC-0001</x:v>
      </x:c>
      <x:c r="D812" s="12" t="str">
        <x:v>OPERA deliverables (product specifications, as well as geographic extent), provides an opportunity space for ASF to develop tools to enable the community to utilize the products and to expand on these product lines. Some example ideas are:</x:v>
      </x:c>
      <x:c r="E812" s="12" t="str">
        <x:v>OPERA deliverables (product specifications, as well as geographic extent), provides an opportunity space for ASF to develop tools to enable the community to utilize the products and to expand on these product lines. Some example ideas are:</x:v>
      </x:c>
      <x:c r="F812" s="12" t="str">
        <x:v>Suggestion</x:v>
      </x:c>
      <x:c r="G812" s="12" t="str">
        <x:v>ASF DAAC User Working Group</x:v>
      </x:c>
      <x:c r="H812" s="12" t="n">
        <x:v>2021</x:v>
      </x:c>
      <x:c r="I812" s="12" t="str">
        <x:v>Earthdata users</x:v>
      </x:c>
      <x:c r="J812" s="12" t="str">
        <x:v>High</x:v>
      </x:c>
      <x:c r="K812" s="16" t="n">
        <x:v>0.75</x:v>
      </x:c>
      <x:c r="L812" s="12" t="str">
        <x:v>LSA similarity cluster; human review pending</x:v>
      </x:c>
      <x:c r="M812" s="12" t="str">
        <x:v>Section: 2.2 Key UWG Suggestions</x:v>
      </x:c>
      <x:c r="N812" s="12" t="str"/>
      <x:c r="O812" s="12" t="str">
        <x:v>No</x:v>
      </x:c>
      <x:c r="P812" s="12" t="str">
        <x:v>No</x:v>
      </x:c>
      <x:c r="Q812" s="12"/>
      <x:c r="R812" s="12"/>
    </x:row>
    <x:row r="813">
      <x:c r="A813" s="12" t="str">
        <x:v>EVD-00812</x:v>
      </x:c>
      <x:c r="B813" s="12" t="str">
        <x:v>NEED-0138</x:v>
      </x:c>
      <x:c r="C813" s="12" t="str">
        <x:v>SRC-0001</x:v>
      </x:c>
      <x:c r="D813" s="12" t="str">
        <x:v>Processing of RTC for the Sentinel-1 period not covered by OPERA.</x:v>
      </x:c>
      <x:c r="E813" s="12" t="str">
        <x:v>Processing of RTC for the Sentinel-1 period not covered by OPERA.</x:v>
      </x:c>
      <x:c r="F813" s="12" t="str">
        <x:v>Suggestion</x:v>
      </x:c>
      <x:c r="G813" s="12" t="str">
        <x:v>ASF DAAC User Working Group</x:v>
      </x:c>
      <x:c r="H813" s="12" t="n">
        <x:v>2021</x:v>
      </x:c>
      <x:c r="I813" s="12" t="str">
        <x:v>Earthdata users</x:v>
      </x:c>
      <x:c r="J813" s="12" t="str">
        <x:v>Medium</x:v>
      </x:c>
      <x:c r="K813" s="16" t="n">
        <x:v>0.75</x:v>
      </x:c>
      <x:c r="L813" s="12" t="str">
        <x:v>LSA similarity cluster; human review pending</x:v>
      </x:c>
      <x:c r="M813" s="12" t="str">
        <x:v>Section: 2.2 Key UWG Suggestions</x:v>
      </x:c>
      <x:c r="N813" s="12" t="str"/>
      <x:c r="O813" s="12" t="str">
        <x:v>No</x:v>
      </x:c>
      <x:c r="P813" s="12" t="str">
        <x:v>No</x:v>
      </x:c>
      <x:c r="Q813" s="12"/>
      <x:c r="R813" s="12"/>
    </x:row>
    <x:row r="814">
      <x:c r="A814" s="12" t="str">
        <x:v>EVD-00813</x:v>
      </x:c>
      <x:c r="B814" s="12" t="str">
        <x:v>NEED-0138</x:v>
      </x:c>
      <x:c r="C814" s="12" t="str">
        <x:v>SRC-0001</x:v>
      </x:c>
      <x:c r="D814" s="12" t="str">
        <x:v>Processing of RTC for other missions.</x:v>
      </x:c>
      <x:c r="E814" s="12" t="str">
        <x:v>Processing of RTC for other missions.</x:v>
      </x:c>
      <x:c r="F814" s="12" t="str">
        <x:v>Suggestion</x:v>
      </x:c>
      <x:c r="G814" s="12" t="str">
        <x:v>ASF DAAC User Working Group</x:v>
      </x:c>
      <x:c r="H814" s="12" t="n">
        <x:v>2021</x:v>
      </x:c>
      <x:c r="I814" s="12" t="str">
        <x:v>Data producers and mission teams</x:v>
      </x:c>
      <x:c r="J814" s="12" t="str">
        <x:v>Medium</x:v>
      </x:c>
      <x:c r="K814" s="16" t="n">
        <x:v>0.75</x:v>
      </x:c>
      <x:c r="L814" s="12" t="str">
        <x:v>LSA similarity cluster; human review pending</x:v>
      </x:c>
      <x:c r="M814" s="12" t="str">
        <x:v>Section: 2.2 Key UWG Suggestions</x:v>
      </x:c>
      <x:c r="N814" s="12" t="str"/>
      <x:c r="O814" s="12" t="str">
        <x:v>No</x:v>
      </x:c>
      <x:c r="P814" s="12" t="str">
        <x:v>No</x:v>
      </x:c>
      <x:c r="Q814" s="12"/>
      <x:c r="R814" s="12"/>
    </x:row>
    <x:row r="815">
      <x:c r="A815" s="12" t="str">
        <x:v>EVD-00814</x:v>
      </x:c>
      <x:c r="B815" s="12" t="str">
        <x:v>NEED-0138</x:v>
      </x:c>
      <x:c r="C815" s="12" t="str">
        <x:v>SRC-0001</x:v>
      </x:c>
      <x:c r="D815" s="12" t="str">
        <x:v>Providing OPERA-style InSAR capability for regions not covered by OPERA.</x:v>
      </x:c>
      <x:c r="E815" s="12" t="str">
        <x:v>Providing OPERA-style InSAR capability for regions not covered by OPERA.</x:v>
      </x:c>
      <x:c r="F815" s="12" t="str">
        <x:v>Suggestion</x:v>
      </x:c>
      <x:c r="G815" s="12" t="str">
        <x:v>ASF DAAC User Working Group</x:v>
      </x:c>
      <x:c r="H815" s="12" t="n">
        <x:v>2021</x:v>
      </x:c>
      <x:c r="I815" s="12" t="str">
        <x:v>Earthdata users</x:v>
      </x:c>
      <x:c r="J815" s="12" t="str">
        <x:v>Medium</x:v>
      </x:c>
      <x:c r="K815" s="16" t="n">
        <x:v>0.75</x:v>
      </x:c>
      <x:c r="L815" s="12" t="str">
        <x:v>LSA similarity cluster; human review pending</x:v>
      </x:c>
      <x:c r="M815" s="12" t="str">
        <x:v>Section: 2.2 Key UWG Suggestions</x:v>
      </x:c>
      <x:c r="N815" s="12" t="str"/>
      <x:c r="O815" s="12" t="str">
        <x:v>No</x:v>
      </x:c>
      <x:c r="P815" s="12" t="str">
        <x:v>No</x:v>
      </x:c>
      <x:c r="Q815" s="12"/>
      <x:c r="R815" s="12"/>
    </x:row>
    <x:row r="816">
      <x:c r="A816" s="12" t="str">
        <x:v>EVD-00815</x:v>
      </x:c>
      <x:c r="B816" s="12" t="str">
        <x:v>NEED-0082</x:v>
      </x:c>
      <x:c r="C816" s="12" t="str">
        <x:v>SRC-0001</x:v>
      </x:c>
      <x:c r="D816" s="12" t="str">
        <x:v>The UWG expresses interest in being involved in the SNWG developments and suggests forming two separate SME teams, one for RTC products, the other for the deformation related products to be held at ASF. The RTC SME team will have an expanded portfolio as it would investigate RTC products from other sensors, including an assessment of the Japan Aerospace Exploration Agency (JAXA) product released in this context. This would be one form of community feedback to NASA regarding the SNWG products.</x:v>
      </x:c>
      <x:c r="E816" s="12" t="str">
        <x:v>The UWG expresses interest in being involved in the SNWG developments and suggests forming two separate SME teams, one for RTC products, the other for the deformation related products to be held at ASF. The RTC SME team will have an expanded portfolio as it would investigate RTC products from other sensors, including an assessment of the Japan Aerospace Exploration Agency (JAXA) product released in this context. This would be one form of community feedback to NASA regarding the SNWG products.</x:v>
      </x:c>
      <x:c r="F816" s="12" t="str">
        <x:v>Suggestion</x:v>
      </x:c>
      <x:c r="G816" s="12" t="str">
        <x:v>ASF DAAC User Working Group</x:v>
      </x:c>
      <x:c r="H816" s="12" t="n">
        <x:v>2021</x:v>
      </x:c>
      <x:c r="I816" s="12" t="str">
        <x:v>Earthdata users</x:v>
      </x:c>
      <x:c r="J816" s="12" t="str">
        <x:v>Medium</x:v>
      </x:c>
      <x:c r="K816" s="16" t="n">
        <x:v>0.75</x:v>
      </x:c>
      <x:c r="L816" s="12" t="str">
        <x:v>LSA similarity cluster; human review pending</x:v>
      </x:c>
      <x:c r="M816" s="12" t="str">
        <x:v>Section: 2.2 Key UWG Suggestions</x:v>
      </x:c>
      <x:c r="N816" s="12" t="str"/>
      <x:c r="O816" s="12" t="str">
        <x:v>No</x:v>
      </x:c>
      <x:c r="P816" s="12" t="str">
        <x:v>No</x:v>
      </x:c>
      <x:c r="Q816" s="12"/>
      <x:c r="R816" s="12"/>
    </x:row>
    <x:row r="817">
      <x:c r="A817" s="12" t="str">
        <x:v>EVD-00816</x:v>
      </x:c>
      <x:c r="B817" s="12" t="str">
        <x:v>NEED-0013</x:v>
      </x:c>
      <x:c r="C817" s="12" t="str">
        <x:v>SRC-0001</x:v>
      </x:c>
      <x:c r="D817" s="12" t="str">
        <x:v>The UWG shows broad interest in cloud processing. The primary concerns of UWG members continue to be cost, cost estimates and a perceived lack of information and help on this topic:</x:v>
      </x:c>
      <x:c r="E817" s="12" t="str">
        <x:v>The UWG shows broad interest in cloud processing. The primary concerns of UWG members continue to be cost, cost estimates and a perceived lack of information and help on this topic:</x:v>
      </x:c>
      <x:c r="F817" s="12" t="str">
        <x:v>Suggestion</x:v>
      </x:c>
      <x:c r="G817" s="12" t="str">
        <x:v>ASF DAAC User Working Group</x:v>
      </x:c>
      <x:c r="H817" s="12" t="n">
        <x:v>2021</x:v>
      </x:c>
      <x:c r="I817" s="12" t="str">
        <x:v>Cloud-native researchers</x:v>
      </x:c>
      <x:c r="J817" s="12" t="str">
        <x:v>High</x:v>
      </x:c>
      <x:c r="K817" s="16" t="n">
        <x:v>0.75</x:v>
      </x:c>
      <x:c r="L817" s="12" t="str">
        <x:v>LSA similarity cluster; human review pending</x:v>
      </x:c>
      <x:c r="M817" s="12" t="str">
        <x:v>Section: 2.2 Key UWG Suggestions</x:v>
      </x:c>
      <x:c r="N817" s="12" t="str"/>
      <x:c r="O817" s="12" t="str">
        <x:v>No</x:v>
      </x:c>
      <x:c r="P817" s="12" t="str">
        <x:v>No</x:v>
      </x:c>
      <x:c r="Q817" s="12"/>
      <x:c r="R817" s="12"/>
    </x:row>
    <x:row r="818">
      <x:c r="A818" s="12" t="str">
        <x:v>EVD-00817</x:v>
      </x:c>
      <x:c r="B818" s="12" t="str">
        <x:v>NEED-0013</x:v>
      </x:c>
      <x:c r="C818" s="12" t="str">
        <x:v>SRC-0001</x:v>
      </x:c>
      <x:c r="D818" s="12" t="str">
        <x:v>The UWG suggests that the issue of cost estimates be addressed at NASA level to enable users to get tools/help with cost estimates for cloud processing.</x:v>
      </x:c>
      <x:c r="E818" s="12" t="str">
        <x:v>The UWG suggests that the issue of cost estimates be addressed at NASA level to enable users to get tools/help with cost estimates for cloud processing.</x:v>
      </x:c>
      <x:c r="F818" s="12" t="str">
        <x:v>Suggestion</x:v>
      </x:c>
      <x:c r="G818" s="12" t="str">
        <x:v>ASF DAAC User Working Group</x:v>
      </x:c>
      <x:c r="H818" s="12" t="n">
        <x:v>2021</x:v>
      </x:c>
      <x:c r="I818" s="12" t="str">
        <x:v>Cloud-native researchers</x:v>
      </x:c>
      <x:c r="J818" s="12" t="str">
        <x:v>Medium</x:v>
      </x:c>
      <x:c r="K818" s="16" t="n">
        <x:v>0.75</x:v>
      </x:c>
      <x:c r="L818" s="12" t="str">
        <x:v>LSA similarity cluster; human review pending</x:v>
      </x:c>
      <x:c r="M818" s="12" t="str">
        <x:v>Section: 2.2 Key UWG Suggestions</x:v>
      </x:c>
      <x:c r="N818" s="12" t="str"/>
      <x:c r="O818" s="12" t="str">
        <x:v>No</x:v>
      </x:c>
      <x:c r="P818" s="12" t="str">
        <x:v>No</x:v>
      </x:c>
      <x:c r="Q818" s="12"/>
      <x:c r="R818" s="12"/>
    </x:row>
    <x:row r="819">
      <x:c r="A819" s="12" t="str">
        <x:v>EVD-00818</x:v>
      </x:c>
      <x:c r="B819" s="12" t="str">
        <x:v>NEED-0014</x:v>
      </x:c>
      <x:c r="C819" s="12" t="str">
        <x:v>SRC-0001</x:v>
      </x:c>
      <x:c r="D819" s="12" t="str">
        <x:v>The UWG suggests that ASF and JPL (two large cloud users) take efforts to collect and preserve the institutional knowledge on cloud processing planning and costing to assist with developing tools and consulting options.</x:v>
      </x:c>
      <x:c r="E819" s="12" t="str">
        <x:v>The UWG suggests that ASF and JPL (two large cloud users) take efforts to collect and preserve the institutional knowledge on cloud processing planning and costing to assist with developing tools and consulting options.</x:v>
      </x:c>
      <x:c r="F819" s="12" t="str">
        <x:v>Suggestion</x:v>
      </x:c>
      <x:c r="G819" s="12" t="str">
        <x:v>ASF DAAC User Working Group</x:v>
      </x:c>
      <x:c r="H819" s="12" t="n">
        <x:v>2021</x:v>
      </x:c>
      <x:c r="I819" s="12" t="str">
        <x:v>Cloud-native researchers</x:v>
      </x:c>
      <x:c r="J819" s="12" t="str">
        <x:v>Medium</x:v>
      </x:c>
      <x:c r="K819" s="16" t="n">
        <x:v>0.75</x:v>
      </x:c>
      <x:c r="L819" s="12" t="str">
        <x:v>LSA similarity cluster; human review pending</x:v>
      </x:c>
      <x:c r="M819" s="12" t="str">
        <x:v>Section: 2.2 Key UWG Suggestions</x:v>
      </x:c>
      <x:c r="N819" s="12" t="str"/>
      <x:c r="O819" s="12" t="str">
        <x:v>No</x:v>
      </x:c>
      <x:c r="P819" s="12" t="str">
        <x:v>No</x:v>
      </x:c>
      <x:c r="Q819" s="12"/>
      <x:c r="R819" s="12"/>
    </x:row>
    <x:row r="820">
      <x:c r="A820" s="12" t="str">
        <x:v>EVD-00819</x:v>
      </x:c>
      <x:c r="B820" s="12" t="str">
        <x:v>NEED-0181</x:v>
      </x:c>
      <x:c r="C820" s="12" t="str">
        <x:v>SRC-0001</x:v>
      </x:c>
      <x:c r="D820" s="12" t="str">
        <x:v>The digital elevation model (DEM) discussion that started in 2020, was delegated to the NASA-ISRO SAR Mission (NISAR) Project DEM discussion with the UWG discussing its impact on ASF. The Copernicus DEM is the candidate for the NISAR mission. ASF uses DEM but also continues the evaluation of its suitability for SAR applications.</x:v>
      </x:c>
      <x:c r="E820" s="12" t="str">
        <x:v>The digital elevation model (DEM) discussion that started in 2020, was delegated to the NASA-ISRO SAR Mission (NISAR) Project DEM discussion with the UWG discussing its impact on ASF. The Copernicus DEM is the candidate for the NISAR mission. ASF uses DEM but also continues the evaluation of its suitability for SAR applications.</x:v>
      </x:c>
      <x:c r="F820" s="12" t="str">
        <x:v>Suggestion</x:v>
      </x:c>
      <x:c r="G820" s="12" t="str">
        <x:v>ASF DAAC User Working Group</x:v>
      </x:c>
      <x:c r="H820" s="12" t="n">
        <x:v>2021</x:v>
      </x:c>
      <x:c r="I820" s="12" t="str">
        <x:v>Data producers and mission teams</x:v>
      </x:c>
      <x:c r="J820" s="12" t="str">
        <x:v>Medium</x:v>
      </x:c>
      <x:c r="K820" s="16" t="n">
        <x:v>0.75</x:v>
      </x:c>
      <x:c r="L820" s="12" t="str">
        <x:v>LSA similarity cluster; human review pending</x:v>
      </x:c>
      <x:c r="M820" s="12" t="str">
        <x:v>Section: 2.2 Key UWG Suggestions</x:v>
      </x:c>
      <x:c r="N820" s="12" t="str"/>
      <x:c r="O820" s="12" t="str">
        <x:v>No</x:v>
      </x:c>
      <x:c r="P820" s="12" t="str">
        <x:v>No</x:v>
      </x:c>
      <x:c r="Q820" s="12"/>
      <x:c r="R820" s="12"/>
    </x:row>
    <x:row r="821">
      <x:c r="A821" s="12" t="str">
        <x:v>EVD-00820</x:v>
      </x:c>
      <x:c r="B821" s="12" t="str">
        <x:v>NEED-0129</x:v>
      </x:c>
      <x:c r="C821" s="12" t="str">
        <x:v>SRC-0001</x:v>
      </x:c>
      <x:c r="D821" s="12" t="str">
        <x:v>The ASF UWG suggests that ASF takes an effort to harmonize the RADARSAT-1 holdings in the archive by replacing the existing data with CSA/MDA processed data.</x:v>
      </x:c>
      <x:c r="E821" s="12" t="str">
        <x:v>The ASF UWG suggests that ASF takes an effort to harmonize the RADARSAT-1 holdings in the archive by replacing the existing data with CSA/MDA processed data.</x:v>
      </x:c>
      <x:c r="F821" s="12" t="str">
        <x:v>Suggestion</x:v>
      </x:c>
      <x:c r="G821" s="12" t="str">
        <x:v>ASF DAAC User Working Group</x:v>
      </x:c>
      <x:c r="H821" s="12" t="n">
        <x:v>2021</x:v>
      </x:c>
      <x:c r="I821" s="12" t="str">
        <x:v>Data producers and mission teams</x:v>
      </x:c>
      <x:c r="J821" s="12" t="str">
        <x:v>Medium</x:v>
      </x:c>
      <x:c r="K821" s="16" t="n">
        <x:v>0.75</x:v>
      </x:c>
      <x:c r="L821" s="12" t="str">
        <x:v>LSA similarity cluster; human review pending</x:v>
      </x:c>
      <x:c r="M821" s="12" t="str">
        <x:v>Section: 2.2 Key UWG Suggestions</x:v>
      </x:c>
      <x:c r="N821" s="12" t="str"/>
      <x:c r="O821" s="12" t="str">
        <x:v>No</x:v>
      </x:c>
      <x:c r="P821" s="12" t="str">
        <x:v>No</x:v>
      </x:c>
      <x:c r="Q821" s="12"/>
      <x:c r="R821" s="12"/>
    </x:row>
    <x:row r="822">
      <x:c r="A822" s="12" t="str">
        <x:v>EVD-00821</x:v>
      </x:c>
      <x:c r="B822" s="12" t="str">
        <x:v>NEED-0075</x:v>
      </x:c>
      <x:c r="C822" s="12" t="str">
        <x:v>SRC-0001</x:v>
      </x:c>
      <x:c r="D822" s="12" t="str">
        <x:v>The ASF UWG unanimously suggests that NASA approves ASF to host the global coherence product - a separate recommendation letter was submitted to NASA in this respect.</x:v>
      </x:c>
      <x:c r="E822" s="12" t="str">
        <x:v>The ASF UWG unanimously suggests that NASA approves ASF to host the global coherence product - a separate recommendation letter was submitted to NASA in this respect.</x:v>
      </x:c>
      <x:c r="F822" s="12" t="str">
        <x:v>Recommendation</x:v>
      </x:c>
      <x:c r="G822" s="12" t="str">
        <x:v>ASF DAAC User Working Group</x:v>
      </x:c>
      <x:c r="H822" s="12" t="n">
        <x:v>2021</x:v>
      </x:c>
      <x:c r="I822" s="12" t="str">
        <x:v>Earthdata users</x:v>
      </x:c>
      <x:c r="J822" s="12" t="str">
        <x:v>Low</x:v>
      </x:c>
      <x:c r="K822" s="16" t="n">
        <x:v>0.75</x:v>
      </x:c>
      <x:c r="L822" s="12" t="str">
        <x:v>LSA similarity cluster; human review pending</x:v>
      </x:c>
      <x:c r="M822" s="12" t="str">
        <x:v>Section: 2.2 Key UWG Suggestions</x:v>
      </x:c>
      <x:c r="N822" s="12" t="str"/>
      <x:c r="O822" s="12" t="str">
        <x:v>No</x:v>
      </x:c>
      <x:c r="P822" s="12" t="str">
        <x:v>No</x:v>
      </x:c>
      <x:c r="Q822" s="12"/>
      <x:c r="R822" s="12"/>
    </x:row>
    <x:row r="823">
      <x:c r="A823" s="12" t="str">
        <x:v>EVD-00822</x:v>
      </x:c>
      <x:c r="B823" s="12" t="str">
        <x:v>NEED-0129</x:v>
      </x:c>
      <x:c r="C823" s="12" t="str">
        <x:v>SRC-0001</x:v>
      </x:c>
      <x:c r="D823" s="12" t="str">
        <x:v>The ASF UWG suggests that ASF prioritizes ALOS-2 ScanSAR data pulls over the remaining ALOS-1 data pulls to get the newer data in a timely fashion.</x:v>
      </x:c>
      <x:c r="E823" s="12" t="str">
        <x:v>The ASF UWG suggests that ASF prioritizes ALOS-2 ScanSAR data pulls over the remaining ALOS-1 data pulls to get the newer data in a timely fashion.</x:v>
      </x:c>
      <x:c r="F823" s="12" t="str">
        <x:v>Suggestion</x:v>
      </x:c>
      <x:c r="G823" s="12" t="str">
        <x:v>ASF DAAC User Working Group</x:v>
      </x:c>
      <x:c r="H823" s="12" t="n">
        <x:v>2021</x:v>
      </x:c>
      <x:c r="I823" s="12" t="str">
        <x:v>Earthdata users</x:v>
      </x:c>
      <x:c r="J823" s="12" t="str">
        <x:v>Medium</x:v>
      </x:c>
      <x:c r="K823" s="16" t="n">
        <x:v>0.75</x:v>
      </x:c>
      <x:c r="L823" s="12" t="str">
        <x:v>LSA similarity cluster; human review pending</x:v>
      </x:c>
      <x:c r="M823" s="12" t="str">
        <x:v>Section: 2.2 Key UWG Suggestions</x:v>
      </x:c>
      <x:c r="N823" s="12" t="str"/>
      <x:c r="O823" s="12" t="str">
        <x:v>No</x:v>
      </x:c>
      <x:c r="P823" s="12" t="str">
        <x:v>No</x:v>
      </x:c>
      <x:c r="Q823" s="12"/>
      <x:c r="R823" s="12"/>
    </x:row>
    <x:row r="824">
      <x:c r="A824" s="12" t="str">
        <x:v>EVD-00823</x:v>
      </x:c>
      <x:c r="B824" s="12" t="str">
        <x:v>NEED-0129</x:v>
      </x:c>
      <x:c r="C824" s="12" t="str">
        <x:v>SRC-0001</x:v>
      </x:c>
      <x:c r="D824" s="12" t="str">
        <x:v>Wade to remind Gerald regarding the question if NISAR S-band data will be hosted at ASF. Note: There are discussions at NASA to get this done.</x:v>
      </x:c>
      <x:c r="E824" s="12" t="str">
        <x:v>Wade to remind Gerald regarding the question if NISAR S-band data will be hosted at ASF. Note: There are discussions at NASA to get this done.</x:v>
      </x:c>
      <x:c r="F824" s="12" t="str">
        <x:v>Action</x:v>
      </x:c>
      <x:c r="G824" s="12" t="str">
        <x:v>ASF DAAC User Working Group</x:v>
      </x:c>
      <x:c r="H824" s="12" t="n">
        <x:v>2021</x:v>
      </x:c>
      <x:c r="I824" s="12" t="str">
        <x:v>Earthdata users</x:v>
      </x:c>
      <x:c r="J824" s="12" t="str">
        <x:v>Medium</x:v>
      </x:c>
      <x:c r="K824" s="16" t="n">
        <x:v>0.75</x:v>
      </x:c>
      <x:c r="L824" s="12" t="str">
        <x:v>LSA similarity cluster; human review pending</x:v>
      </x:c>
      <x:c r="M824" s="12" t="str">
        <x:v>Section: 2.5 Action Items; table row 2</x:v>
      </x:c>
      <x:c r="N824" s="12" t="str"/>
      <x:c r="O824" s="12" t="str">
        <x:v>No</x:v>
      </x:c>
      <x:c r="P824" s="12" t="str">
        <x:v>No</x:v>
      </x:c>
      <x:c r="Q824" s="12"/>
      <x:c r="R824" s="12"/>
    </x:row>
    <x:row r="825">
      <x:c r="A825" s="12" t="str">
        <x:v>EVD-00824</x:v>
      </x:c>
      <x:c r="B825" s="12" t="str">
        <x:v>NEED-0082</x:v>
      </x:c>
      <x:c r="C825" s="12" t="str">
        <x:v>SRC-0001</x:v>
      </x:c>
      <x:c r="D825" s="12" t="str">
        <x:v>Create SME (Tiger) team to compare JAXA’s new 2.2 (now 3.0?) product vs RTC – This is a carryover action from the August meeting. Note: As per UWG suggestion, an RTC SME looking into the wider aspects of RTC would be beneficial (OPERA, S1 back processing, other missions, on demand with different specs, etc.).</x:v>
      </x:c>
      <x:c r="E825" s="12" t="str">
        <x:v>Create SME (Tiger) team to compare JAXA’s new 2.2 (now 3.0?) product vs RTC – This is a carryover action from the August meeting. Note: As per UWG suggestion, an RTC SME looking into the wider aspects of RTC would be beneficial (OPERA, S1 back processing, other missions, on demand with different specs, etc.).</x:v>
      </x:c>
      <x:c r="F825" s="12" t="str">
        <x:v>Action</x:v>
      </x:c>
      <x:c r="G825" s="12" t="str">
        <x:v>ASF DAAC User Working Group</x:v>
      </x:c>
      <x:c r="H825" s="12" t="n">
        <x:v>2021</x:v>
      </x:c>
      <x:c r="I825" s="12" t="str">
        <x:v>Data producers and mission teams</x:v>
      </x:c>
      <x:c r="J825" s="12" t="str">
        <x:v>High</x:v>
      </x:c>
      <x:c r="K825" s="16" t="n">
        <x:v>0.75</x:v>
      </x:c>
      <x:c r="L825" s="12" t="str">
        <x:v>LSA similarity cluster; human review pending</x:v>
      </x:c>
      <x:c r="M825" s="12" t="str">
        <x:v>Section: 2.5 Action Items; table row 3</x:v>
      </x:c>
      <x:c r="N825" s="12" t="str"/>
      <x:c r="O825" s="12" t="str">
        <x:v>No</x:v>
      </x:c>
      <x:c r="P825" s="12" t="str">
        <x:v>No</x:v>
      </x:c>
      <x:c r="Q825" s="12"/>
      <x:c r="R825" s="12"/>
    </x:row>
    <x:row r="826">
      <x:c r="A826" s="12" t="str">
        <x:v>EVD-00825</x:v>
      </x:c>
      <x:c r="B826" s="12" t="str">
        <x:v>NEED-0082</x:v>
      </x:c>
      <x:c r="C826" s="12" t="str">
        <x:v>SRC-0001</x:v>
      </x:c>
      <x:c r="D826" s="12" t="str">
        <x:v>Create a SME (Tiger) team looking into OPERA interferometric products.</x:v>
      </x:c>
      <x:c r="E826" s="12" t="str">
        <x:v>Create a SME (Tiger) team looking into OPERA interferometric products.</x:v>
      </x:c>
      <x:c r="F826" s="12" t="str">
        <x:v>Action</x:v>
      </x:c>
      <x:c r="G826" s="12" t="str">
        <x:v>ASF DAAC User Working Group</x:v>
      </x:c>
      <x:c r="H826" s="12" t="n">
        <x:v>2021</x:v>
      </x:c>
      <x:c r="I826" s="12" t="str">
        <x:v>Earthdata users</x:v>
      </x:c>
      <x:c r="J826" s="12" t="str">
        <x:v>High</x:v>
      </x:c>
      <x:c r="K826" s="16" t="n">
        <x:v>0.75</x:v>
      </x:c>
      <x:c r="L826" s="12" t="str">
        <x:v>LSA similarity cluster; human review pending</x:v>
      </x:c>
      <x:c r="M826" s="12" t="str">
        <x:v>Section: 2.5 Action Items; table row 4</x:v>
      </x:c>
      <x:c r="N826" s="12" t="str"/>
      <x:c r="O826" s="12" t="str">
        <x:v>No</x:v>
      </x:c>
      <x:c r="P826" s="12" t="str">
        <x:v>No</x:v>
      </x:c>
      <x:c r="Q826" s="12"/>
      <x:c r="R826" s="12"/>
    </x:row>
    <x:row r="827">
      <x:c r="A827" s="12" t="str">
        <x:v>EVD-00826</x:v>
      </x:c>
      <x:c r="B827" s="12" t="str">
        <x:v>NEED-0034</x:v>
      </x:c>
      <x:c r="C827" s="12" t="str">
        <x:v>SRC-0001</x:v>
      </x:c>
      <x:c r="D827" s="12" t="str">
        <x:v>Separate RADARSAT-1 Metrics: delivery to CSA, science users to give a more accurate picture due to the repatriation effort bias.</x:v>
      </x:c>
      <x:c r="E827" s="12" t="str">
        <x:v>Separate RADARSAT-1 Metrics: delivery to CSA, science users to give a more accurate picture due to the repatriation effort bias.</x:v>
      </x:c>
      <x:c r="F827" s="12" t="str">
        <x:v>Action</x:v>
      </x:c>
      <x:c r="G827" s="12" t="str">
        <x:v>ASF DAAC User Working Group</x:v>
      </x:c>
      <x:c r="H827" s="12" t="n">
        <x:v>2021</x:v>
      </x:c>
      <x:c r="I827" s="12" t="str">
        <x:v>Earthdata users</x:v>
      </x:c>
      <x:c r="J827" s="12" t="str">
        <x:v>Medium</x:v>
      </x:c>
      <x:c r="K827" s="16" t="n">
        <x:v>0.75</x:v>
      </x:c>
      <x:c r="L827" s="12" t="str">
        <x:v>LSA similarity cluster; human review pending</x:v>
      </x:c>
      <x:c r="M827" s="12" t="str">
        <x:v>Section: 2.5 Action Items; table row 5</x:v>
      </x:c>
      <x:c r="N827" s="12" t="str"/>
      <x:c r="O827" s="12" t="str">
        <x:v>No</x:v>
      </x:c>
      <x:c r="P827" s="12" t="str">
        <x:v>No</x:v>
      </x:c>
      <x:c r="Q827" s="12"/>
      <x:c r="R827" s="12"/>
    </x:row>
    <x:row r="828">
      <x:c r="A828" s="12" t="str">
        <x:v>EVD-00827</x:v>
      </x:c>
      <x:c r="B828" s="12" t="str">
        <x:v>NEED-0021</x:v>
      </x:c>
      <x:c r="C828" s="12" t="str">
        <x:v>SRC-0001</x:v>
      </x:c>
      <x:c r="D828" s="12" t="str">
        <x:v>ASF Metrics (#1): Capture API users in addition to Vertex users.</x:v>
      </x:c>
      <x:c r="E828" s="12" t="str">
        <x:v>ASF Metrics (#1): Capture API users in addition to Vertex users.</x:v>
      </x:c>
      <x:c r="F828" s="12" t="str">
        <x:v>Action</x:v>
      </x:c>
      <x:c r="G828" s="12" t="str">
        <x:v>ASF DAAC User Working Group</x:v>
      </x:c>
      <x:c r="H828" s="12" t="n">
        <x:v>2021</x:v>
      </x:c>
      <x:c r="I828" s="12" t="str">
        <x:v>Application developers</x:v>
      </x:c>
      <x:c r="J828" s="12" t="str">
        <x:v>Medium</x:v>
      </x:c>
      <x:c r="K828" s="16" t="n">
        <x:v>0.75</x:v>
      </x:c>
      <x:c r="L828" s="12" t="str">
        <x:v>LSA similarity cluster; human review pending</x:v>
      </x:c>
      <x:c r="M828" s="12" t="str">
        <x:v>Section: 2.5 Action Items; table row 6</x:v>
      </x:c>
      <x:c r="N828" s="12" t="str"/>
      <x:c r="O828" s="12" t="str">
        <x:v>No</x:v>
      </x:c>
      <x:c r="P828" s="12" t="str">
        <x:v>No</x:v>
      </x:c>
      <x:c r="Q828" s="12"/>
      <x:c r="R828" s="12"/>
    </x:row>
    <x:row r="829">
      <x:c r="A829" s="12" t="str">
        <x:v>EVD-00828</x:v>
      </x:c>
      <x:c r="B829" s="12" t="str">
        <x:v>NEED-0021</x:v>
      </x:c>
      <x:c r="C829" s="12" t="str">
        <x:v>SRC-0001</x:v>
      </x:c>
      <x:c r="D829" s="12" t="str">
        <x:v>ASF Metrics (#2): - Separate RTC and INSAR metrics. - Check how long it takes users to download the data.</x:v>
      </x:c>
      <x:c r="E829" s="12" t="str">
        <x:v>ASF Metrics (#2): - Separate RTC and INSAR metrics. - Check how long it takes users to download the data.</x:v>
      </x:c>
      <x:c r="F829" s="12" t="str">
        <x:v>Action</x:v>
      </x:c>
      <x:c r="G829" s="12" t="str">
        <x:v>ASF DAAC User Working Group</x:v>
      </x:c>
      <x:c r="H829" s="12" t="n">
        <x:v>2021</x:v>
      </x:c>
      <x:c r="I829" s="12" t="str">
        <x:v>Earthdata users</x:v>
      </x:c>
      <x:c r="J829" s="12" t="str">
        <x:v>Medium</x:v>
      </x:c>
      <x:c r="K829" s="16" t="n">
        <x:v>0.75</x:v>
      </x:c>
      <x:c r="L829" s="12" t="str">
        <x:v>LSA similarity cluster; human review pending</x:v>
      </x:c>
      <x:c r="M829" s="12" t="str">
        <x:v>Section: 2.5 Action Items; table row 7</x:v>
      </x:c>
      <x:c r="N829" s="12" t="str"/>
      <x:c r="O829" s="12" t="str">
        <x:v>No</x:v>
      </x:c>
      <x:c r="P829" s="12" t="str">
        <x:v>No</x:v>
      </x:c>
      <x:c r="Q829" s="12"/>
      <x:c r="R829" s="12"/>
    </x:row>
    <x:row r="830">
      <x:c r="A830" s="12" t="str">
        <x:v>EVD-00829</x:v>
      </x:c>
      <x:c r="B830" s="12" t="str">
        <x:v>NEED-0160</x:v>
      </x:c>
      <x:c r="C830" s="12" t="str">
        <x:v>SRC-0001</x:v>
      </x:c>
      <x:c r="D830" s="12" t="str">
        <x:v>Contract needed for the SIR-A/B and related SAR data preservation project.</x:v>
      </x:c>
      <x:c r="E830" s="12" t="str">
        <x:v>Contract needed for the SIR-A/B and related SAR data preservation project.</x:v>
      </x:c>
      <x:c r="F830" s="12" t="str">
        <x:v>Action</x:v>
      </x:c>
      <x:c r="G830" s="12" t="str">
        <x:v>ASF DAAC User Working Group</x:v>
      </x:c>
      <x:c r="H830" s="12" t="n">
        <x:v>2021</x:v>
      </x:c>
      <x:c r="I830" s="12" t="str">
        <x:v>Earthdata users</x:v>
      </x:c>
      <x:c r="J830" s="12" t="str">
        <x:v>Medium</x:v>
      </x:c>
      <x:c r="K830" s="16" t="n">
        <x:v>0.75</x:v>
      </x:c>
      <x:c r="L830" s="12" t="str">
        <x:v>LSA similarity cluster; human review pending</x:v>
      </x:c>
      <x:c r="M830" s="12" t="str">
        <x:v>Section: 2.5 Action Items; table row 8</x:v>
      </x:c>
      <x:c r="N830" s="12" t="str"/>
      <x:c r="O830" s="12" t="str">
        <x:v>No</x:v>
      </x:c>
      <x:c r="P830" s="12" t="str">
        <x:v>No</x:v>
      </x:c>
      <x:c r="Q830" s="12"/>
      <x:c r="R830" s="12"/>
    </x:row>
    <x:row r="831">
      <x:c r="A831" s="12" t="str">
        <x:v>EVD-00830</x:v>
      </x:c>
      <x:c r="B831" s="12" t="str">
        <x:v>NEED-0003</x:v>
      </x:c>
      <x:c r="C831" s="12" t="str">
        <x:v>SRC-0001</x:v>
      </x:c>
      <x:c r="D831" s="12" t="str">
        <x:v>ASDC should develop use cases and examples of researchers using the cloud. *</x:v>
      </x:c>
      <x:c r="E831" s="12" t="str">
        <x:v>ASDC should develop use cases and examples of researchers using the cloud. *</x:v>
      </x:c>
      <x:c r="F831" s="12" t="str">
        <x:v>Recommendation</x:v>
      </x:c>
      <x:c r="G831" s="12" t="str">
        <x:v>ASDC DAAC User Working Group</x:v>
      </x:c>
      <x:c r="H831" s="12" t="n">
        <x:v>2021</x:v>
      </x:c>
      <x:c r="I831" s="12" t="str">
        <x:v>Cloud-native researchers; Earth science researchers</x:v>
      </x:c>
      <x:c r="J831" s="12" t="str">
        <x:v>High</x:v>
      </x:c>
      <x:c r="K831" s="16" t="n">
        <x:v>0.75</x:v>
      </x:c>
      <x:c r="L831" s="12" t="str">
        <x:v>LSA similarity cluster; human review pending</x:v>
      </x:c>
      <x:c r="M831" s="12" t="str">
        <x:v>Section: 3.6 New Recommendations; table row 2</x:v>
      </x:c>
      <x:c r="N831" s="12" t="str"/>
      <x:c r="O831" s="12" t="str">
        <x:v>No</x:v>
      </x:c>
      <x:c r="P831" s="12" t="str">
        <x:v>No</x:v>
      </x:c>
      <x:c r="Q831" s="12"/>
      <x:c r="R831" s="12"/>
    </x:row>
    <x:row r="832">
      <x:c r="A832" s="12" t="str">
        <x:v>EVD-00831</x:v>
      </x:c>
      <x:c r="B832" s="12" t="str">
        <x:v>NEED-0015</x:v>
      </x:c>
      <x:c r="C832" s="12" t="str">
        <x:v>SRC-0001</x:v>
      </x:c>
      <x:c r="D832" s="12" t="str">
        <x:v>ASDC will circulate the UWG the Cloud Primer provided by Justin Rice for review.</x:v>
      </x:c>
      <x:c r="E832" s="12" t="str">
        <x:v>ASDC will circulate the UWG the Cloud Primer provided by Justin Rice for review.</x:v>
      </x:c>
      <x:c r="F832" s="12" t="str">
        <x:v>Recommendation</x:v>
      </x:c>
      <x:c r="G832" s="12" t="str">
        <x:v>ASDC DAAC User Working Group</x:v>
      </x:c>
      <x:c r="H832" s="12" t="n">
        <x:v>2021</x:v>
      </x:c>
      <x:c r="I832" s="12" t="str">
        <x:v>Cloud-native researchers</x:v>
      </x:c>
      <x:c r="J832" s="12" t="str">
        <x:v>Medium</x:v>
      </x:c>
      <x:c r="K832" s="16" t="n">
        <x:v>0.75</x:v>
      </x:c>
      <x:c r="L832" s="12" t="str">
        <x:v>LSA similarity cluster; human review pending</x:v>
      </x:c>
      <x:c r="M832" s="12" t="str">
        <x:v>Section: 3.6 New Recommendations; table row 3</x:v>
      </x:c>
      <x:c r="N832" s="12" t="str"/>
      <x:c r="O832" s="12" t="str">
        <x:v>No</x:v>
      </x:c>
      <x:c r="P832" s="12" t="str">
        <x:v>No</x:v>
      </x:c>
      <x:c r="Q832" s="12"/>
      <x:c r="R832" s="12"/>
    </x:row>
    <x:row r="833">
      <x:c r="A833" s="12" t="str">
        <x:v>EVD-00832</x:v>
      </x:c>
      <x:c r="B833" s="12" t="str">
        <x:v>NEED-0003</x:v>
      </x:c>
      <x:c r="C833" s="12" t="str">
        <x:v>SRC-0001</x:v>
      </x:c>
      <x:c r="D833" s="12" t="str">
        <x:v>ASDC will organize a talk where cloud capabilities are demonstrated.</x:v>
      </x:c>
      <x:c r="E833" s="12" t="str">
        <x:v>ASDC will organize a talk where cloud capabilities are demonstrated.</x:v>
      </x:c>
      <x:c r="F833" s="12" t="str">
        <x:v>Recommendation</x:v>
      </x:c>
      <x:c r="G833" s="12" t="str">
        <x:v>ASDC DAAC User Working Group</x:v>
      </x:c>
      <x:c r="H833" s="12" t="n">
        <x:v>2021</x:v>
      </x:c>
      <x:c r="I833" s="12" t="str">
        <x:v>Cloud-native researchers</x:v>
      </x:c>
      <x:c r="J833" s="12" t="str">
        <x:v>Medium</x:v>
      </x:c>
      <x:c r="K833" s="16" t="n">
        <x:v>0.75</x:v>
      </x:c>
      <x:c r="L833" s="12" t="str">
        <x:v>LSA similarity cluster; human review pending</x:v>
      </x:c>
      <x:c r="M833" s="12" t="str">
        <x:v>Section: 3.6 New Recommendations; table row 4</x:v>
      </x:c>
      <x:c r="N833" s="12" t="str"/>
      <x:c r="O833" s="12" t="str">
        <x:v>No</x:v>
      </x:c>
      <x:c r="P833" s="12" t="str">
        <x:v>No</x:v>
      </x:c>
      <x:c r="Q833" s="12"/>
      <x:c r="R833" s="12"/>
    </x:row>
    <x:row r="834">
      <x:c r="A834" s="12" t="str">
        <x:v>EVD-00833</x:v>
      </x:c>
      <x:c r="B834" s="12" t="str">
        <x:v>NEED-0015</x:v>
      </x:c>
      <x:c r="C834" s="12" t="str">
        <x:v>SRC-0001</x:v>
      </x:c>
      <x:c r="D834" s="12" t="str">
        <x:v>ESDIS and DAAC provide a post-mortem on MEaSURES meeting, providing lessons learned, dos and don’ts, how best to use the cloud from that working group. Jeanne Behnke/Justin Rice will marshal all the links from this for the UWG.</x:v>
      </x:c>
      <x:c r="E834" s="12" t="str">
        <x:v>ESDIS and DAAC provide a post-mortem on MEaSURES meeting, providing lessons learned, dos and don’ts, how best to use the cloud from that working group. Jeanne Behnke/Justin Rice will marshal all the links from this for the UWG.</x:v>
      </x:c>
      <x:c r="F834" s="12" t="str">
        <x:v>Recommendation</x:v>
      </x:c>
      <x:c r="G834" s="12" t="str">
        <x:v>ASDC DAAC User Working Group</x:v>
      </x:c>
      <x:c r="H834" s="12" t="n">
        <x:v>2021</x:v>
      </x:c>
      <x:c r="I834" s="12" t="str">
        <x:v>Cloud-native researchers</x:v>
      </x:c>
      <x:c r="J834" s="12" t="str">
        <x:v>High</x:v>
      </x:c>
      <x:c r="K834" s="16" t="n">
        <x:v>0.75</x:v>
      </x:c>
      <x:c r="L834" s="12" t="str">
        <x:v>LSA similarity cluster; human review pending</x:v>
      </x:c>
      <x:c r="M834" s="12" t="str">
        <x:v>Section: 3.6 New Recommendations; table row 5</x:v>
      </x:c>
      <x:c r="N834" s="12" t="str"/>
      <x:c r="O834" s="12" t="str">
        <x:v>No</x:v>
      </x:c>
      <x:c r="P834" s="12" t="str">
        <x:v>No</x:v>
      </x:c>
      <x:c r="Q834" s="12"/>
      <x:c r="R834" s="12"/>
    </x:row>
    <x:row r="835">
      <x:c r="A835" s="12" t="str">
        <x:v>EVD-00834</x:v>
      </x:c>
      <x:c r="B835" s="12" t="str">
        <x:v>NEED-0123</x:v>
      </x:c>
      <x:c r="C835" s="12" t="str">
        <x:v>SRC-0001</x:v>
      </x:c>
      <x:c r="D835" s="12" t="str">
        <x:v>Madison Broddle will contact the UWG to introduce their graduate students to ASDC. Several UWG members expressed interest in working with graduate students or colleagues on this (e.g., Owen Cooper can ask TOAR colleagues to retrieve satellite data on tropospheric ozone and precursors).</x:v>
      </x:c>
      <x:c r="E835" s="12" t="str">
        <x:v>Madison Broddle will contact the UWG to introduce their graduate students to ASDC. Several UWG members expressed interest in working with graduate students or colleagues on this (e.g., Owen Cooper can ask TOAR colleagues to retrieve satellite data on tropospheric ozone and precursors).</x:v>
      </x:c>
      <x:c r="F835" s="12" t="str">
        <x:v>Recommendation</x:v>
      </x:c>
      <x:c r="G835" s="12" t="str">
        <x:v>ASDC DAAC User Working Group</x:v>
      </x:c>
      <x:c r="H835" s="12" t="n">
        <x:v>2021</x:v>
      </x:c>
      <x:c r="I835" s="12" t="str">
        <x:v>Educators and trainers</x:v>
      </x:c>
      <x:c r="J835" s="12" t="str">
        <x:v>Medium</x:v>
      </x:c>
      <x:c r="K835" s="16" t="n">
        <x:v>0.75</x:v>
      </x:c>
      <x:c r="L835" s="12" t="str">
        <x:v>LSA similarity cluster; human review pending</x:v>
      </x:c>
      <x:c r="M835" s="12" t="str">
        <x:v>Section: 3.6 New Recommendations; table row 6</x:v>
      </x:c>
      <x:c r="N835" s="12" t="str"/>
      <x:c r="O835" s="12" t="str">
        <x:v>No</x:v>
      </x:c>
      <x:c r="P835" s="12" t="str">
        <x:v>No</x:v>
      </x:c>
      <x:c r="Q835" s="12"/>
      <x:c r="R835" s="12"/>
    </x:row>
    <x:row r="836">
      <x:c r="A836" s="12" t="str">
        <x:v>EVD-00835</x:v>
      </x:c>
      <x:c r="B836" s="12" t="str">
        <x:v>NEED-0030</x:v>
      </x:c>
      <x:c r="C836" s="12" t="str">
        <x:v>SRC-0001</x:v>
      </x:c>
      <x:c r="D836" s="12" t="str">
        <x:v>Open a discussion on the data access issues of EPA’s Enviro-Atlas.</x:v>
      </x:c>
      <x:c r="E836" s="12" t="str">
        <x:v>Open a discussion on the data access issues of EPA’s Enviro-Atlas.</x:v>
      </x:c>
      <x:c r="F836" s="12" t="str">
        <x:v>Recommendation</x:v>
      </x:c>
      <x:c r="G836" s="12" t="str">
        <x:v>ASDC DAAC User Working Group</x:v>
      </x:c>
      <x:c r="H836" s="12" t="n">
        <x:v>2021</x:v>
      </x:c>
      <x:c r="I836" s="12" t="str">
        <x:v>Earthdata users</x:v>
      </x:c>
      <x:c r="J836" s="12" t="str">
        <x:v>Medium</x:v>
      </x:c>
      <x:c r="K836" s="16" t="n">
        <x:v>0.75</x:v>
      </x:c>
      <x:c r="L836" s="12" t="str">
        <x:v>LSA similarity cluster; human review pending</x:v>
      </x:c>
      <x:c r="M836" s="12" t="str">
        <x:v>Section: 3.6 New Recommendations; table row 7</x:v>
      </x:c>
      <x:c r="N836" s="12" t="str"/>
      <x:c r="O836" s="12" t="str">
        <x:v>No</x:v>
      </x:c>
      <x:c r="P836" s="12" t="str">
        <x:v>No</x:v>
      </x:c>
      <x:c r="Q836" s="12"/>
      <x:c r="R836" s="12"/>
    </x:row>
    <x:row r="837">
      <x:c r="A837" s="12" t="str">
        <x:v>EVD-00836</x:v>
      </x:c>
      <x:c r="B837" s="12" t="str">
        <x:v>NEED-0069</x:v>
      </x:c>
      <x:c r="C837" s="12" t="str">
        <x:v>SRC-0001</x:v>
      </x:c>
      <x:c r="D837" s="12" t="str">
        <x:v>Provide names of state agency professionals who might want to use data, but are hitting hurdles that professional researchers don’t see. Find more users in the humanities or other disciplines that might be hesitant to use satellite data.</x:v>
      </x:c>
      <x:c r="E837" s="12" t="str">
        <x:v>Provide names of state agency professionals who might want to use data, but are hitting hurdles that professional researchers don’t see. Find more users in the humanities or other disciplines that might be hesitant to use satellite data.</x:v>
      </x:c>
      <x:c r="F837" s="12" t="str">
        <x:v>Recommendation</x:v>
      </x:c>
      <x:c r="G837" s="12" t="str">
        <x:v>ASDC DAAC User Working Group</x:v>
      </x:c>
      <x:c r="H837" s="12" t="n">
        <x:v>2021</x:v>
      </x:c>
      <x:c r="I837" s="12" t="str">
        <x:v>Earth science researchers</x:v>
      </x:c>
      <x:c r="J837" s="12" t="str">
        <x:v>High</x:v>
      </x:c>
      <x:c r="K837" s="16" t="n">
        <x:v>0.75</x:v>
      </x:c>
      <x:c r="L837" s="12" t="str">
        <x:v>LSA similarity cluster; human review pending</x:v>
      </x:c>
      <x:c r="M837" s="12" t="str">
        <x:v>Section: 3.6 New Recommendations; table row 8</x:v>
      </x:c>
      <x:c r="N837" s="12" t="str"/>
      <x:c r="O837" s="12" t="str">
        <x:v>No</x:v>
      </x:c>
      <x:c r="P837" s="12" t="str">
        <x:v>No</x:v>
      </x:c>
      <x:c r="Q837" s="12"/>
      <x:c r="R837" s="12"/>
    </x:row>
    <x:row r="838">
      <x:c r="A838" s="12" t="str">
        <x:v>EVD-00837</x:v>
      </x:c>
      <x:c r="B838" s="12" t="str">
        <x:v>NEED-0068</x:v>
      </x:c>
      <x:c r="C838" s="12" t="str">
        <x:v>SRC-0001</x:v>
      </x:c>
      <x:c r="D838" s="12" t="str">
        <x:v>ASDC will update the metadata and ESDT's so that tools such as the subsetter that are associated with Collections are discoverable by EDS users.</x:v>
      </x:c>
      <x:c r="E838" s="12" t="str">
        <x:v>ASDC will update the metadata and ESDT's so that tools such as the subsetter that are associated with Collections are discoverable by EDS users.</x:v>
      </x:c>
      <x:c r="F838" s="12" t="str">
        <x:v>Recommendation</x:v>
      </x:c>
      <x:c r="G838" s="12" t="str">
        <x:v>ASDC DAAC User Working Group</x:v>
      </x:c>
      <x:c r="H838" s="12" t="n">
        <x:v>2021</x:v>
      </x:c>
      <x:c r="I838" s="12" t="str">
        <x:v>Earthdata users</x:v>
      </x:c>
      <x:c r="J838" s="12" t="str">
        <x:v>Medium</x:v>
      </x:c>
      <x:c r="K838" s="16" t="n">
        <x:v>0.75</x:v>
      </x:c>
      <x:c r="L838" s="12" t="str">
        <x:v>LSA similarity cluster; human review pending</x:v>
      </x:c>
      <x:c r="M838" s="12" t="str">
        <x:v>Section: 3.6 New Recommendations; table row 9</x:v>
      </x:c>
      <x:c r="N838" s="12" t="str"/>
      <x:c r="O838" s="12" t="str">
        <x:v>No</x:v>
      </x:c>
      <x:c r="P838" s="12" t="str">
        <x:v>No</x:v>
      </x:c>
      <x:c r="Q838" s="12"/>
      <x:c r="R838" s="12"/>
    </x:row>
    <x:row r="839">
      <x:c r="A839" s="12" t="str">
        <x:v>EVD-00838</x:v>
      </x:c>
      <x:c r="B839" s="12" t="str">
        <x:v>NEED-0045</x:v>
      </x:c>
      <x:c r="C839" s="12" t="str">
        <x:v>SRC-0001</x:v>
      </x:c>
      <x:c r="D839" s="12" t="str">
        <x:v>ASDC will communicate to ESDIS that EDS bulk download scripts should include comments in case users don’t use the programming language provided and allow them to use a programming language they prefer to use.</x:v>
      </x:c>
      <x:c r="E839" s="12" t="str">
        <x:v>ASDC will communicate to ESDIS that EDS bulk download scripts should include comments in case users don’t use the programming language provided and allow them to use a programming language they prefer to use.</x:v>
      </x:c>
      <x:c r="F839" s="12" t="str">
        <x:v>Recommendation</x:v>
      </x:c>
      <x:c r="G839" s="12" t="str">
        <x:v>ASDC DAAC User Working Group</x:v>
      </x:c>
      <x:c r="H839" s="12" t="n">
        <x:v>2021</x:v>
      </x:c>
      <x:c r="I839" s="12" t="str">
        <x:v>Earthdata users</x:v>
      </x:c>
      <x:c r="J839" s="12" t="str">
        <x:v>High</x:v>
      </x:c>
      <x:c r="K839" s="16" t="n">
        <x:v>0.75</x:v>
      </x:c>
      <x:c r="L839" s="12" t="str">
        <x:v>LSA similarity cluster; human review pending</x:v>
      </x:c>
      <x:c r="M839" s="12" t="str">
        <x:v>Section: 3.6 New Recommendations; table row 10</x:v>
      </x:c>
      <x:c r="N839" s="12" t="str"/>
      <x:c r="O839" s="12" t="str">
        <x:v>No</x:v>
      </x:c>
      <x:c r="P839" s="12" t="str">
        <x:v>No</x:v>
      </x:c>
      <x:c r="Q839" s="12"/>
      <x:c r="R839" s="12"/>
    </x:row>
    <x:row r="840">
      <x:c r="A840" s="12" t="str">
        <x:v>EVD-00839</x:v>
      </x:c>
      <x:c r="B840" s="12" t="str">
        <x:v>NEED-0153</x:v>
      </x:c>
      <x:c r="C840" s="12" t="str">
        <x:v>SRC-0001</x:v>
      </x:c>
      <x:c r="D840" s="12" t="str">
        <x:v>The ASDC will investigate providing generalized readmes in DDD or providing a link on DDD back to the ASDC website landing page.</x:v>
      </x:c>
      <x:c r="E840" s="12" t="str">
        <x:v>The ASDC will investigate providing generalized readmes in DDD or providing a link on DDD back to the ASDC website landing page.</x:v>
      </x:c>
      <x:c r="F840" s="12" t="str">
        <x:v>Recommendation</x:v>
      </x:c>
      <x:c r="G840" s="12" t="str">
        <x:v>ASDC DAAC User Working Group</x:v>
      </x:c>
      <x:c r="H840" s="12" t="n">
        <x:v>2021</x:v>
      </x:c>
      <x:c r="I840" s="12" t="str">
        <x:v>Earthdata users</x:v>
      </x:c>
      <x:c r="J840" s="12" t="str">
        <x:v>Medium</x:v>
      </x:c>
      <x:c r="K840" s="16" t="n">
        <x:v>0.75</x:v>
      </x:c>
      <x:c r="L840" s="12" t="str">
        <x:v>LSA similarity cluster; human review pending</x:v>
      </x:c>
      <x:c r="M840" s="12" t="str">
        <x:v>Section: 3.6 New Recommendations; table row 11</x:v>
      </x:c>
      <x:c r="N840" s="12" t="str"/>
      <x:c r="O840" s="12" t="str">
        <x:v>No</x:v>
      </x:c>
      <x:c r="P840" s="12" t="str">
        <x:v>No</x:v>
      </x:c>
      <x:c r="Q840" s="12"/>
      <x:c r="R840" s="12"/>
    </x:row>
    <x:row r="841">
      <x:c r="A841" s="12" t="str">
        <x:v>EVD-00840</x:v>
      </x:c>
      <x:c r="B841" s="12" t="str">
        <x:v>NEED-0049</x:v>
      </x:c>
      <x:c r="C841" s="12" t="str">
        <x:v>SRC-0001</x:v>
      </x:c>
      <x:c r="D841" s="12" t="str">
        <x:v>The ASDC will investigate providing a link on related Earthdata Search pages back to the Forum in lieu of live chat support option as would be on a commercial website.</x:v>
      </x:c>
      <x:c r="E841" s="12" t="str">
        <x:v>The ASDC will investigate providing a link on related Earthdata Search pages back to the Forum in lieu of live chat support option as would be on a commercial website.</x:v>
      </x:c>
      <x:c r="F841" s="12" t="str">
        <x:v>Recommendation</x:v>
      </x:c>
      <x:c r="G841" s="12" t="str">
        <x:v>ASDC DAAC User Working Group</x:v>
      </x:c>
      <x:c r="H841" s="12" t="n">
        <x:v>2021</x:v>
      </x:c>
      <x:c r="I841" s="12" t="str">
        <x:v>Earthdata users</x:v>
      </x:c>
      <x:c r="J841" s="12" t="str">
        <x:v>High</x:v>
      </x:c>
      <x:c r="K841" s="16" t="n">
        <x:v>0.75</x:v>
      </x:c>
      <x:c r="L841" s="12" t="str">
        <x:v>LSA similarity cluster; human review pending</x:v>
      </x:c>
      <x:c r="M841" s="12" t="str">
        <x:v>Section: 3.6 New Recommendations; table row 12</x:v>
      </x:c>
      <x:c r="N841" s="12" t="str"/>
      <x:c r="O841" s="12" t="str">
        <x:v>No</x:v>
      </x:c>
      <x:c r="P841" s="12" t="str">
        <x:v>No</x:v>
      </x:c>
      <x:c r="Q841" s="12"/>
      <x:c r="R841" s="12"/>
    </x:row>
    <x:row r="842">
      <x:c r="A842" s="12" t="str">
        <x:v>EVD-00841</x:v>
      </x:c>
      <x:c r="B842" s="12" t="str">
        <x:v>NEED-0052</x:v>
      </x:c>
      <x:c r="C842" s="12" t="str">
        <x:v>SRC-0001</x:v>
      </x:c>
      <x:c r="D842" s="12" t="str">
        <x:v>ASDC should talk to data providers to let them know what metadata should be added to their product so that interoperability tools will work.</x:v>
      </x:c>
      <x:c r="E842" s="12" t="str">
        <x:v>ASDC should talk to data providers to let them know what metadata should be added to their product so that interoperability tools will work.</x:v>
      </x:c>
      <x:c r="F842" s="12" t="str">
        <x:v>Recommendation</x:v>
      </x:c>
      <x:c r="G842" s="12" t="str">
        <x:v>ASDC DAAC User Working Group</x:v>
      </x:c>
      <x:c r="H842" s="12" t="n">
        <x:v>2021</x:v>
      </x:c>
      <x:c r="I842" s="12" t="str">
        <x:v>Earthdata users</x:v>
      </x:c>
      <x:c r="J842" s="12" t="str">
        <x:v>High</x:v>
      </x:c>
      <x:c r="K842" s="16" t="n">
        <x:v>0.75</x:v>
      </x:c>
      <x:c r="L842" s="12" t="str">
        <x:v>LSA similarity cluster; human review pending</x:v>
      </x:c>
      <x:c r="M842" s="12" t="str">
        <x:v>Section: 3.6 New Recommendations; table row 13</x:v>
      </x:c>
      <x:c r="N842" s="12" t="str"/>
      <x:c r="O842" s="12" t="str">
        <x:v>No</x:v>
      </x:c>
      <x:c r="P842" s="12" t="str">
        <x:v>No</x:v>
      </x:c>
      <x:c r="Q842" s="12"/>
      <x:c r="R842" s="12"/>
    </x:row>
    <x:row r="843">
      <x:c r="A843" s="12" t="str">
        <x:v>EVD-00842</x:v>
      </x:c>
      <x:c r="B843" s="12" t="str">
        <x:v>NEED-0171</x:v>
      </x:c>
      <x:c r="C843" s="12" t="str">
        <x:v>SRC-0001</x:v>
      </x:c>
      <x:c r="D843" s="12" t="str">
        <x:v>Consider adding more data to Worldview.</x:v>
      </x:c>
      <x:c r="E843" s="12" t="str">
        <x:v>Consider adding more data to Worldview.</x:v>
      </x:c>
      <x:c r="F843" s="12" t="str">
        <x:v>Recommendation</x:v>
      </x:c>
      <x:c r="G843" s="12" t="str">
        <x:v>ASDC DAAC User Working Group</x:v>
      </x:c>
      <x:c r="H843" s="12" t="n">
        <x:v>2021</x:v>
      </x:c>
      <x:c r="I843" s="12" t="str">
        <x:v>Earthdata users</x:v>
      </x:c>
      <x:c r="J843" s="12" t="str">
        <x:v>High</x:v>
      </x:c>
      <x:c r="K843" s="16" t="n">
        <x:v>0.75</x:v>
      </x:c>
      <x:c r="L843" s="12" t="str">
        <x:v>LSA similarity cluster; human review pending</x:v>
      </x:c>
      <x:c r="M843" s="12" t="str">
        <x:v>Section: 3.6 New Recommendations; table row 14</x:v>
      </x:c>
      <x:c r="N843" s="12" t="str"/>
      <x:c r="O843" s="12" t="str">
        <x:v>No</x:v>
      </x:c>
      <x:c r="P843" s="12" t="str">
        <x:v>No</x:v>
      </x:c>
      <x:c r="Q843" s="12"/>
      <x:c r="R843" s="12"/>
    </x:row>
    <x:row r="844">
      <x:c r="A844" s="12" t="str">
        <x:v>EVD-00843</x:v>
      </x:c>
      <x:c r="B844" s="12" t="str">
        <x:v>NEED-0064</x:v>
      </x:c>
      <x:c r="C844" s="12" t="str">
        <x:v>SRC-0001</x:v>
      </x:c>
      <x:c r="D844" s="12" t="str">
        <x:v>Developing tools to refine searching (ontology).</x:v>
      </x:c>
      <x:c r="E844" s="12" t="str">
        <x:v>Developing tools to refine searching (ontology).</x:v>
      </x:c>
      <x:c r="F844" s="12" t="str">
        <x:v>Recommendation</x:v>
      </x:c>
      <x:c r="G844" s="12" t="str">
        <x:v>ASDC DAAC User Working Group</x:v>
      </x:c>
      <x:c r="H844" s="12" t="n">
        <x:v>2021</x:v>
      </x:c>
      <x:c r="I844" s="12" t="str">
        <x:v>Earthdata users</x:v>
      </x:c>
      <x:c r="J844" s="12" t="str">
        <x:v>Medium</x:v>
      </x:c>
      <x:c r="K844" s="16" t="n">
        <x:v>0.75</x:v>
      </x:c>
      <x:c r="L844" s="12" t="str">
        <x:v>LSA similarity cluster; human review pending</x:v>
      </x:c>
      <x:c r="M844" s="12" t="str">
        <x:v>Section: 3.6 New Recommendations; table row 15</x:v>
      </x:c>
      <x:c r="N844" s="12" t="str"/>
      <x:c r="O844" s="12" t="str">
        <x:v>No</x:v>
      </x:c>
      <x:c r="P844" s="12" t="str">
        <x:v>No</x:v>
      </x:c>
      <x:c r="Q844" s="12"/>
      <x:c r="R844" s="12"/>
    </x:row>
    <x:row r="845">
      <x:c r="A845" s="12" t="str">
        <x:v>EVD-00844</x:v>
      </x:c>
      <x:c r="B845" s="12" t="str">
        <x:v>NEED-0172</x:v>
      </x:c>
      <x:c r="C845" s="12" t="str">
        <x:v>SRC-0001</x:v>
      </x:c>
      <x:c r="D845" s="12" t="str">
        <x:v>Continue development of ASDC specific tools such as SOOT and DDD with feedback from users.</x:v>
      </x:c>
      <x:c r="E845" s="12" t="str">
        <x:v>Continue development of ASDC specific tools such as SOOT and DDD with feedback from users.</x:v>
      </x:c>
      <x:c r="F845" s="12" t="str">
        <x:v>Recommendation</x:v>
      </x:c>
      <x:c r="G845" s="12" t="str">
        <x:v>ASDC DAAC User Working Group</x:v>
      </x:c>
      <x:c r="H845" s="12" t="n">
        <x:v>2021</x:v>
      </x:c>
      <x:c r="I845" s="12" t="str">
        <x:v>Earthdata users</x:v>
      </x:c>
      <x:c r="J845" s="12" t="str">
        <x:v>High</x:v>
      </x:c>
      <x:c r="K845" s="16" t="n">
        <x:v>0.75</x:v>
      </x:c>
      <x:c r="L845" s="12" t="str">
        <x:v>LSA similarity cluster; human review pending</x:v>
      </x:c>
      <x:c r="M845" s="12" t="str">
        <x:v>Section: 3.6 New Recommendations; table row 16</x:v>
      </x:c>
      <x:c r="N845" s="12" t="str"/>
      <x:c r="O845" s="12" t="str">
        <x:v>No</x:v>
      </x:c>
      <x:c r="P845" s="12" t="str">
        <x:v>No</x:v>
      </x:c>
      <x:c r="Q845" s="12"/>
      <x:c r="R845" s="12"/>
    </x:row>
    <x:row r="846">
      <x:c r="A846" s="12" t="str">
        <x:v>EVD-00845</x:v>
      </x:c>
      <x:c r="B846" s="12" t="str">
        <x:v>NEED-0063</x:v>
      </x:c>
      <x:c r="C846" s="12" t="str">
        <x:v>SRC-0001</x:v>
      </x:c>
      <x:c r="D846" s="12" t="str">
        <x:v>ASDC should ensure that most up-to-date versions of field campaign data are archived (e.g., DISCOVER AQ).</x:v>
      </x:c>
      <x:c r="E846" s="12" t="str">
        <x:v>ASDC should ensure that most up-to-date versions of field campaign data are archived (e.g., DISCOVER AQ).</x:v>
      </x:c>
      <x:c r="F846" s="12" t="str">
        <x:v>Recommendation</x:v>
      </x:c>
      <x:c r="G846" s="12" t="str">
        <x:v>ASDC DAAC User Working Group</x:v>
      </x:c>
      <x:c r="H846" s="12" t="n">
        <x:v>2021</x:v>
      </x:c>
      <x:c r="I846" s="12" t="str">
        <x:v>Data producers and mission teams</x:v>
      </x:c>
      <x:c r="J846" s="12" t="str">
        <x:v>High</x:v>
      </x:c>
      <x:c r="K846" s="16" t="n">
        <x:v>0.75</x:v>
      </x:c>
      <x:c r="L846" s="12" t="str">
        <x:v>LSA similarity cluster; human review pending</x:v>
      </x:c>
      <x:c r="M846" s="12" t="str">
        <x:v>Section: 3.6 New Recommendations; table row 17</x:v>
      </x:c>
      <x:c r="N846" s="12" t="str"/>
      <x:c r="O846" s="12" t="str">
        <x:v>No</x:v>
      </x:c>
      <x:c r="P846" s="12" t="str">
        <x:v>No</x:v>
      </x:c>
      <x:c r="Q846" s="12"/>
      <x:c r="R846" s="12"/>
    </x:row>
    <x:row r="847">
      <x:c r="A847" s="12" t="str">
        <x:v>EVD-00846</x:v>
      </x:c>
      <x:c r="B847" s="12" t="str">
        <x:v>NEED-0025</x:v>
      </x:c>
      <x:c r="C847" s="12" t="str">
        <x:v>SRC-0001</x:v>
      </x:c>
      <x:c r="D847" s="12" t="str">
        <x:v>To aid in preparations for TEMPO, ASDC should work with Aaron Naeger at UAH (deputy applications lead for TEMPO) for integrating TEMPO Synthetic Data at ASDC to mimic data access after launch.</x:v>
      </x:c>
      <x:c r="E847" s="12" t="str">
        <x:v>To aid in preparations for TEMPO, ASDC should work with Aaron Naeger at UAH (deputy applications lead for TEMPO) for integrating TEMPO Synthetic Data at ASDC to mimic data access after launch.</x:v>
      </x:c>
      <x:c r="F847" s="12" t="str">
        <x:v>Recommendation</x:v>
      </x:c>
      <x:c r="G847" s="12" t="str">
        <x:v>ASDC DAAC User Working Group</x:v>
      </x:c>
      <x:c r="H847" s="12" t="n">
        <x:v>2021</x:v>
      </x:c>
      <x:c r="I847" s="12" t="str">
        <x:v>Earthdata users</x:v>
      </x:c>
      <x:c r="J847" s="12" t="str">
        <x:v>High</x:v>
      </x:c>
      <x:c r="K847" s="16" t="n">
        <x:v>0.75</x:v>
      </x:c>
      <x:c r="L847" s="12" t="str">
        <x:v>LSA similarity cluster; human review pending</x:v>
      </x:c>
      <x:c r="M847" s="12" t="str">
        <x:v>Section: 3.6 New Recommendations; table row 18</x:v>
      </x:c>
      <x:c r="N847" s="12" t="str"/>
      <x:c r="O847" s="12" t="str">
        <x:v>No</x:v>
      </x:c>
      <x:c r="P847" s="12" t="str">
        <x:v>No</x:v>
      </x:c>
      <x:c r="Q847" s="12"/>
      <x:c r="R847" s="12"/>
    </x:row>
    <x:row r="848">
      <x:c r="A848" s="12" t="str">
        <x:v>EVD-00847</x:v>
      </x:c>
      <x:c r="B848" s="12" t="str">
        <x:v>NEED-0012</x:v>
      </x:c>
      <x:c r="C848" s="12" t="str">
        <x:v>SRC-0001</x:v>
      </x:c>
      <x:c r="D848" s="12" t="str">
        <x:v>Patrick Taylor: CERES with Sea Ice concentration data (thickness, icesat 2) with reanalysis like MERRA-2 and Future reanalysis. Other data sets from CALIPSO, Cloudsat (and combined data products like CCCM) and CERES EBAF.</x:v>
      </x:c>
      <x:c r="E848" s="12" t="str">
        <x:v>Patrick Taylor: CERES with Sea Ice concentration data (thickness, icesat 2) with reanalysis like MERRA-2 and Future reanalysis. Other data sets from CALIPSO, Cloudsat (and combined data products like CCCM) and CERES EBAF.</x:v>
      </x:c>
      <x:c r="F848" s="12" t="str">
        <x:v>Recommendation</x:v>
      </x:c>
      <x:c r="G848" s="12" t="str">
        <x:v>ASDC DAAC User Working Group</x:v>
      </x:c>
      <x:c r="H848" s="12" t="n">
        <x:v>2021</x:v>
      </x:c>
      <x:c r="I848" s="12" t="str">
        <x:v>Cloud-native researchers; Earth science researchers</x:v>
      </x:c>
      <x:c r="J848" s="12" t="str">
        <x:v>Medium</x:v>
      </x:c>
      <x:c r="K848" s="16" t="n">
        <x:v>0.75</x:v>
      </x:c>
      <x:c r="L848" s="12" t="str">
        <x:v>LSA similarity cluster; human review pending</x:v>
      </x:c>
      <x:c r="M848" s="12" t="str">
        <x:v>Section: 3.6 New Recommendations</x:v>
      </x:c>
      <x:c r="N848" s="12" t="str"/>
      <x:c r="O848" s="12" t="str">
        <x:v>No</x:v>
      </x:c>
      <x:c r="P848" s="12" t="str">
        <x:v>No</x:v>
      </x:c>
      <x:c r="Q848" s="12"/>
      <x:c r="R848" s="12"/>
    </x:row>
    <x:row r="849">
      <x:c r="A849" s="12" t="str">
        <x:v>EVD-00848</x:v>
      </x:c>
      <x:c r="B849" s="12" t="str">
        <x:v>NEED-0122</x:v>
      </x:c>
      <x:c r="C849" s="12" t="str">
        <x:v>SRC-0001</x:v>
      </x:c>
      <x:c r="D849" s="12" t="str">
        <x:v>Amanda Leon: ATLAS/ICESat-2 L2A Global Geolocated Photon Data (ATL03), ATLAS/ICESat-2 L3A Land and Vegetation Height (ATL08), ATLAS/ICESat-2 L3A Land Ice Height (ATL06)</x:v>
      </x:c>
      <x:c r="E849" s="12" t="str">
        <x:v>Amanda Leon: ATLAS/ICESat-2 L2A Global Geolocated Photon Data (ATL03), ATLAS/ICESat-2 L3A Land and Vegetation Height (ATL08), ATLAS/ICESat-2 L3A Land Ice Height (ATL06)</x:v>
      </x:c>
      <x:c r="F849" s="12" t="str">
        <x:v>Recommendation</x:v>
      </x:c>
      <x:c r="G849" s="12" t="str">
        <x:v>ASDC DAAC User Working Group</x:v>
      </x:c>
      <x:c r="H849" s="12" t="n">
        <x:v>2021</x:v>
      </x:c>
      <x:c r="I849" s="12" t="str">
        <x:v>Earthdata users</x:v>
      </x:c>
      <x:c r="J849" s="12" t="str">
        <x:v>Medium</x:v>
      </x:c>
      <x:c r="K849" s="16" t="n">
        <x:v>0.75</x:v>
      </x:c>
      <x:c r="L849" s="12" t="str">
        <x:v>LSA similarity cluster; human review pending</x:v>
      </x:c>
      <x:c r="M849" s="12" t="str">
        <x:v>Section: 3.6 New Recommendations</x:v>
      </x:c>
      <x:c r="N849" s="12" t="str"/>
      <x:c r="O849" s="12" t="str">
        <x:v>No</x:v>
      </x:c>
      <x:c r="P849" s="12" t="str">
        <x:v>No</x:v>
      </x:c>
      <x:c r="Q849" s="12"/>
      <x:c r="R849" s="12"/>
    </x:row>
    <x:row r="850">
      <x:c r="A850" s="12" t="str">
        <x:v>EVD-00849</x:v>
      </x:c>
      <x:c r="B850" s="12" t="str">
        <x:v>NEED-0002</x:v>
      </x:c>
      <x:c r="C850" s="12" t="str">
        <x:v>SRC-0001</x:v>
      </x:c>
      <x:c r="D850" s="12" t="str">
        <x:v>Qing Liang: CALIPSO results compared with MODIS fire counts and cloud info. OMI/TROPOMI trace gas/fire emissions can be compared with TEMPO.</x:v>
      </x:c>
      <x:c r="E850" s="12" t="str">
        <x:v>Qing Liang: CALIPSO results compared with MODIS fire counts and cloud info. OMI/TROPOMI trace gas/fire emissions can be compared with TEMPO.</x:v>
      </x:c>
      <x:c r="F850" s="12" t="str">
        <x:v>Recommendation</x:v>
      </x:c>
      <x:c r="G850" s="12" t="str">
        <x:v>ASDC DAAC User Working Group</x:v>
      </x:c>
      <x:c r="H850" s="12" t="n">
        <x:v>2021</x:v>
      </x:c>
      <x:c r="I850" s="12" t="str">
        <x:v>Cloud-native researchers; Data producers and mission teams</x:v>
      </x:c>
      <x:c r="J850" s="12" t="str">
        <x:v>Medium</x:v>
      </x:c>
      <x:c r="K850" s="16" t="n">
        <x:v>0.75</x:v>
      </x:c>
      <x:c r="L850" s="12" t="str">
        <x:v>LSA similarity cluster; human review pending</x:v>
      </x:c>
      <x:c r="M850" s="12" t="str">
        <x:v>Section: 3.6 New Recommendations</x:v>
      </x:c>
      <x:c r="N850" s="12" t="str"/>
      <x:c r="O850" s="12" t="str">
        <x:v>No</x:v>
      </x:c>
      <x:c r="P850" s="12" t="str">
        <x:v>No</x:v>
      </x:c>
      <x:c r="Q850" s="12"/>
      <x:c r="R850" s="12"/>
    </x:row>
    <x:row r="851">
      <x:c r="A851" s="12" t="str">
        <x:v>EVD-00850</x:v>
      </x:c>
      <x:c r="B851" s="12" t="str">
        <x:v>NEED-0002</x:v>
      </x:c>
      <x:c r="C851" s="12" t="str">
        <x:v>SRC-0001</x:v>
      </x:c>
      <x:c r="D851" s="12" t="str">
        <x:v>Jeanne Behnke: LAADS putting MODIS L1 and L2 Atmosphere datasets in cloud.</x:v>
      </x:c>
      <x:c r="E851" s="12" t="str">
        <x:v>Jeanne Behnke: LAADS putting MODIS L1 and L2 Atmosphere datasets in cloud.</x:v>
      </x:c>
      <x:c r="F851" s="12" t="str">
        <x:v>Recommendation</x:v>
      </x:c>
      <x:c r="G851" s="12" t="str">
        <x:v>ASDC DAAC User Working Group</x:v>
      </x:c>
      <x:c r="H851" s="12" t="n">
        <x:v>2021</x:v>
      </x:c>
      <x:c r="I851" s="12" t="str">
        <x:v>Cloud-native researchers</x:v>
      </x:c>
      <x:c r="J851" s="12" t="str">
        <x:v>Medium</x:v>
      </x:c>
      <x:c r="K851" s="16" t="n">
        <x:v>0.75</x:v>
      </x:c>
      <x:c r="L851" s="12" t="str">
        <x:v>LSA similarity cluster; human review pending</x:v>
      </x:c>
      <x:c r="M851" s="12" t="str">
        <x:v>Section: 3.6 New Recommendations</x:v>
      </x:c>
      <x:c r="N851" s="12" t="str"/>
      <x:c r="O851" s="12" t="str">
        <x:v>No</x:v>
      </x:c>
      <x:c r="P851" s="12" t="str">
        <x:v>No</x:v>
      </x:c>
      <x:c r="Q851" s="12"/>
      <x:c r="R851" s="12"/>
    </x:row>
    <x:row r="852">
      <x:c r="A852" s="12" t="str">
        <x:v>EVD-00851</x:v>
      </x:c>
      <x:c r="B852" s="12" t="str">
        <x:v>NEED-0104</x:v>
      </x:c>
      <x:c r="C852" s="12" t="str">
        <x:v>SRC-0001</x:v>
      </x:c>
      <x:c r="D852" s="12" t="str">
        <x:v>provide DOI for Near Real-Time (NRT) data;</x:v>
      </x:c>
      <x:c r="E852" s="12" t="str">
        <x:v>provide DOI for Near Real-Time (NRT) data;</x:v>
      </x:c>
      <x:c r="F852" s="12" t="str">
        <x:v>Action</x:v>
      </x:c>
      <x:c r="G852" s="12" t="str">
        <x:v>GES DISC User Working Group</x:v>
      </x:c>
      <x:c r="H852" s="12" t="n">
        <x:v>2021</x:v>
      </x:c>
      <x:c r="I852" s="12" t="str">
        <x:v>Operational and near-real-time users</x:v>
      </x:c>
      <x:c r="J852" s="12" t="str">
        <x:v>High</x:v>
      </x:c>
      <x:c r="K852" s="16" t="n">
        <x:v>0.75</x:v>
      </x:c>
      <x:c r="L852" s="12" t="str">
        <x:v>LSA similarity cluster; human review pending</x:v>
      </x:c>
      <x:c r="M852" s="12" t="str">
        <x:v>Section: 5.6 New Suggestions, Feedback and Actions</x:v>
      </x:c>
      <x:c r="N852" s="12" t="str"/>
      <x:c r="O852" s="12" t="str">
        <x:v>No</x:v>
      </x:c>
      <x:c r="P852" s="12" t="str">
        <x:v>No</x:v>
      </x:c>
      <x:c r="Q852" s="12"/>
      <x:c r="R852" s="12"/>
    </x:row>
    <x:row r="853">
      <x:c r="A853" s="12" t="str">
        <x:v>EVD-00852</x:v>
      </x:c>
      <x:c r="B853" s="12" t="str">
        <x:v>NEED-0049</x:v>
      </x:c>
      <x:c r="C853" s="12" t="str">
        <x:v>SRC-0001</x:v>
      </x:c>
      <x:c r="D853" s="12" t="str">
        <x:v>address “citation visibility in Earthdata Search” issue at the workshop.</x:v>
      </x:c>
      <x:c r="E853" s="12" t="str">
        <x:v>address “citation visibility in Earthdata Search” issue at the workshop.</x:v>
      </x:c>
      <x:c r="F853" s="12" t="str">
        <x:v>Action</x:v>
      </x:c>
      <x:c r="G853" s="12" t="str">
        <x:v>GES DISC User Working Group</x:v>
      </x:c>
      <x:c r="H853" s="12" t="n">
        <x:v>2021</x:v>
      </x:c>
      <x:c r="I853" s="12" t="str">
        <x:v>Educators and trainers</x:v>
      </x:c>
      <x:c r="J853" s="12" t="str">
        <x:v>Medium</x:v>
      </x:c>
      <x:c r="K853" s="16" t="n">
        <x:v>0.75</x:v>
      </x:c>
      <x:c r="L853" s="12" t="str">
        <x:v>LSA similarity cluster; human review pending</x:v>
      </x:c>
      <x:c r="M853" s="12" t="str">
        <x:v>Section: 5.6 New Suggestions, Feedback and Actions</x:v>
      </x:c>
      <x:c r="N853" s="12" t="str"/>
      <x:c r="O853" s="12" t="str">
        <x:v>No</x:v>
      </x:c>
      <x:c r="P853" s="12" t="str">
        <x:v>No</x:v>
      </x:c>
      <x:c r="Q853" s="12"/>
      <x:c r="R853" s="12"/>
    </x:row>
    <x:row r="854">
      <x:c r="A854" s="12" t="str">
        <x:v>EVD-00853</x:v>
      </x:c>
      <x:c r="B854" s="12" t="str">
        <x:v>NEED-0053</x:v>
      </x:c>
      <x:c r="C854" s="12" t="str">
        <x:v>SRC-0001</x:v>
      </x:c>
      <x:c r="D854" s="12" t="str">
        <x:v>Continue collaborating with ESDIS at the enterprise-level on data search/enhancement using AI/ML approach and data set publication/citation.</x:v>
      </x:c>
      <x:c r="E854" s="12" t="str">
        <x:v>Continue collaborating with ESDIS at the enterprise-level on data search/enhancement using AI/ML approach and data set publication/citation.</x:v>
      </x:c>
      <x:c r="F854" s="12" t="str">
        <x:v>Action</x:v>
      </x:c>
      <x:c r="G854" s="12" t="str">
        <x:v>GES DISC User Working Group</x:v>
      </x:c>
      <x:c r="H854" s="12" t="n">
        <x:v>2021</x:v>
      </x:c>
      <x:c r="I854" s="12" t="str">
        <x:v>Data producers and mission teams</x:v>
      </x:c>
      <x:c r="J854" s="12" t="str">
        <x:v>High</x:v>
      </x:c>
      <x:c r="K854" s="16" t="n">
        <x:v>0.75</x:v>
      </x:c>
      <x:c r="L854" s="12" t="str">
        <x:v>LSA similarity cluster; human review pending</x:v>
      </x:c>
      <x:c r="M854" s="12" t="str">
        <x:v>Section: 5.6 New Suggestions, Feedback and Actions</x:v>
      </x:c>
      <x:c r="N854" s="12" t="str"/>
      <x:c r="O854" s="12" t="str">
        <x:v>No</x:v>
      </x:c>
      <x:c r="P854" s="12" t="str">
        <x:v>No</x:v>
      </x:c>
      <x:c r="Q854" s="12"/>
      <x:c r="R854" s="12"/>
    </x:row>
    <x:row r="855">
      <x:c r="A855" s="12" t="str">
        <x:v>EVD-00854</x:v>
      </x:c>
      <x:c r="B855" s="12" t="str">
        <x:v>NEED-0133</x:v>
      </x:c>
      <x:c r="C855" s="12" t="str">
        <x:v>SRC-0001</x:v>
      </x:c>
      <x:c r="D855" s="12" t="str">
        <x:v>Two science use cases have been submitted as aspirational use cases to the ESDIS User Need (UN) Working Group (as indicated in the Table 1 marked *).</x:v>
      </x:c>
      <x:c r="E855" s="12" t="str">
        <x:v>Two science use cases have been submitted as aspirational use cases to the ESDIS User Need (UN) Working Group (as indicated in the Table 1 marked *).</x:v>
      </x:c>
      <x:c r="F855" s="12" t="str">
        <x:v>Action</x:v>
      </x:c>
      <x:c r="G855" s="12" t="str">
        <x:v>GES DISC User Working Group</x:v>
      </x:c>
      <x:c r="H855" s="12" t="n">
        <x:v>2021</x:v>
      </x:c>
      <x:c r="I855" s="12" t="str">
        <x:v>Earthdata users</x:v>
      </x:c>
      <x:c r="J855" s="12" t="str">
        <x:v>High</x:v>
      </x:c>
      <x:c r="K855" s="16" t="n">
        <x:v>0.75</x:v>
      </x:c>
      <x:c r="L855" s="12" t="str">
        <x:v>LSA similarity cluster; human review pending</x:v>
      </x:c>
      <x:c r="M855" s="12" t="str">
        <x:v>Section: 5.6 New Suggestions, Feedback and Actions</x:v>
      </x:c>
      <x:c r="N855" s="12" t="str"/>
      <x:c r="O855" s="12" t="str">
        <x:v>No</x:v>
      </x:c>
      <x:c r="P855" s="12" t="str">
        <x:v>No</x:v>
      </x:c>
      <x:c r="Q855" s="12"/>
      <x:c r="R855" s="12"/>
    </x:row>
    <x:row r="856">
      <x:c r="A856" s="12" t="str">
        <x:v>EVD-00855</x:v>
      </x:c>
      <x:c r="B856" s="12" t="str">
        <x:v>NEED-0008</x:v>
      </x:c>
      <x:c r="C856" s="12" t="str">
        <x:v>SRC-0001</x:v>
      </x:c>
      <x:c r="D856" s="12" t="str">
        <x:v>The UWG raised a question about needing more clarification of the Earthdata Login (EDL) authentication process (on prem/cloud/cross_daac). GES DISC will coordinate with Bruce Wilson (ORNL DAAC manager) for more information.</x:v>
      </x:c>
      <x:c r="E856" s="12" t="str">
        <x:v>The UWG raised a question about needing more clarification of the Earthdata Login (EDL) authentication process (on prem/cloud/cross_daac). GES DISC will coordinate with Bruce Wilson (ORNL DAAC manager) for more information.</x:v>
      </x:c>
      <x:c r="F856" s="12" t="str">
        <x:v>Action</x:v>
      </x:c>
      <x:c r="G856" s="12" t="str">
        <x:v>GES DISC User Working Group</x:v>
      </x:c>
      <x:c r="H856" s="12" t="n">
        <x:v>2021</x:v>
      </x:c>
      <x:c r="I856" s="12" t="str">
        <x:v>Cloud-native researchers</x:v>
      </x:c>
      <x:c r="J856" s="12" t="str">
        <x:v>Medium</x:v>
      </x:c>
      <x:c r="K856" s="16" t="n">
        <x:v>0.75</x:v>
      </x:c>
      <x:c r="L856" s="12" t="str">
        <x:v>LSA similarity cluster; human review pending</x:v>
      </x:c>
      <x:c r="M856" s="12" t="str">
        <x:v>Section: 5.6 New Suggestions, Feedback and Actions</x:v>
      </x:c>
      <x:c r="N856" s="12" t="str"/>
      <x:c r="O856" s="12" t="str">
        <x:v>No</x:v>
      </x:c>
      <x:c r="P856" s="12" t="str">
        <x:v>No</x:v>
      </x:c>
      <x:c r="Q856" s="12"/>
      <x:c r="R856" s="12"/>
    </x:row>
    <x:row r="857">
      <x:c r="A857" s="12" t="str">
        <x:v>EVD-00856</x:v>
      </x:c>
      <x:c r="B857" s="12" t="str">
        <x:v>NEED-0213</x:v>
      </x:c>
      <x:c r="C857" s="12" t="str">
        <x:v>SRC-0001</x:v>
      </x:c>
      <x:c r="D857" s="12" t="str">
        <x:v>GES DISC has requested UWG members to provide feedback on the new GES DISC Web design.</x:v>
      </x:c>
      <x:c r="E857" s="12" t="str">
        <x:v>GES DISC has requested UWG members to provide feedback on the new GES DISC Web design.</x:v>
      </x:c>
      <x:c r="F857" s="12" t="str">
        <x:v>Action</x:v>
      </x:c>
      <x:c r="G857" s="12" t="str">
        <x:v>GES DISC User Working Group</x:v>
      </x:c>
      <x:c r="H857" s="12" t="n">
        <x:v>2021</x:v>
      </x:c>
      <x:c r="I857" s="12" t="str">
        <x:v>Earthdata users</x:v>
      </x:c>
      <x:c r="J857" s="12" t="str">
        <x:v>High</x:v>
      </x:c>
      <x:c r="K857" s="16" t="n">
        <x:v>0.75</x:v>
      </x:c>
      <x:c r="L857" s="12" t="str">
        <x:v>LSA similarity cluster; human review pending</x:v>
      </x:c>
      <x:c r="M857" s="12" t="str">
        <x:v>Section: 5.6 New Suggestions, Feedback and Actions</x:v>
      </x:c>
      <x:c r="N857" s="12" t="str"/>
      <x:c r="O857" s="12" t="str">
        <x:v>No</x:v>
      </x:c>
      <x:c r="P857" s="12" t="str">
        <x:v>No</x:v>
      </x:c>
      <x:c r="Q857" s="12"/>
      <x:c r="R857" s="12"/>
    </x:row>
    <x:row r="858">
      <x:c r="A858" s="12" t="str">
        <x:v>EVD-00857</x:v>
      </x:c>
      <x:c r="B858" s="12" t="str">
        <x:v>NEED-0175</x:v>
      </x:c>
      <x:c r="C858" s="12" t="str">
        <x:v>SRC-0001</x:v>
      </x:c>
      <x:c r="D858" s="12" t="str">
        <x:v>GES DISC will conduct a webinar on using IMERG image service geared toward GIS users on October 27 via the collaboration with ESDIS (through Jennifer Brennan).</x:v>
      </x:c>
      <x:c r="E858" s="12" t="str">
        <x:v>GES DISC will conduct a webinar on using IMERG image service geared toward GIS users on October 27 via the collaboration with ESDIS (through Jennifer Brennan).</x:v>
      </x:c>
      <x:c r="F858" s="12" t="str">
        <x:v>Action</x:v>
      </x:c>
      <x:c r="G858" s="12" t="str">
        <x:v>GES DISC User Working Group</x:v>
      </x:c>
      <x:c r="H858" s="12" t="n">
        <x:v>2021</x:v>
      </x:c>
      <x:c r="I858" s="12" t="str">
        <x:v>GIS users</x:v>
      </x:c>
      <x:c r="J858" s="12" t="str">
        <x:v>Medium</x:v>
      </x:c>
      <x:c r="K858" s="16" t="n">
        <x:v>0.75</x:v>
      </x:c>
      <x:c r="L858" s="12" t="str">
        <x:v>LSA similarity cluster; human review pending</x:v>
      </x:c>
      <x:c r="M858" s="12" t="str">
        <x:v>Section: 5.6 New Suggestions, Feedback and Actions</x:v>
      </x:c>
      <x:c r="N858" s="12" t="str"/>
      <x:c r="O858" s="12" t="str">
        <x:v>No</x:v>
      </x:c>
      <x:c r="P858" s="12" t="str">
        <x:v>No</x:v>
      </x:c>
      <x:c r="Q858" s="12"/>
      <x:c r="R858" s="12"/>
    </x:row>
    <x:row r="859">
      <x:c r="A859" s="12" t="str">
        <x:v>EVD-00858</x:v>
      </x:c>
      <x:c r="B859" s="12" t="str">
        <x:v>NEED-0005</x:v>
      </x:c>
      <x:c r="C859" s="12" t="str">
        <x:v>SRC-0001</x:v>
      </x:c>
      <x:c r="D859" s="12" t="str">
        <x:v>Provide “bite-size nuggets” of data processing recipes/tutorials, similar to Jupyter Notebook, to guide users — for example, how to use Zarr format in an Openscapes-like framework.</x:v>
      </x:c>
      <x:c r="E859" s="12" t="str">
        <x:v>Provide “bite-size nuggets” of data processing recipes/tutorials, similar to Jupyter Notebook, to guide users — for example, how to use Zarr format in an Openscapes-like framework.</x:v>
      </x:c>
      <x:c r="F859" s="12" t="str">
        <x:v>Action</x:v>
      </x:c>
      <x:c r="G859" s="12" t="str">
        <x:v>GES DISC User Working Group</x:v>
      </x:c>
      <x:c r="H859" s="12" t="n">
        <x:v>2021</x:v>
      </x:c>
      <x:c r="I859" s="12" t="str">
        <x:v>Cloud-native researchers; Educators and trainers</x:v>
      </x:c>
      <x:c r="J859" s="12" t="str">
        <x:v>High</x:v>
      </x:c>
      <x:c r="K859" s="16" t="n">
        <x:v>0.75</x:v>
      </x:c>
      <x:c r="L859" s="12" t="str">
        <x:v>LSA similarity cluster; human review pending</x:v>
      </x:c>
      <x:c r="M859" s="12" t="str">
        <x:v>Section: 5.6 New Suggestions, Feedback and Actions</x:v>
      </x:c>
      <x:c r="N859" s="12" t="str"/>
      <x:c r="O859" s="12" t="str">
        <x:v>No</x:v>
      </x:c>
      <x:c r="P859" s="12" t="str">
        <x:v>No</x:v>
      </x:c>
      <x:c r="Q859" s="12"/>
      <x:c r="R859" s="12"/>
    </x:row>
    <x:row r="860">
      <x:c r="A860" s="12" t="str">
        <x:v>EVD-00859</x:v>
      </x:c>
      <x:c r="B860" s="12" t="str">
        <x:v>NEED-0007</x:v>
      </x:c>
      <x:c r="C860" s="12" t="str">
        <x:v>SRC-0001</x:v>
      </x:c>
      <x:c r="D860" s="12" t="str">
        <x:v>Provide cloud-based sandbox environments for scientific exploration work.</x:v>
      </x:c>
      <x:c r="E860" s="12" t="str">
        <x:v>Provide cloud-based sandbox environments for scientific exploration work.</x:v>
      </x:c>
      <x:c r="F860" s="12" t="str">
        <x:v>Action</x:v>
      </x:c>
      <x:c r="G860" s="12" t="str">
        <x:v>GES DISC User Working Group</x:v>
      </x:c>
      <x:c r="H860" s="12" t="n">
        <x:v>2021</x:v>
      </x:c>
      <x:c r="I860" s="12" t="str">
        <x:v>Cloud-native researchers</x:v>
      </x:c>
      <x:c r="J860" s="12" t="str">
        <x:v>High</x:v>
      </x:c>
      <x:c r="K860" s="16" t="n">
        <x:v>0.75</x:v>
      </x:c>
      <x:c r="L860" s="12" t="str">
        <x:v>LSA similarity cluster; human review pending</x:v>
      </x:c>
      <x:c r="M860" s="12" t="str">
        <x:v>Section: 5.6 New Suggestions, Feedback and Actions</x:v>
      </x:c>
      <x:c r="N860" s="12" t="str"/>
      <x:c r="O860" s="12" t="str">
        <x:v>No</x:v>
      </x:c>
      <x:c r="P860" s="12" t="str">
        <x:v>No</x:v>
      </x:c>
      <x:c r="Q860" s="12"/>
      <x:c r="R860" s="12"/>
    </x:row>
    <x:row r="861">
      <x:c r="A861" s="12" t="str">
        <x:v>EVD-00860</x:v>
      </x:c>
      <x:c r="B861" s="12" t="str">
        <x:v>NEED-0175</x:v>
      </x:c>
      <x:c r="C861" s="12" t="str">
        <x:v>SRC-0001</x:v>
      </x:c>
      <x:c r="D861" s="12" t="str">
        <x:v>Users need guidance on appropriate use of satellite datasets for climate related studies. UWG members stressed the need for a rigorous scientific foundation for the interpretation of the data, and provided a firm opinion that the GES DISC should not provide any services that offer trend analysis without accompanying statistical uncertainty. UWG also suggested referring to the Microwave Limb Sounder (MLS) user guide for better data documentation.</x:v>
      </x:c>
      <x:c r="E861" s="12" t="str">
        <x:v>Users need guidance on appropriate use of satellite datasets for climate related studies. UWG members stressed the need for a rigorous scientific foundation for the interpretation of the data, and provided a firm opinion that the GES DISC should not provide any services that offer trend analysis without accompanying statistical uncertainty. UWG also suggested referring to the Microwave Limb Sounder (MLS) user guide for better data documentation.</x:v>
      </x:c>
      <x:c r="F861" s="12" t="str">
        <x:v>Action</x:v>
      </x:c>
      <x:c r="G861" s="12" t="str">
        <x:v>GES DISC User Working Group</x:v>
      </x:c>
      <x:c r="H861" s="12" t="n">
        <x:v>2021</x:v>
      </x:c>
      <x:c r="I861" s="12" t="str">
        <x:v>Earth science researchers</x:v>
      </x:c>
      <x:c r="J861" s="12" t="str">
        <x:v>High</x:v>
      </x:c>
      <x:c r="K861" s="16" t="n">
        <x:v>0.75</x:v>
      </x:c>
      <x:c r="L861" s="12" t="str">
        <x:v>LSA similarity cluster; human review pending</x:v>
      </x:c>
      <x:c r="M861" s="12" t="str">
        <x:v>Section: 5.6 New Suggestions, Feedback and Actions</x:v>
      </x:c>
      <x:c r="N861" s="12" t="str"/>
      <x:c r="O861" s="12" t="str">
        <x:v>No</x:v>
      </x:c>
      <x:c r="P861" s="12" t="str">
        <x:v>No</x:v>
      </x:c>
      <x:c r="Q861" s="12"/>
      <x:c r="R861" s="12"/>
    </x:row>
    <x:row r="862">
      <x:c r="A862" s="12" t="str">
        <x:v>EVD-00861</x:v>
      </x:c>
      <x:c r="B862" s="12" t="str">
        <x:v>NEED-0022</x:v>
      </x:c>
      <x:c r="C862" s="12" t="str">
        <x:v>SRC-0001</x:v>
      </x:c>
      <x:c r="D862" s="12" t="str">
        <x:v>Provide additional BibTex download for data citation at the dataset landing page.</x:v>
      </x:c>
      <x:c r="E862" s="12" t="str">
        <x:v>Provide additional BibTex download for data citation at the dataset landing page.</x:v>
      </x:c>
      <x:c r="F862" s="12" t="str">
        <x:v>Action</x:v>
      </x:c>
      <x:c r="G862" s="12" t="str">
        <x:v>GES DISC User Working Group</x:v>
      </x:c>
      <x:c r="H862" s="12" t="n">
        <x:v>2021</x:v>
      </x:c>
      <x:c r="I862" s="12" t="str">
        <x:v>Earthdata users</x:v>
      </x:c>
      <x:c r="J862" s="12" t="str">
        <x:v>High</x:v>
      </x:c>
      <x:c r="K862" s="16" t="n">
        <x:v>0.75</x:v>
      </x:c>
      <x:c r="L862" s="12" t="str">
        <x:v>LSA similarity cluster; human review pending</x:v>
      </x:c>
      <x:c r="M862" s="12" t="str">
        <x:v>Section: 5.6 New Suggestions, Feedback and Actions</x:v>
      </x:c>
      <x:c r="N862" s="12" t="str"/>
      <x:c r="O862" s="12" t="str">
        <x:v>No</x:v>
      </x:c>
      <x:c r="P862" s="12" t="str">
        <x:v>No</x:v>
      </x:c>
      <x:c r="Q862" s="12"/>
      <x:c r="R862" s="12"/>
    </x:row>
    <x:row r="863">
      <x:c r="A863" s="12" t="str">
        <x:v>EVD-00862</x:v>
      </x:c>
      <x:c r="B863" s="12" t="str">
        <x:v>NEED-0003</x:v>
      </x:c>
      <x:c r="C863" s="12" t="str">
        <x:v>SRC-0001</x:v>
      </x:c>
      <x:c r="D863" s="12" t="str">
        <x:v>Examine the addition of non-NASA data in the cloud to allow researchers to perform cross-disciplinary studies.</x:v>
      </x:c>
      <x:c r="E863" s="12" t="str">
        <x:v>Examine the addition of non-NASA data in the cloud to allow researchers to perform cross-disciplinary studies.</x:v>
      </x:c>
      <x:c r="F863" s="12" t="str">
        <x:v>Action</x:v>
      </x:c>
      <x:c r="G863" s="12" t="str">
        <x:v>GES DISC User Working Group</x:v>
      </x:c>
      <x:c r="H863" s="12" t="n">
        <x:v>2021</x:v>
      </x:c>
      <x:c r="I863" s="12" t="str">
        <x:v>Cloud-native researchers; Earth science researchers</x:v>
      </x:c>
      <x:c r="J863" s="12" t="str">
        <x:v>High</x:v>
      </x:c>
      <x:c r="K863" s="16" t="n">
        <x:v>0.75</x:v>
      </x:c>
      <x:c r="L863" s="12" t="str">
        <x:v>LSA similarity cluster; human review pending</x:v>
      </x:c>
      <x:c r="M863" s="12" t="str">
        <x:v>Section: 5.6 New Suggestions, Feedback and Actions</x:v>
      </x:c>
      <x:c r="N863" s="12" t="str"/>
      <x:c r="O863" s="12" t="str">
        <x:v>No</x:v>
      </x:c>
      <x:c r="P863" s="12" t="str">
        <x:v>No</x:v>
      </x:c>
      <x:c r="Q863" s="12"/>
      <x:c r="R863" s="12"/>
    </x:row>
    <x:row r="864">
      <x:c r="A864" s="12" t="str">
        <x:v>EVD-00863</x:v>
      </x:c>
      <x:c r="B864" s="12" t="str">
        <x:v>NEED-0177</x:v>
      </x:c>
      <x:c r="C864" s="12" t="str">
        <x:v>SRC-0001</x:v>
      </x:c>
      <x:c r="D864" s="12" t="str">
        <x:v>Ensure that services created from “shadow archives” (archives reformatted from the original dataset for a specific purpose) are both closely tied to, and acknowledged for the original source. Data sprawl (the same dataset in multiple forms) needs to be managed and requires care in storage efficiency and maintenance of data integrity.</x:v>
      </x:c>
      <x:c r="E864" s="12" t="str">
        <x:v>Ensure that services created from “shadow archives” (archives reformatted from the original dataset for a specific purpose) are both closely tied to, and acknowledged for the original source. Data sprawl (the same dataset in multiple forms) needs to be managed and requires care in storage efficiency and maintenance of data integrity.</x:v>
      </x:c>
      <x:c r="F864" s="12" t="str">
        <x:v>Action</x:v>
      </x:c>
      <x:c r="G864" s="12" t="str">
        <x:v>GES DISC User Working Group</x:v>
      </x:c>
      <x:c r="H864" s="12" t="n">
        <x:v>2021</x:v>
      </x:c>
      <x:c r="I864" s="12" t="str">
        <x:v>Data producers and mission teams</x:v>
      </x:c>
      <x:c r="J864" s="12" t="str">
        <x:v>High</x:v>
      </x:c>
      <x:c r="K864" s="16" t="n">
        <x:v>0.75</x:v>
      </x:c>
      <x:c r="L864" s="12" t="str">
        <x:v>LSA similarity cluster; human review pending</x:v>
      </x:c>
      <x:c r="M864" s="12" t="str">
        <x:v>Section: 5.6 New Suggestions, Feedback and Actions</x:v>
      </x:c>
      <x:c r="N864" s="12" t="str"/>
      <x:c r="O864" s="12" t="str">
        <x:v>No</x:v>
      </x:c>
      <x:c r="P864" s="12" t="str">
        <x:v>No</x:v>
      </x:c>
      <x:c r="Q864" s="12"/>
      <x:c r="R864" s="12"/>
    </x:row>
    <x:row r="865">
      <x:c r="A865" s="12" t="str">
        <x:v>EVD-00864</x:v>
      </x:c>
      <x:c r="B865" s="12" t="str">
        <x:v>NEED-0194</x:v>
      </x:c>
      <x:c r="C865" s="12" t="str">
        <x:v>SRC-0001</x:v>
      </x:c>
      <x:c r="D865" s="12" t="str">
        <x:v>UWG suggested workshops with subject matter experts, which would be a useful way of teaching users about exploring NASA data with GIS. Such outreach should be based on a scientific use case(s), such as wildfire or tropical cyclones.</x:v>
      </x:c>
      <x:c r="E865" s="12" t="str">
        <x:v>UWG suggested workshops with subject matter experts, which would be a useful way of teaching users about exploring NASA data with GIS. Such outreach should be based on a scientific use case(s), such as wildfire or tropical cyclones.</x:v>
      </x:c>
      <x:c r="F865" s="12" t="str">
        <x:v>Action</x:v>
      </x:c>
      <x:c r="G865" s="12" t="str">
        <x:v>GES DISC User Working Group</x:v>
      </x:c>
      <x:c r="H865" s="12" t="n">
        <x:v>2021</x:v>
      </x:c>
      <x:c r="I865" s="12" t="str">
        <x:v>GIS users; Educators and trainers</x:v>
      </x:c>
      <x:c r="J865" s="12" t="str">
        <x:v>High</x:v>
      </x:c>
      <x:c r="K865" s="16" t="n">
        <x:v>0.75</x:v>
      </x:c>
      <x:c r="L865" s="12" t="str">
        <x:v>LSA similarity cluster; human review pending</x:v>
      </x:c>
      <x:c r="M865" s="12" t="str">
        <x:v>Section: 5.6 New Suggestions, Feedback and Actions</x:v>
      </x:c>
      <x:c r="N865" s="12" t="str"/>
      <x:c r="O865" s="12" t="str">
        <x:v>No</x:v>
      </x:c>
      <x:c r="P865" s="12" t="str">
        <x:v>No</x:v>
      </x:c>
      <x:c r="Q865" s="12"/>
      <x:c r="R865" s="12"/>
    </x:row>
    <x:row r="866">
      <x:c r="A866" s="12" t="str">
        <x:v>EVD-00865</x:v>
      </x:c>
      <x:c r="B866" s="12" t="str">
        <x:v>NEED-0175</x:v>
      </x:c>
      <x:c r="C866" s="12" t="str">
        <x:v>SRC-0001</x:v>
      </x:c>
      <x:c r="D866" s="12" t="str">
        <x:v>UWG suggested datasets related to fires, aerosols, precipitation, and atmospheric composition to be considered as future GIS services.</x:v>
      </x:c>
      <x:c r="E866" s="12" t="str">
        <x:v>UWG suggested datasets related to fires, aerosols, precipitation, and atmospheric composition to be considered as future GIS services.</x:v>
      </x:c>
      <x:c r="F866" s="12" t="str">
        <x:v>Action</x:v>
      </x:c>
      <x:c r="G866" s="12" t="str">
        <x:v>GES DISC User Working Group</x:v>
      </x:c>
      <x:c r="H866" s="12" t="n">
        <x:v>2021</x:v>
      </x:c>
      <x:c r="I866" s="12" t="str">
        <x:v>GIS users</x:v>
      </x:c>
      <x:c r="J866" s="12" t="str">
        <x:v>Medium</x:v>
      </x:c>
      <x:c r="K866" s="16" t="n">
        <x:v>0.75</x:v>
      </x:c>
      <x:c r="L866" s="12" t="str">
        <x:v>LSA similarity cluster; human review pending</x:v>
      </x:c>
      <x:c r="M866" s="12" t="str">
        <x:v>Section: 5.6 New Suggestions, Feedback and Actions</x:v>
      </x:c>
      <x:c r="N866" s="12" t="str"/>
      <x:c r="O866" s="12" t="str">
        <x:v>No</x:v>
      </x:c>
      <x:c r="P866" s="12" t="str">
        <x:v>No</x:v>
      </x:c>
      <x:c r="Q866" s="12"/>
      <x:c r="R866" s="12"/>
    </x:row>
    <x:row r="867">
      <x:c r="A867" s="12" t="str">
        <x:v>EVD-00866</x:v>
      </x:c>
      <x:c r="B867" s="12" t="str">
        <x:v>NEED-0074</x:v>
      </x:c>
      <x:c r="C867" s="12" t="str">
        <x:v>SRC-0001</x:v>
      </x:c>
      <x:c r="D867" s="12" t="str">
        <x:v>The need for data providers to define what Analysis Ready Data (ARD) mean for their specific datasets.</x:v>
      </x:c>
      <x:c r="E867" s="12" t="str">
        <x:v>The need for data providers to define what Analysis Ready Data (ARD) mean for their specific datasets.</x:v>
      </x:c>
      <x:c r="F867" s="12" t="str">
        <x:v>Action</x:v>
      </x:c>
      <x:c r="G867" s="12" t="str">
        <x:v>GES DISC User Working Group</x:v>
      </x:c>
      <x:c r="H867" s="12" t="n">
        <x:v>2021</x:v>
      </x:c>
      <x:c r="I867" s="12" t="str">
        <x:v>Earth science researchers</x:v>
      </x:c>
      <x:c r="J867" s="12" t="str">
        <x:v>High</x:v>
      </x:c>
      <x:c r="K867" s="16" t="n">
        <x:v>0.75</x:v>
      </x:c>
      <x:c r="L867" s="12" t="str">
        <x:v>LSA similarity cluster; human review pending</x:v>
      </x:c>
      <x:c r="M867" s="12" t="str">
        <x:v>Section: 5.6 New Suggestions, Feedback and Actions</x:v>
      </x:c>
      <x:c r="N867" s="12" t="str"/>
      <x:c r="O867" s="12" t="str">
        <x:v>No</x:v>
      </x:c>
      <x:c r="P867" s="12" t="str">
        <x:v>No</x:v>
      </x:c>
      <x:c r="Q867" s="12"/>
      <x:c r="R867" s="12"/>
    </x:row>
    <x:row r="868">
      <x:c r="A868" s="12" t="str">
        <x:v>EVD-00867</x:v>
      </x:c>
      <x:c r="B868" s="12" t="str">
        <x:v>NEED-0040</x:v>
      </x:c>
      <x:c r="C868" s="12" t="str">
        <x:v>SRC-0001</x:v>
      </x:c>
      <x:c r="D868" s="12" t="str">
        <x:v>An enterprise-level effort to (1) make Analysis Ready Data (ARD) accessible to users, and (2) make ARDs “trustworthy” by providing data provenance.</x:v>
      </x:c>
      <x:c r="E868" s="12" t="str">
        <x:v>An enterprise-level effort to (1) make Analysis Ready Data (ARD) accessible to users, and (2) make ARDs “trustworthy” by providing data provenance.</x:v>
      </x:c>
      <x:c r="F868" s="12" t="str">
        <x:v>Action</x:v>
      </x:c>
      <x:c r="G868" s="12" t="str">
        <x:v>GES DISC User Working Group</x:v>
      </x:c>
      <x:c r="H868" s="12" t="n">
        <x:v>2021</x:v>
      </x:c>
      <x:c r="I868" s="12" t="str">
        <x:v>Earth science researchers</x:v>
      </x:c>
      <x:c r="J868" s="12" t="str">
        <x:v>Medium</x:v>
      </x:c>
      <x:c r="K868" s="16" t="n">
        <x:v>0.75</x:v>
      </x:c>
      <x:c r="L868" s="12" t="str">
        <x:v>LSA similarity cluster; human review pending</x:v>
      </x:c>
      <x:c r="M868" s="12" t="str">
        <x:v>Section: 5.6 New Suggestions, Feedback and Actions</x:v>
      </x:c>
      <x:c r="N868" s="12" t="str"/>
      <x:c r="O868" s="12" t="str">
        <x:v>No</x:v>
      </x:c>
      <x:c r="P868" s="12" t="str">
        <x:v>No</x:v>
      </x:c>
      <x:c r="Q868" s="12"/>
      <x:c r="R868" s="12"/>
    </x:row>
    <x:row r="869">
      <x:c r="A869" s="12" t="str">
        <x:v>EVD-00868</x:v>
      </x:c>
      <x:c r="B869" s="12" t="str">
        <x:v>NEED-0007</x:v>
      </x:c>
      <x:c r="C869" s="12" t="str">
        <x:v>SRC-0001</x:v>
      </x:c>
      <x:c r="D869" s="12" t="str">
        <x:v>Provide a cloud-based “sandbox” for users to experiment with data processing and perform scientific analysis in the cloud (also an Action Item).</x:v>
      </x:c>
      <x:c r="E869" s="12" t="str">
        <x:v>Provide a cloud-based “sandbox” for users to experiment with data processing and perform scientific analysis in the cloud (also an Action Item).</x:v>
      </x:c>
      <x:c r="F869" s="12" t="str">
        <x:v>Action</x:v>
      </x:c>
      <x:c r="G869" s="12" t="str">
        <x:v>GES DISC User Working Group</x:v>
      </x:c>
      <x:c r="H869" s="12" t="n">
        <x:v>2021</x:v>
      </x:c>
      <x:c r="I869" s="12" t="str">
        <x:v>Cloud-native researchers; Earth science researchers</x:v>
      </x:c>
      <x:c r="J869" s="12" t="str">
        <x:v>High</x:v>
      </x:c>
      <x:c r="K869" s="16" t="n">
        <x:v>0.75</x:v>
      </x:c>
      <x:c r="L869" s="12" t="str">
        <x:v>LSA similarity cluster; human review pending</x:v>
      </x:c>
      <x:c r="M869" s="12" t="str">
        <x:v>Section: 5.6 New Suggestions, Feedback and Actions</x:v>
      </x:c>
      <x:c r="N869" s="12" t="str"/>
      <x:c r="O869" s="12" t="str">
        <x:v>No</x:v>
      </x:c>
      <x:c r="P869" s="12" t="str">
        <x:v>No</x:v>
      </x:c>
      <x:c r="Q869" s="12"/>
      <x:c r="R869" s="12"/>
    </x:row>
    <x:row r="870">
      <x:c r="A870" s="12" t="str">
        <x:v>EVD-00869</x:v>
      </x:c>
      <x:c r="B870" s="12" t="str">
        <x:v>NEED-0028</x:v>
      </x:c>
      <x:c r="C870" s="12" t="str">
        <x:v>SRC-0001</x:v>
      </x:c>
      <x:c r="D870" s="12" t="str">
        <x:v>The LANCE UWG should be notified of the Designated Observable studies that will look at latency and future SIPS-like functionality – Action Andy Mitchell/Diane.</x:v>
      </x:c>
      <x:c r="E870" s="12" t="str">
        <x:v>The LANCE UWG should be notified of the Designated Observable studies that will look at latency and future SIPS-like functionality – Action Andy Mitchell/Diane.</x:v>
      </x:c>
      <x:c r="F870" s="12" t="str">
        <x:v>Action</x:v>
      </x:c>
      <x:c r="G870" s="12" t="str">
        <x:v>LANCE User Working Group</x:v>
      </x:c>
      <x:c r="H870" s="12" t="n">
        <x:v>2021</x:v>
      </x:c>
      <x:c r="I870" s="12" t="str">
        <x:v>Operational and near-real-time users</x:v>
      </x:c>
      <x:c r="J870" s="12" t="str">
        <x:v>High</x:v>
      </x:c>
      <x:c r="K870" s="16" t="n">
        <x:v>0.75</x:v>
      </x:c>
      <x:c r="L870" s="12" t="str">
        <x:v>LSA similarity cluster; human review pending</x:v>
      </x:c>
      <x:c r="M870" s="12" t="str">
        <x:v>Section: 6.1.5 Appendix 1: Action Items</x:v>
      </x:c>
      <x:c r="N870" s="12" t="str"/>
      <x:c r="O870" s="12" t="str">
        <x:v>No</x:v>
      </x:c>
      <x:c r="P870" s="12" t="str">
        <x:v>No</x:v>
      </x:c>
      <x:c r="Q870" s="12"/>
      <x:c r="R870" s="12"/>
    </x:row>
    <x:row r="871">
      <x:c r="A871" s="12" t="str">
        <x:v>EVD-00870</x:v>
      </x:c>
      <x:c r="B871" s="12" t="str">
        <x:v>NEED-0005</x:v>
      </x:c>
      <x:c r="C871" s="12" t="str">
        <x:v>SRC-0001</x:v>
      </x:c>
      <x:c r="D871" s="12" t="str">
        <x:v>It is recommended that ESDIS set up a Cloud focused discussion for users – Andy / ESDIS.</x:v>
      </x:c>
      <x:c r="E871" s="12" t="str">
        <x:v>It is recommended that ESDIS set up a Cloud focused discussion for users – Andy / ESDIS.</x:v>
      </x:c>
      <x:c r="F871" s="12" t="str">
        <x:v>Action</x:v>
      </x:c>
      <x:c r="G871" s="12" t="str">
        <x:v>LANCE User Working Group</x:v>
      </x:c>
      <x:c r="H871" s="12" t="n">
        <x:v>2021</x:v>
      </x:c>
      <x:c r="I871" s="12" t="str">
        <x:v>Cloud-native researchers</x:v>
      </x:c>
      <x:c r="J871" s="12" t="str">
        <x:v>Low</x:v>
      </x:c>
      <x:c r="K871" s="16" t="n">
        <x:v>0.75</x:v>
      </x:c>
      <x:c r="L871" s="12" t="str">
        <x:v>LSA similarity cluster; human review pending</x:v>
      </x:c>
      <x:c r="M871" s="12" t="str">
        <x:v>Section: 6.1.5 Appendix 1: Action Items</x:v>
      </x:c>
      <x:c r="N871" s="12" t="str"/>
      <x:c r="O871" s="12" t="str">
        <x:v>No</x:v>
      </x:c>
      <x:c r="P871" s="12" t="str">
        <x:v>No</x:v>
      </x:c>
      <x:c r="Q871" s="12"/>
      <x:c r="R871" s="12"/>
    </x:row>
    <x:row r="872">
      <x:c r="A872" s="12" t="str">
        <x:v>EVD-00871</x:v>
      </x:c>
      <x:c r="B872" s="12" t="str">
        <x:v>NEED-0087</x:v>
      </x:c>
      <x:c r="C872" s="12" t="str">
        <x:v>SRC-0001</x:v>
      </x:c>
      <x:c r="D872" s="12" t="str">
        <x:v>The LANCE UWG should review / follow up on DO studies when they are complete – action David/Tian to send out the follow up information.</x:v>
      </x:c>
      <x:c r="E872" s="12" t="str">
        <x:v>The LANCE UWG should review / follow up on DO studies when they are complete – action David/Tian to send out the follow up information.</x:v>
      </x:c>
      <x:c r="F872" s="12" t="str">
        <x:v>Action</x:v>
      </x:c>
      <x:c r="G872" s="12" t="str">
        <x:v>LANCE User Working Group</x:v>
      </x:c>
      <x:c r="H872" s="12" t="n">
        <x:v>2021</x:v>
      </x:c>
      <x:c r="I872" s="12" t="str">
        <x:v>Operational and near-real-time users</x:v>
      </x:c>
      <x:c r="J872" s="12" t="str">
        <x:v>High</x:v>
      </x:c>
      <x:c r="K872" s="16" t="n">
        <x:v>0.75</x:v>
      </x:c>
      <x:c r="L872" s="12" t="str">
        <x:v>LSA similarity cluster; human review pending</x:v>
      </x:c>
      <x:c r="M872" s="12" t="str">
        <x:v>Section: 6.1.5 Appendix 1: Action Items</x:v>
      </x:c>
      <x:c r="N872" s="12" t="str"/>
      <x:c r="O872" s="12" t="str">
        <x:v>No</x:v>
      </x:c>
      <x:c r="P872" s="12" t="str">
        <x:v>No</x:v>
      </x:c>
      <x:c r="Q872" s="12"/>
      <x:c r="R872" s="12"/>
    </x:row>
    <x:row r="873">
      <x:c r="A873" s="12" t="str">
        <x:v>EVD-00872</x:v>
      </x:c>
      <x:c r="B873" s="12" t="str">
        <x:v>NEED-0117</x:v>
      </x:c>
      <x:c r="C873" s="12" t="str">
        <x:v>SRC-0001</x:v>
      </x:c>
      <x:c r="D873" s="12" t="str">
        <x:v>Continue work to make LANCE data more GIS friendly.</x:v>
      </x:c>
      <x:c r="E873" s="12" t="str">
        <x:v>Continue work to make LANCE data more GIS friendly.</x:v>
      </x:c>
      <x:c r="F873" s="12" t="str">
        <x:v>Action</x:v>
      </x:c>
      <x:c r="G873" s="12" t="str">
        <x:v>LANCE User Working Group</x:v>
      </x:c>
      <x:c r="H873" s="12" t="n">
        <x:v>2021</x:v>
      </x:c>
      <x:c r="I873" s="12" t="str">
        <x:v>GIS users; Operational and near-real-time users</x:v>
      </x:c>
      <x:c r="J873" s="12" t="str">
        <x:v>High</x:v>
      </x:c>
      <x:c r="K873" s="16" t="n">
        <x:v>0.75</x:v>
      </x:c>
      <x:c r="L873" s="12" t="str">
        <x:v>LSA similarity cluster; human review pending</x:v>
      </x:c>
      <x:c r="M873" s="12" t="str">
        <x:v>Section: 6.1.5 Appendix 1: Action Items</x:v>
      </x:c>
      <x:c r="N873" s="12" t="str"/>
      <x:c r="O873" s="12" t="str">
        <x:v>No</x:v>
      </x:c>
      <x:c r="P873" s="12" t="str">
        <x:v>No</x:v>
      </x:c>
      <x:c r="Q873" s="12"/>
      <x:c r="R873" s="12"/>
    </x:row>
    <x:row r="874">
      <x:c r="A874" s="12" t="str">
        <x:v>EVD-00873</x:v>
      </x:c>
      <x:c r="B874" s="12" t="str">
        <x:v>NEED-0001</x:v>
      </x:c>
      <x:c r="C874" s="12" t="str">
        <x:v>SRC-0001</x:v>
      </x:c>
      <x:c r="D874" s="12" t="str">
        <x:v>With regards to the AWS direct readout study there was a suggestion to compare N20 products from AWS to LANCE – Karen / Dan Pilone (leave out as it was not a recommendation).</x:v>
      </x:c>
      <x:c r="E874" s="12" t="str">
        <x:v>With regards to the AWS direct readout study there was a suggestion to compare N20 products from AWS to LANCE – Karen / Dan Pilone (leave out as it was not a recommendation).</x:v>
      </x:c>
      <x:c r="F874" s="12" t="str">
        <x:v>Action</x:v>
      </x:c>
      <x:c r="G874" s="12" t="str">
        <x:v>LANCE User Working Group</x:v>
      </x:c>
      <x:c r="H874" s="12" t="n">
        <x:v>2021</x:v>
      </x:c>
      <x:c r="I874" s="12" t="str">
        <x:v>Cloud-native researchers; Operational and near-real-time users</x:v>
      </x:c>
      <x:c r="J874" s="12" t="str">
        <x:v>Low</x:v>
      </x:c>
      <x:c r="K874" s="16" t="n">
        <x:v>0.75</x:v>
      </x:c>
      <x:c r="L874" s="12" t="str">
        <x:v>LSA similarity cluster; human review pending</x:v>
      </x:c>
      <x:c r="M874" s="12" t="str">
        <x:v>Section: 6.1.5 Appendix 1: Action Items</x:v>
      </x:c>
      <x:c r="N874" s="12" t="str"/>
      <x:c r="O874" s="12" t="str">
        <x:v>No</x:v>
      </x:c>
      <x:c r="P874" s="12" t="str">
        <x:v>No</x:v>
      </x:c>
      <x:c r="Q874" s="12"/>
      <x:c r="R874" s="12"/>
    </x:row>
    <x:row r="875">
      <x:c r="A875" s="12" t="str">
        <x:v>EVD-00874</x:v>
      </x:c>
      <x:c r="B875" s="12" t="str">
        <x:v>NEED-0119</x:v>
      </x:c>
      <x:c r="C875" s="12" t="str">
        <x:v>SRC-0001</x:v>
      </x:c>
      <x:c r="D875" s="12" t="str">
        <x:v>David Green and Brad Quayle to follow up on the idea of the fire community being an early adopter for NISAR.</x:v>
      </x:c>
      <x:c r="E875" s="12" t="str">
        <x:v>David Green and Brad Quayle to follow up on the idea of the fire community being an early adopter for NISAR.</x:v>
      </x:c>
      <x:c r="F875" s="12" t="str">
        <x:v>Action</x:v>
      </x:c>
      <x:c r="G875" s="12" t="str">
        <x:v>LANCE User Working Group</x:v>
      </x:c>
      <x:c r="H875" s="12" t="n">
        <x:v>2021</x:v>
      </x:c>
      <x:c r="I875" s="12" t="str">
        <x:v>Earthdata users</x:v>
      </x:c>
      <x:c r="J875" s="12" t="str">
        <x:v>Medium</x:v>
      </x:c>
      <x:c r="K875" s="16" t="n">
        <x:v>0.75</x:v>
      </x:c>
      <x:c r="L875" s="12" t="str">
        <x:v>LSA similarity cluster; human review pending</x:v>
      </x:c>
      <x:c r="M875" s="12" t="str">
        <x:v>Section: 6.1.5 Appendix 1: Action Items</x:v>
      </x:c>
      <x:c r="N875" s="12" t="str"/>
      <x:c r="O875" s="12" t="str">
        <x:v>No</x:v>
      </x:c>
      <x:c r="P875" s="12" t="str">
        <x:v>No</x:v>
      </x:c>
      <x:c r="Q875" s="12"/>
      <x:c r="R875" s="12"/>
    </x:row>
    <x:row r="876">
      <x:c r="A876" s="12" t="str">
        <x:v>EVD-00875</x:v>
      </x:c>
      <x:c r="B876" s="12" t="str">
        <x:v>NEED-0176</x:v>
      </x:c>
      <x:c r="C876" s="12" t="str">
        <x:v>SRC-0001</x:v>
      </x:c>
      <x:c r="D876" s="12" t="str">
        <x:v>GIBS/Worldview asked the UWG for input on how long the GeoColor images should be retained and asked what the UWG would like to see next? E.g., SMAP? IMERG?</x:v>
      </x:c>
      <x:c r="E876" s="12" t="str">
        <x:v>GIBS/Worldview asked the UWG for input on how long the GeoColor images should be retained and asked what the UWG would like to see next? E.g., SMAP? IMERG?</x:v>
      </x:c>
      <x:c r="F876" s="12" t="str">
        <x:v>Action</x:v>
      </x:c>
      <x:c r="G876" s="12" t="str">
        <x:v>LANCE User Working Group</x:v>
      </x:c>
      <x:c r="H876" s="12" t="n">
        <x:v>2021</x:v>
      </x:c>
      <x:c r="I876" s="12" t="str">
        <x:v>Earthdata users</x:v>
      </x:c>
      <x:c r="J876" s="12" t="str">
        <x:v>High</x:v>
      </x:c>
      <x:c r="K876" s="16" t="n">
        <x:v>0.75</x:v>
      </x:c>
      <x:c r="L876" s="12" t="str">
        <x:v>LSA similarity cluster; human review pending</x:v>
      </x:c>
      <x:c r="M876" s="12" t="str">
        <x:v>Section: 6.1.5 Appendix 1: Action Items</x:v>
      </x:c>
      <x:c r="N876" s="12" t="str"/>
      <x:c r="O876" s="12" t="str">
        <x:v>No</x:v>
      </x:c>
      <x:c r="P876" s="12" t="str">
        <x:v>No</x:v>
      </x:c>
      <x:c r="Q876" s="12"/>
      <x:c r="R876" s="12"/>
    </x:row>
    <x:row r="877">
      <x:c r="A877" s="12" t="str">
        <x:v>EVD-00876</x:v>
      </x:c>
      <x:c r="B877" s="12" t="str">
        <x:v>NEED-0086</x:v>
      </x:c>
      <x:c r="C877" s="12" t="str">
        <x:v>SRC-0001</x:v>
      </x:c>
      <x:c r="D877" s="12" t="str">
        <x:v>LANCE should raise the issue of QA flags for any standard product layers that are hosted in the ESRI Living Atlas – they are currently only hosting RGB imagery and not hosting standard products but as this is likely to happen in the future, consideration should be given to how this can be managed.</x:v>
      </x:c>
      <x:c r="E877" s="12" t="str">
        <x:v>LANCE should raise the issue of QA flags for any standard product layers that are hosted in the ESRI Living Atlas – they are currently only hosting RGB imagery and not hosting standard products but as this is likely to happen in the future, consideration should be given to how this can be managed.</x:v>
      </x:c>
      <x:c r="F877" s="12" t="str">
        <x:v>Action</x:v>
      </x:c>
      <x:c r="G877" s="12" t="str">
        <x:v>LANCE User Working Group</x:v>
      </x:c>
      <x:c r="H877" s="12" t="n">
        <x:v>2021</x:v>
      </x:c>
      <x:c r="I877" s="12" t="str">
        <x:v>Operational and near-real-time users</x:v>
      </x:c>
      <x:c r="J877" s="12" t="str">
        <x:v>High</x:v>
      </x:c>
      <x:c r="K877" s="16" t="n">
        <x:v>0.75</x:v>
      </x:c>
      <x:c r="L877" s="12" t="str">
        <x:v>LSA similarity cluster; human review pending</x:v>
      </x:c>
      <x:c r="M877" s="12" t="str">
        <x:v>Section: 6.1.5 Appendix 1: Action Items</x:v>
      </x:c>
      <x:c r="N877" s="12" t="str"/>
      <x:c r="O877" s="12" t="str">
        <x:v>No</x:v>
      </x:c>
      <x:c r="P877" s="12" t="str">
        <x:v>No</x:v>
      </x:c>
      <x:c r="Q877" s="12"/>
      <x:c r="R877" s="12"/>
    </x:row>
    <x:row r="878">
      <x:c r="A878" s="12" t="str">
        <x:v>EVD-00877</x:v>
      </x:c>
      <x:c r="B878" s="12" t="str">
        <x:v>NEED-0114</x:v>
      </x:c>
      <x:c r="C878" s="12" t="str">
        <x:v>SRC-0001</x:v>
      </x:c>
      <x:c r="D878" s="12" t="str">
        <x:v>Send ideas for rebranding “LANCE” to Diane and Karen.</x:v>
      </x:c>
      <x:c r="E878" s="12" t="str">
        <x:v>Send ideas for rebranding “LANCE” to Diane and Karen.</x:v>
      </x:c>
      <x:c r="F878" s="12" t="str">
        <x:v>Action</x:v>
      </x:c>
      <x:c r="G878" s="12" t="str">
        <x:v>LANCE User Working Group</x:v>
      </x:c>
      <x:c r="H878" s="12" t="n">
        <x:v>2021</x:v>
      </x:c>
      <x:c r="I878" s="12" t="str">
        <x:v>Operational and near-real-time users</x:v>
      </x:c>
      <x:c r="J878" s="12" t="str">
        <x:v>Medium</x:v>
      </x:c>
      <x:c r="K878" s="16" t="n">
        <x:v>0.75</x:v>
      </x:c>
      <x:c r="L878" s="12" t="str">
        <x:v>LSA similarity cluster; human review pending</x:v>
      </x:c>
      <x:c r="M878" s="12" t="str">
        <x:v>Section: 6.2.6 Appendix 1: Action Items</x:v>
      </x:c>
      <x:c r="N878" s="12" t="str"/>
      <x:c r="O878" s="12" t="str">
        <x:v>No</x:v>
      </x:c>
      <x:c r="P878" s="12" t="str">
        <x:v>No</x:v>
      </x:c>
      <x:c r="Q878" s="12"/>
      <x:c r="R878" s="12"/>
    </x:row>
    <x:row r="879">
      <x:c r="A879" s="12" t="str">
        <x:v>EVD-00878</x:v>
      </x:c>
      <x:c r="B879" s="12" t="str">
        <x:v>NEED-0126</x:v>
      </x:c>
      <x:c r="C879" s="12" t="str">
        <x:v>SRC-0001</x:v>
      </x:c>
      <x:c r="D879" s="12" t="str">
        <x:v>Send suggestions to Karen on how data from event-based monitoring from DR should be made available to users.</x:v>
      </x:c>
      <x:c r="E879" s="12" t="str">
        <x:v>Send suggestions to Karen on how data from event-based monitoring from DR should be made available to users.</x:v>
      </x:c>
      <x:c r="F879" s="12" t="str">
        <x:v>Action</x:v>
      </x:c>
      <x:c r="G879" s="12" t="str">
        <x:v>LANCE User Working Group</x:v>
      </x:c>
      <x:c r="H879" s="12" t="n">
        <x:v>2021</x:v>
      </x:c>
      <x:c r="I879" s="12" t="str">
        <x:v>Earthdata users</x:v>
      </x:c>
      <x:c r="J879" s="12" t="str">
        <x:v>High</x:v>
      </x:c>
      <x:c r="K879" s="16" t="n">
        <x:v>0.75</x:v>
      </x:c>
      <x:c r="L879" s="12" t="str">
        <x:v>LSA similarity cluster; human review pending</x:v>
      </x:c>
      <x:c r="M879" s="12" t="str">
        <x:v>Section: 6.2.6 Appendix 1: Action Items</x:v>
      </x:c>
      <x:c r="N879" s="12" t="str"/>
      <x:c r="O879" s="12" t="str">
        <x:v>No</x:v>
      </x:c>
      <x:c r="P879" s="12" t="str">
        <x:v>No</x:v>
      </x:c>
      <x:c r="Q879" s="12"/>
      <x:c r="R879" s="12"/>
    </x:row>
    <x:row r="880">
      <x:c r="A880" s="12" t="str">
        <x:v>EVD-00879</x:v>
      </x:c>
      <x:c r="B880" s="12" t="str">
        <x:v>NEED-0092</x:v>
      </x:c>
      <x:c r="C880" s="12" t="str">
        <x:v>SRC-0001</x:v>
      </x:c>
      <x:c r="D880" s="12" t="str">
        <x:v>Review the potential new products outlined in the LANCE UWG and comment on which ones would be of interest. As a reminder these are listed in Text Box 1 and charts describing them are available from Mike Falkowski’s presentation.</x:v>
      </x:c>
      <x:c r="E880" s="12" t="str">
        <x:v>Review the potential new products outlined in the LANCE UWG and comment on which ones would be of interest. As a reminder these are listed in Text Box 1 and charts describing them are available from Mike Falkowski’s presentation.</x:v>
      </x:c>
      <x:c r="F880" s="12" t="str">
        <x:v>Action</x:v>
      </x:c>
      <x:c r="G880" s="12" t="str">
        <x:v>LANCE User Working Group</x:v>
      </x:c>
      <x:c r="H880" s="12" t="n">
        <x:v>2021</x:v>
      </x:c>
      <x:c r="I880" s="12" t="str">
        <x:v>Operational and near-real-time users</x:v>
      </x:c>
      <x:c r="J880" s="12" t="str">
        <x:v>Medium</x:v>
      </x:c>
      <x:c r="K880" s="16" t="n">
        <x:v>0.75</x:v>
      </x:c>
      <x:c r="L880" s="12" t="str">
        <x:v>LSA similarity cluster; human review pending</x:v>
      </x:c>
      <x:c r="M880" s="12" t="str">
        <x:v>Section: 6.2.6 Appendix 1: Action Items</x:v>
      </x:c>
      <x:c r="N880" s="12" t="str"/>
      <x:c r="O880" s="12" t="str">
        <x:v>No</x:v>
      </x:c>
      <x:c r="P880" s="12" t="str">
        <x:v>No</x:v>
      </x:c>
      <x:c r="Q880" s="12"/>
      <x:c r="R880" s="12"/>
    </x:row>
    <x:row r="881">
      <x:c r="A881" s="12" t="str">
        <x:v>EVD-00880</x:v>
      </x:c>
      <x:c r="B881" s="12" t="str">
        <x:v>NEED-0200</x:v>
      </x:c>
      <x:c r="C881" s="12" t="str">
        <x:v>SRC-0001</x:v>
      </x:c>
      <x:c r="D881" s="12" t="str">
        <x:v>Test the AMSR2 Data recipe to create NRT AMSR2 GeoTIF. Any feedback should go to Sherry Harrison (sherry.harrison@uah.edu) and Leigh Sinclair (leigh.sinclair@uah.edu).</x:v>
      </x:c>
      <x:c r="E881" s="12" t="str">
        <x:v>Test the AMSR2 Data recipe to create NRT AMSR2 GeoTIF. Any feedback should go to Sherry Harrison (sherry.harrison@uah.edu) and Leigh Sinclair (leigh.sinclair@uah.edu).</x:v>
      </x:c>
      <x:c r="F881" s="12" t="str">
        <x:v>Action</x:v>
      </x:c>
      <x:c r="G881" s="12" t="str">
        <x:v>LANCE User Working Group</x:v>
      </x:c>
      <x:c r="H881" s="12" t="n">
        <x:v>2021</x:v>
      </x:c>
      <x:c r="I881" s="12" t="str">
        <x:v>Operational and near-real-time users</x:v>
      </x:c>
      <x:c r="J881" s="12" t="str">
        <x:v>High</x:v>
      </x:c>
      <x:c r="K881" s="16" t="n">
        <x:v>0.55</x:v>
      </x:c>
      <x:c r="L881" s="12" t="str">
        <x:v>LSA similarity cluster; human review pending</x:v>
      </x:c>
      <x:c r="M881" s="12" t="str">
        <x:v>Section: 6.2.6 Appendix 1: Action Items</x:v>
      </x:c>
      <x:c r="N881" s="12" t="str"/>
      <x:c r="O881" s="12" t="str">
        <x:v>No</x:v>
      </x:c>
      <x:c r="P881" s="12" t="str">
        <x:v>No</x:v>
      </x:c>
      <x:c r="Q881" s="12"/>
      <x:c r="R881" s="12"/>
    </x:row>
    <x:row r="882">
      <x:c r="A882" s="12" t="str">
        <x:v>EVD-00881</x:v>
      </x:c>
      <x:c r="B882" s="12" t="str">
        <x:v>NEED-0176</x:v>
      </x:c>
      <x:c r="C882" s="12" t="str">
        <x:v>SRC-0001</x:v>
      </x:c>
      <x:c r="D882" s="12" t="str">
        <x:v>If the NRT SMAP is of interest, provide input to Matt Cechini on what imagery would be most useful as a GIBS layer.</x:v>
      </x:c>
      <x:c r="E882" s="12" t="str">
        <x:v>If the NRT SMAP is of interest, provide input to Matt Cechini on what imagery would be most useful as a GIBS layer.</x:v>
      </x:c>
      <x:c r="F882" s="12" t="str">
        <x:v>Action</x:v>
      </x:c>
      <x:c r="G882" s="12" t="str">
        <x:v>LANCE User Working Group</x:v>
      </x:c>
      <x:c r="H882" s="12" t="n">
        <x:v>2021</x:v>
      </x:c>
      <x:c r="I882" s="12" t="str">
        <x:v>Operational and near-real-time users</x:v>
      </x:c>
      <x:c r="J882" s="12" t="str">
        <x:v>High</x:v>
      </x:c>
      <x:c r="K882" s="16" t="n">
        <x:v>0.75</x:v>
      </x:c>
      <x:c r="L882" s="12" t="str">
        <x:v>LSA similarity cluster; human review pending</x:v>
      </x:c>
      <x:c r="M882" s="12" t="str">
        <x:v>Section: 6.2.6 Appendix 1: Action Items</x:v>
      </x:c>
      <x:c r="N882" s="12" t="str"/>
      <x:c r="O882" s="12" t="str">
        <x:v>No</x:v>
      </x:c>
      <x:c r="P882" s="12" t="str">
        <x:v>No</x:v>
      </x:c>
      <x:c r="Q882" s="12"/>
      <x:c r="R882" s="12"/>
    </x:row>
    <x:row r="883">
      <x:c r="A883" s="12" t="str">
        <x:v>EVD-00882</x:v>
      </x:c>
      <x:c r="B883" s="12" t="str">
        <x:v>NEED-0117</x:v>
      </x:c>
      <x:c r="C883" s="12" t="str">
        <x:v>SRC-0001</x:v>
      </x:c>
      <x:c r="D883" s="12" t="str">
        <x:v>LANCE to set up a discussion with Maggie Glasscoe to see how LANCE data can be integrated into the flood risk Model of Models approach, to provide outputs to the Pacific Disaster Center.</x:v>
      </x:c>
      <x:c r="E883" s="12" t="str">
        <x:v>LANCE to set up a discussion with Maggie Glasscoe to see how LANCE data can be integrated into the flood risk Model of Models approach, to provide outputs to the Pacific Disaster Center.</x:v>
      </x:c>
      <x:c r="F883" s="12" t="str">
        <x:v>Action</x:v>
      </x:c>
      <x:c r="G883" s="12" t="str">
        <x:v>LANCE User Working Group</x:v>
      </x:c>
      <x:c r="H883" s="12" t="n">
        <x:v>2021</x:v>
      </x:c>
      <x:c r="I883" s="12" t="str">
        <x:v>Operational and near-real-time users</x:v>
      </x:c>
      <x:c r="J883" s="12" t="str">
        <x:v>High</x:v>
      </x:c>
      <x:c r="K883" s="16" t="n">
        <x:v>0.75</x:v>
      </x:c>
      <x:c r="L883" s="12" t="str">
        <x:v>LSA similarity cluster; human review pending</x:v>
      </x:c>
      <x:c r="M883" s="12" t="str">
        <x:v>Section: 6.2.6 Appendix 1: Action Items</x:v>
      </x:c>
      <x:c r="N883" s="12" t="str"/>
      <x:c r="O883" s="12" t="str">
        <x:v>No</x:v>
      </x:c>
      <x:c r="P883" s="12" t="str">
        <x:v>No</x:v>
      </x:c>
      <x:c r="Q883" s="12"/>
      <x:c r="R883" s="12"/>
    </x:row>
    <x:row r="884">
      <x:c r="A884" s="12" t="str">
        <x:v>EVD-00883</x:v>
      </x:c>
      <x:c r="B884" s="12" t="str">
        <x:v>NEED-0182</x:v>
      </x:c>
      <x:c r="C884" s="12" t="str">
        <x:v>SRC-0001</x:v>
      </x:c>
      <x:c r="D884" s="12" t="str">
        <x:v>Follow up with Katie Baynes/NASA HQ on Miguel’s questions – will there be a “mission enabling” role for LANCE – similar to the role of Direct Readout in the early days of EOS? Katie mentioned that understanding the service role the ESO, and what role LANCE might play in that, will help re-frame the future LANCE.</x:v>
      </x:c>
      <x:c r="E884" s="12" t="str">
        <x:v>Follow up with Katie Baynes/NASA HQ on Miguel’s questions – will there be a “mission enabling” role for LANCE – similar to the role of Direct Readout in the early days of EOS? Katie mentioned that understanding the service role the ESO, and what role LANCE might play in that, will help re-frame the future LANCE.</x:v>
      </x:c>
      <x:c r="F884" s="12" t="str">
        <x:v>Action</x:v>
      </x:c>
      <x:c r="G884" s="12" t="str">
        <x:v>LANCE User Working Group</x:v>
      </x:c>
      <x:c r="H884" s="12" t="n">
        <x:v>2021</x:v>
      </x:c>
      <x:c r="I884" s="12" t="str">
        <x:v>Operational and near-real-time users; Data producers and mission teams</x:v>
      </x:c>
      <x:c r="J884" s="12" t="str">
        <x:v>Medium</x:v>
      </x:c>
      <x:c r="K884" s="16" t="n">
        <x:v>0.75</x:v>
      </x:c>
      <x:c r="L884" s="12" t="str">
        <x:v>LSA similarity cluster; human review pending</x:v>
      </x:c>
      <x:c r="M884" s="12" t="str">
        <x:v>Section: 6.2.6 Appendix 1: Action Items</x:v>
      </x:c>
      <x:c r="N884" s="12" t="str"/>
      <x:c r="O884" s="12" t="str">
        <x:v>No</x:v>
      </x:c>
      <x:c r="P884" s="12" t="str">
        <x:v>No</x:v>
      </x:c>
      <x:c r="Q884" s="12"/>
      <x:c r="R884" s="12"/>
    </x:row>
    <x:row r="885">
      <x:c r="A885" s="12" t="str">
        <x:v>EVD-00884</x:v>
      </x:c>
      <x:c r="B885" s="12" t="str">
        <x:v>NEED-0072</x:v>
      </x:c>
      <x:c r="C885" s="12" t="str">
        <x:v>SRC-0001</x:v>
      </x:c>
      <x:c r="D885" s="12" t="str">
        <x:v>Action for Nathan Kurtz to write an overview on what ICESat ice products offer over the optical ice products already available from MODIS and VIIRS.</x:v>
      </x:c>
      <x:c r="E885" s="12" t="str">
        <x:v>Action for Nathan Kurtz to write an overview on what ICESat ice products offer over the optical ice products already available from MODIS and VIIRS.</x:v>
      </x:c>
      <x:c r="F885" s="12" t="str">
        <x:v>Action</x:v>
      </x:c>
      <x:c r="G885" s="12" t="str">
        <x:v>LANCE User Working Group</x:v>
      </x:c>
      <x:c r="H885" s="12" t="n">
        <x:v>2021</x:v>
      </x:c>
      <x:c r="I885" s="12" t="str">
        <x:v>Earthdata users</x:v>
      </x:c>
      <x:c r="J885" s="12" t="str">
        <x:v>Medium</x:v>
      </x:c>
      <x:c r="K885" s="16" t="n">
        <x:v>0.75</x:v>
      </x:c>
      <x:c r="L885" s="12" t="str">
        <x:v>LSA similarity cluster; human review pending</x:v>
      </x:c>
      <x:c r="M885" s="12" t="str">
        <x:v>Section: 6.2.6 Appendix 1: Action Items</x:v>
      </x:c>
      <x:c r="N885" s="12" t="str"/>
      <x:c r="O885" s="12" t="str">
        <x:v>No</x:v>
      </x:c>
      <x:c r="P885" s="12" t="str">
        <x:v>No</x:v>
      </x:c>
      <x:c r="Q885" s="12"/>
      <x:c r="R885" s="12"/>
    </x:row>
    <x:row r="886">
      <x:c r="A886" s="12" t="str">
        <x:v>EVD-00885</x:v>
      </x:c>
      <x:c r="B886" s="12" t="str">
        <x:v>NEED-0176</x:v>
      </x:c>
      <x:c r="C886" s="12" t="str">
        <x:v>SRC-0001</x:v>
      </x:c>
      <x:c r="D886" s="12" t="str">
        <x:v>Action to see better communication with the PIs when products are updated in GIBS/Worldview. Work with PIs Crystal expressed a desire to see better communication with PIs about updates to GIBS.</x:v>
      </x:c>
      <x:c r="E886" s="12" t="str">
        <x:v>Action to see better communication with the PIs when products are updated in GIBS/Worldview. Work with PIs Crystal expressed a desire to see better communication with PIs about updates to GIBS.</x:v>
      </x:c>
      <x:c r="F886" s="12" t="str">
        <x:v>Action</x:v>
      </x:c>
      <x:c r="G886" s="12" t="str">
        <x:v>LANCE User Working Group</x:v>
      </x:c>
      <x:c r="H886" s="12" t="n">
        <x:v>2021</x:v>
      </x:c>
      <x:c r="I886" s="12" t="str">
        <x:v>Earthdata users</x:v>
      </x:c>
      <x:c r="J886" s="12" t="str">
        <x:v>Medium</x:v>
      </x:c>
      <x:c r="K886" s="16" t="n">
        <x:v>0.75</x:v>
      </x:c>
      <x:c r="L886" s="12" t="str">
        <x:v>LSA similarity cluster; human review pending</x:v>
      </x:c>
      <x:c r="M886" s="12" t="str">
        <x:v>Section: 6.2.6 Appendix 1: Action Items</x:v>
      </x:c>
      <x:c r="N886" s="12" t="str"/>
      <x:c r="O886" s="12" t="str">
        <x:v>No</x:v>
      </x:c>
      <x:c r="P886" s="12" t="str">
        <x:v>No</x:v>
      </x:c>
      <x:c r="Q886" s="12"/>
      <x:c r="R886" s="12"/>
    </x:row>
    <x:row r="887">
      <x:c r="A887" s="12" t="str">
        <x:v>EVD-00886</x:v>
      </x:c>
      <x:c r="B887" s="12" t="str">
        <x:v>NEED-0127</x:v>
      </x:c>
      <x:c r="C887" s="12" t="str">
        <x:v>SRC-0001</x:v>
      </x:c>
      <x:c r="D887" s="12" t="str">
        <x:v>Fritz and Miguel to follow up on what could be used for flood to fill the gap once MODIS Terra is no longer operational.</x:v>
      </x:c>
      <x:c r="E887" s="12" t="str">
        <x:v>Fritz and Miguel to follow up on what could be used for flood to fill the gap once MODIS Terra is no longer operational.</x:v>
      </x:c>
      <x:c r="F887" s="12" t="str">
        <x:v>Action</x:v>
      </x:c>
      <x:c r="G887" s="12" t="str">
        <x:v>LANCE User Working Group</x:v>
      </x:c>
      <x:c r="H887" s="12" t="n">
        <x:v>2021</x:v>
      </x:c>
      <x:c r="I887" s="12" t="str">
        <x:v>Operational and near-real-time users</x:v>
      </x:c>
      <x:c r="J887" s="12" t="str">
        <x:v>Medium</x:v>
      </x:c>
      <x:c r="K887" s="16" t="n">
        <x:v>0.75</x:v>
      </x:c>
      <x:c r="L887" s="12" t="str">
        <x:v>LSA similarity cluster; human review pending</x:v>
      </x:c>
      <x:c r="M887" s="12" t="str">
        <x:v>Section: 6.2.6 Appendix 1: Action Items</x:v>
      </x:c>
      <x:c r="N887" s="12" t="str"/>
      <x:c r="O887" s="12" t="str">
        <x:v>No</x:v>
      </x:c>
      <x:c r="P887" s="12" t="str">
        <x:v>No</x:v>
      </x:c>
      <x:c r="Q887" s="12"/>
      <x:c r="R887" s="12"/>
    </x:row>
    <x:row r="888">
      <x:c r="A888" s="12" t="str">
        <x:v>EVD-00887</x:v>
      </x:c>
      <x:c r="B888" s="12" t="str">
        <x:v>NEED-0001</x:v>
      </x:c>
      <x:c r="C888" s="12" t="str">
        <x:v>SRC-0001</x:v>
      </x:c>
      <x:c r="D888" s="12" t="str">
        <x:v>Karen to initiate discussion with NOAA to share best practices and lessons learned from AWS/DB/ultra-low latency approach. Action for Steve Miller to find a NOAA point of contact for this.</x:v>
      </x:c>
      <x:c r="E888" s="12" t="str">
        <x:v>Karen to initiate discussion with NOAA to share best practices and lessons learned from AWS/DB/ultra-low latency approach. Action for Steve Miller to find a NOAA point of contact for this.</x:v>
      </x:c>
      <x:c r="F888" s="12" t="str">
        <x:v>Action</x:v>
      </x:c>
      <x:c r="G888" s="12" t="str">
        <x:v>LANCE User Working Group</x:v>
      </x:c>
      <x:c r="H888" s="12" t="n">
        <x:v>2021</x:v>
      </x:c>
      <x:c r="I888" s="12" t="str">
        <x:v>Cloud-native researchers</x:v>
      </x:c>
      <x:c r="J888" s="12" t="str">
        <x:v>Medium</x:v>
      </x:c>
      <x:c r="K888" s="16" t="n">
        <x:v>0.75</x:v>
      </x:c>
      <x:c r="L888" s="12" t="str">
        <x:v>LSA similarity cluster; human review pending</x:v>
      </x:c>
      <x:c r="M888" s="12" t="str">
        <x:v>Section: 6.2.6 Appendix 1: Action Items</x:v>
      </x:c>
      <x:c r="N888" s="12" t="str"/>
      <x:c r="O888" s="12" t="str">
        <x:v>No</x:v>
      </x:c>
      <x:c r="P888" s="12" t="str">
        <x:v>No</x:v>
      </x:c>
      <x:c r="Q888" s="12"/>
      <x:c r="R888" s="12"/>
    </x:row>
    <x:row r="889">
      <x:c r="A889" s="12" t="str">
        <x:v>EVD-00888</x:v>
      </x:c>
      <x:c r="B889" s="12" t="str">
        <x:v>NEED-0127</x:v>
      </x:c>
      <x:c r="C889" s="12" t="str">
        <x:v>SRC-0001</x:v>
      </x:c>
      <x:c r="D889" s="12" t="str">
        <x:v>David Green encouraged Andrew Molthan and others from Disasters to get involved in exploring how triggered DB data might be used for disasters.</x:v>
      </x:c>
      <x:c r="E889" s="12" t="str">
        <x:v>David Green encouraged Andrew Molthan and others from Disasters to get involved in exploring how triggered DB data might be used for disasters.</x:v>
      </x:c>
      <x:c r="F889" s="12" t="str">
        <x:v>Action</x:v>
      </x:c>
      <x:c r="G889" s="12" t="str">
        <x:v>LANCE User Working Group</x:v>
      </x:c>
      <x:c r="H889" s="12" t="n">
        <x:v>2021</x:v>
      </x:c>
      <x:c r="I889" s="12" t="str">
        <x:v>Operational and near-real-time users</x:v>
      </x:c>
      <x:c r="J889" s="12" t="str">
        <x:v>Medium</x:v>
      </x:c>
      <x:c r="K889" s="16" t="n">
        <x:v>0.75</x:v>
      </x:c>
      <x:c r="L889" s="12" t="str">
        <x:v>LSA similarity cluster; human review pending</x:v>
      </x:c>
      <x:c r="M889" s="12" t="str">
        <x:v>Section: 6.2.6 Appendix 1: Action Items</x:v>
      </x:c>
      <x:c r="N889" s="12" t="str"/>
      <x:c r="O889" s="12" t="str">
        <x:v>No</x:v>
      </x:c>
      <x:c r="P889" s="12" t="str">
        <x:v>No</x:v>
      </x:c>
      <x:c r="Q889" s="12"/>
      <x:c r="R889" s="12"/>
    </x:row>
    <x:row r="890">
      <x:c r="A890" s="12" t="str">
        <x:v>EVD-00889</x:v>
      </x:c>
      <x:c r="B890" s="12" t="str">
        <x:v>NEED-0125</x:v>
      </x:c>
      <x:c r="C890" s="12" t="str">
        <x:v>SRC-0001</x:v>
      </x:c>
      <x:c r="D890" s="12" t="str">
        <x:v>The design and features for the new web site were demonstrated and well-received.</x:v>
      </x:c>
      <x:c r="E890" s="12" t="str">
        <x:v>The design and features for the new web site were demonstrated and well-received.</x:v>
      </x:c>
      <x:c r="F890" s="12" t="str">
        <x:v>Recommendation</x:v>
      </x:c>
      <x:c r="G890" s="12" t="str">
        <x:v>NSIDC DAAC User Working Group</x:v>
      </x:c>
      <x:c r="H890" s="12" t="n">
        <x:v>2021</x:v>
      </x:c>
      <x:c r="I890" s="12" t="str">
        <x:v>Earthdata users</x:v>
      </x:c>
      <x:c r="J890" s="12" t="str">
        <x:v>Medium</x:v>
      </x:c>
      <x:c r="K890" s="16" t="n">
        <x:v>0.75</x:v>
      </x:c>
      <x:c r="L890" s="12" t="str">
        <x:v>LSA similarity cluster; human review pending</x:v>
      </x:c>
      <x:c r="M890" s="12" t="str">
        <x:v>Section: 9.2 Key Findings and Recommendations</x:v>
      </x:c>
      <x:c r="N890" s="12" t="str"/>
      <x:c r="O890" s="12" t="str">
        <x:v>No</x:v>
      </x:c>
      <x:c r="P890" s="12" t="str">
        <x:v>No</x:v>
      </x:c>
      <x:c r="Q890" s="12"/>
      <x:c r="R890" s="12"/>
    </x:row>
    <x:row r="891">
      <x:c r="A891" s="12" t="str">
        <x:v>EVD-00890</x:v>
      </x:c>
      <x:c r="B891" s="12" t="str">
        <x:v>NEED-0141</x:v>
      </x:c>
      <x:c r="C891" s="12" t="str">
        <x:v>SRC-0001</x:v>
      </x:c>
      <x:c r="D891" s="12" t="str">
        <x:v>Surveyed the UWG on how to prioritize target audiences to grow use of DAAC data, sample data images, and content for news and stories. Survey results:</x:v>
      </x:c>
      <x:c r="E891" s="12" t="str">
        <x:v>Surveyed the UWG on how to prioritize target audiences to grow use of DAAC data, sample data images, and content for news and stories. Survey results:</x:v>
      </x:c>
      <x:c r="F891" s="12" t="str">
        <x:v>Recommendation</x:v>
      </x:c>
      <x:c r="G891" s="12" t="str">
        <x:v>NSIDC DAAC User Working Group</x:v>
      </x:c>
      <x:c r="H891" s="12" t="n">
        <x:v>2021</x:v>
      </x:c>
      <x:c r="I891" s="12" t="str">
        <x:v>Earthdata users</x:v>
      </x:c>
      <x:c r="J891" s="12" t="str">
        <x:v>Medium</x:v>
      </x:c>
      <x:c r="K891" s="16" t="n">
        <x:v>0.75</x:v>
      </x:c>
      <x:c r="L891" s="12" t="str">
        <x:v>LSA similarity cluster; human review pending</x:v>
      </x:c>
      <x:c r="M891" s="12" t="str">
        <x:v>Section: 9.2 Key Findings and Recommendations</x:v>
      </x:c>
      <x:c r="N891" s="12" t="str"/>
      <x:c r="O891" s="12" t="str">
        <x:v>No</x:v>
      </x:c>
      <x:c r="P891" s="12" t="str">
        <x:v>No</x:v>
      </x:c>
      <x:c r="Q891" s="12"/>
      <x:c r="R891" s="12"/>
    </x:row>
    <x:row r="892">
      <x:c r="A892" s="12" t="str">
        <x:v>EVD-00891</x:v>
      </x:c>
      <x:c r="B892" s="12" t="str">
        <x:v>NEED-0141</x:v>
      </x:c>
      <x:c r="C892" s="12" t="str">
        <x:v>SRC-0001</x:v>
      </x:c>
      <x:c r="D892" s="12" t="str">
        <x:v>Use in university and college programs.</x:v>
      </x:c>
      <x:c r="E892" s="12" t="str">
        <x:v>Use in university and college programs.</x:v>
      </x:c>
      <x:c r="F892" s="12" t="str">
        <x:v>Recommendation</x:v>
      </x:c>
      <x:c r="G892" s="12" t="str">
        <x:v>NSIDC DAAC User Working Group</x:v>
      </x:c>
      <x:c r="H892" s="12" t="n">
        <x:v>2021</x:v>
      </x:c>
      <x:c r="I892" s="12" t="str">
        <x:v>Earthdata users</x:v>
      </x:c>
      <x:c r="J892" s="12" t="str">
        <x:v>Medium</x:v>
      </x:c>
      <x:c r="K892" s="16" t="n">
        <x:v>0.75</x:v>
      </x:c>
      <x:c r="L892" s="12" t="str">
        <x:v>LSA similarity cluster; human review pending</x:v>
      </x:c>
      <x:c r="M892" s="12" t="str">
        <x:v>Section: 9.2 Key Findings and Recommendations</x:v>
      </x:c>
      <x:c r="N892" s="12" t="str"/>
      <x:c r="O892" s="12" t="str">
        <x:v>No</x:v>
      </x:c>
      <x:c r="P892" s="12" t="str">
        <x:v>No</x:v>
      </x:c>
      <x:c r="Q892" s="12"/>
      <x:c r="R892" s="12"/>
    </x:row>
    <x:row r="893">
      <x:c r="A893" s="12" t="str">
        <x:v>EVD-00892</x:v>
      </x:c>
      <x:c r="B893" s="12" t="str">
        <x:v>NEED-0139</x:v>
      </x:c>
      <x:c r="C893" s="12" t="str">
        <x:v>SRC-0001</x:v>
      </x:c>
      <x:c r="D893" s="12" t="str">
        <x:v>Scientists in the cryosphere domain.</x:v>
      </x:c>
      <x:c r="E893" s="12" t="str">
        <x:v>Scientists in the cryosphere domain.</x:v>
      </x:c>
      <x:c r="F893" s="12" t="str">
        <x:v>Recommendation</x:v>
      </x:c>
      <x:c r="G893" s="12" t="str">
        <x:v>NSIDC DAAC User Working Group</x:v>
      </x:c>
      <x:c r="H893" s="12" t="n">
        <x:v>2021</x:v>
      </x:c>
      <x:c r="I893" s="12" t="str">
        <x:v>Earth science researchers</x:v>
      </x:c>
      <x:c r="J893" s="12" t="str">
        <x:v>Medium</x:v>
      </x:c>
      <x:c r="K893" s="16" t="n">
        <x:v>0.75</x:v>
      </x:c>
      <x:c r="L893" s="12" t="str">
        <x:v>LSA similarity cluster; human review pending</x:v>
      </x:c>
      <x:c r="M893" s="12" t="str">
        <x:v>Section: 9.2 Key Findings and Recommendations</x:v>
      </x:c>
      <x:c r="N893" s="12" t="str"/>
      <x:c r="O893" s="12" t="str">
        <x:v>No</x:v>
      </x:c>
      <x:c r="P893" s="12" t="str">
        <x:v>No</x:v>
      </x:c>
      <x:c r="Q893" s="12"/>
      <x:c r="R893" s="12"/>
    </x:row>
    <x:row r="894">
      <x:c r="A894" s="12" t="str">
        <x:v>EVD-00893</x:v>
      </x:c>
      <x:c r="B894" s="12" t="str">
        <x:v>NEED-0141</x:v>
      </x:c>
      <x:c r="C894" s="12" t="str">
        <x:v>SRC-0001</x:v>
      </x:c>
      <x:c r="D894" s="12" t="str">
        <x:v>Use in private sector and non-profit work.</x:v>
      </x:c>
      <x:c r="E894" s="12" t="str">
        <x:v>Use in private sector and non-profit work.</x:v>
      </x:c>
      <x:c r="F894" s="12" t="str">
        <x:v>Recommendation</x:v>
      </x:c>
      <x:c r="G894" s="12" t="str">
        <x:v>NSIDC DAAC User Working Group</x:v>
      </x:c>
      <x:c r="H894" s="12" t="n">
        <x:v>2021</x:v>
      </x:c>
      <x:c r="I894" s="12" t="str">
        <x:v>Earthdata users</x:v>
      </x:c>
      <x:c r="J894" s="12" t="str">
        <x:v>Medium</x:v>
      </x:c>
      <x:c r="K894" s="16" t="n">
        <x:v>0.75</x:v>
      </x:c>
      <x:c r="L894" s="12" t="str">
        <x:v>LSA similarity cluster; human review pending</x:v>
      </x:c>
      <x:c r="M894" s="12" t="str">
        <x:v>Section: 9.2 Key Findings and Recommendations</x:v>
      </x:c>
      <x:c r="N894" s="12" t="str"/>
      <x:c r="O894" s="12" t="str">
        <x:v>No</x:v>
      </x:c>
      <x:c r="P894" s="12" t="str">
        <x:v>No</x:v>
      </x:c>
      <x:c r="Q894" s="12"/>
      <x:c r="R894" s="12"/>
    </x:row>
    <x:row r="895">
      <x:c r="A895" s="12" t="str">
        <x:v>EVD-00894</x:v>
      </x:c>
      <x:c r="B895" s="12" t="str">
        <x:v>NEED-0139</x:v>
      </x:c>
      <x:c r="C895" s="12" t="str">
        <x:v>SRC-0001</x:v>
      </x:c>
      <x:c r="D895" s="12" t="str">
        <x:v>Scientists outside of the cryosphere domain.</x:v>
      </x:c>
      <x:c r="E895" s="12" t="str">
        <x:v>Scientists outside of the cryosphere domain.</x:v>
      </x:c>
      <x:c r="F895" s="12" t="str">
        <x:v>Recommendation</x:v>
      </x:c>
      <x:c r="G895" s="12" t="str">
        <x:v>NSIDC DAAC User Working Group</x:v>
      </x:c>
      <x:c r="H895" s="12" t="n">
        <x:v>2021</x:v>
      </x:c>
      <x:c r="I895" s="12" t="str">
        <x:v>Earth science researchers</x:v>
      </x:c>
      <x:c r="J895" s="12" t="str">
        <x:v>Medium</x:v>
      </x:c>
      <x:c r="K895" s="16" t="n">
        <x:v>0.75</x:v>
      </x:c>
      <x:c r="L895" s="12" t="str">
        <x:v>LSA similarity cluster; human review pending</x:v>
      </x:c>
      <x:c r="M895" s="12" t="str">
        <x:v>Section: 9.2 Key Findings and Recommendations</x:v>
      </x:c>
      <x:c r="N895" s="12" t="str"/>
      <x:c r="O895" s="12" t="str">
        <x:v>No</x:v>
      </x:c>
      <x:c r="P895" s="12" t="str">
        <x:v>No</x:v>
      </x:c>
      <x:c r="Q895" s="12"/>
      <x:c r="R895" s="12"/>
    </x:row>
    <x:row r="896">
      <x:c r="A896" s="12" t="str">
        <x:v>EVD-00895</x:v>
      </x:c>
      <x:c r="B896" s="12" t="str">
        <x:v>NEED-0131</x:v>
      </x:c>
      <x:c r="C896" s="12" t="str">
        <x:v>SRC-0001</x:v>
      </x:c>
      <x:c r="D896" s="12" t="str">
        <x:v>Ranked as high priority for both data set landing pages and mission level pages.</x:v>
      </x:c>
      <x:c r="E896" s="12" t="str">
        <x:v>Ranked as high priority for both data set landing pages and mission level pages.</x:v>
      </x:c>
      <x:c r="F896" s="12" t="str">
        <x:v>Recommendation</x:v>
      </x:c>
      <x:c r="G896" s="12" t="str">
        <x:v>NSIDC DAAC User Working Group</x:v>
      </x:c>
      <x:c r="H896" s="12" t="n">
        <x:v>2021</x:v>
      </x:c>
      <x:c r="I896" s="12" t="str">
        <x:v>Data producers and mission teams</x:v>
      </x:c>
      <x:c r="J896" s="12" t="str">
        <x:v>Medium</x:v>
      </x:c>
      <x:c r="K896" s="16" t="n">
        <x:v>0.75</x:v>
      </x:c>
      <x:c r="L896" s="12" t="str">
        <x:v>LSA similarity cluster; human review pending</x:v>
      </x:c>
      <x:c r="M896" s="12" t="str">
        <x:v>Section: 9.2 Key Findings and Recommendations</x:v>
      </x:c>
      <x:c r="N896" s="12" t="str"/>
      <x:c r="O896" s="12" t="str">
        <x:v>No</x:v>
      </x:c>
      <x:c r="P896" s="12" t="str">
        <x:v>No</x:v>
      </x:c>
      <x:c r="Q896" s="12"/>
      <x:c r="R896" s="12"/>
    </x:row>
    <x:row r="897">
      <x:c r="A897" s="12" t="str">
        <x:v>EVD-00896</x:v>
      </x:c>
      <x:c r="B897" s="12" t="str">
        <x:v>NEED-0131</x:v>
      </x:c>
      <x:c r="C897" s="12" t="str">
        <x:v>SRC-0001</x:v>
      </x:c>
      <x:c r="D897" s="12" t="str">
        <x:v>Images that illustrate the spatial and temporal aspects of a data set.</x:v>
      </x:c>
      <x:c r="E897" s="12" t="str">
        <x:v>Images that illustrate the spatial and temporal aspects of a data set.</x:v>
      </x:c>
      <x:c r="F897" s="12" t="str">
        <x:v>Recommendation</x:v>
      </x:c>
      <x:c r="G897" s="12" t="str">
        <x:v>NSIDC DAAC User Working Group</x:v>
      </x:c>
      <x:c r="H897" s="12" t="n">
        <x:v>2021</x:v>
      </x:c>
      <x:c r="I897" s="12" t="str">
        <x:v>Earthdata users</x:v>
      </x:c>
      <x:c r="J897" s="12" t="str">
        <x:v>Medium</x:v>
      </x:c>
      <x:c r="K897" s="16" t="n">
        <x:v>0.75</x:v>
      </x:c>
      <x:c r="L897" s="12" t="str">
        <x:v>LSA similarity cluster; human review pending</x:v>
      </x:c>
      <x:c r="M897" s="12" t="str">
        <x:v>Section: 9.2 Key Findings and Recommendations</x:v>
      </x:c>
      <x:c r="N897" s="12" t="str"/>
      <x:c r="O897" s="12" t="str">
        <x:v>No</x:v>
      </x:c>
      <x:c r="P897" s="12" t="str">
        <x:v>No</x:v>
      </x:c>
      <x:c r="Q897" s="12"/>
      <x:c r="R897" s="12"/>
    </x:row>
    <x:row r="898">
      <x:c r="A898" s="12" t="str">
        <x:v>EVD-00897</x:v>
      </x:c>
      <x:c r="B898" s="12" t="str">
        <x:v>NEED-0067</x:v>
      </x:c>
      <x:c r="C898" s="12" t="str">
        <x:v>SRC-0001</x:v>
      </x:c>
      <x:c r="D898" s="12" t="str">
        <x:v>Data used in published research 100%</x:v>
      </x:c>
      <x:c r="E898" s="12" t="str">
        <x:v>Data used in published research 100%</x:v>
      </x:c>
      <x:c r="F898" s="12" t="str">
        <x:v>Recommendation</x:v>
      </x:c>
      <x:c r="G898" s="12" t="str">
        <x:v>NSIDC DAAC User Working Group</x:v>
      </x:c>
      <x:c r="H898" s="12" t="n">
        <x:v>2021</x:v>
      </x:c>
      <x:c r="I898" s="12" t="str">
        <x:v>Earth science researchers</x:v>
      </x:c>
      <x:c r="J898" s="12" t="str">
        <x:v>Medium</x:v>
      </x:c>
      <x:c r="K898" s="16" t="n">
        <x:v>0.55</x:v>
      </x:c>
      <x:c r="L898" s="12" t="str">
        <x:v>LSA similarity cluster; human review pending</x:v>
      </x:c>
      <x:c r="M898" s="12" t="str">
        <x:v>Section: 9.2 Key Findings and Recommendations</x:v>
      </x:c>
      <x:c r="N898" s="12" t="str"/>
      <x:c r="O898" s="12" t="str">
        <x:v>No</x:v>
      </x:c>
      <x:c r="P898" s="12" t="str">
        <x:v>No</x:v>
      </x:c>
      <x:c r="Q898" s="12"/>
      <x:c r="R898" s="12"/>
    </x:row>
    <x:row r="899">
      <x:c r="A899" s="12" t="str">
        <x:v>EVD-00898</x:v>
      </x:c>
      <x:c r="B899" s="12" t="str">
        <x:v>NEED-0140</x:v>
      </x:c>
      <x:c r="C899" s="12" t="str">
        <x:v>SRC-0001</x:v>
      </x:c>
      <x:c r="D899" s="12" t="str">
        <x:v>Updates/announcements 75%</x:v>
      </x:c>
      <x:c r="E899" s="12" t="str">
        <x:v>Updates/announcements 75%</x:v>
      </x:c>
      <x:c r="F899" s="12" t="str">
        <x:v>Recommendation</x:v>
      </x:c>
      <x:c r="G899" s="12" t="str">
        <x:v>NSIDC DAAC User Working Group</x:v>
      </x:c>
      <x:c r="H899" s="12" t="n">
        <x:v>2021</x:v>
      </x:c>
      <x:c r="I899" s="12" t="str">
        <x:v>Earthdata users</x:v>
      </x:c>
      <x:c r="J899" s="12" t="str">
        <x:v>Medium</x:v>
      </x:c>
      <x:c r="K899" s="16" t="n">
        <x:v>0.75</x:v>
      </x:c>
      <x:c r="L899" s="12" t="str">
        <x:v>LSA similarity cluster; human review pending</x:v>
      </x:c>
      <x:c r="M899" s="12" t="str">
        <x:v>Section: 9.2 Key Findings and Recommendations</x:v>
      </x:c>
      <x:c r="N899" s="12" t="str"/>
      <x:c r="O899" s="12" t="str">
        <x:v>No</x:v>
      </x:c>
      <x:c r="P899" s="12" t="str">
        <x:v>No</x:v>
      </x:c>
      <x:c r="Q899" s="12"/>
      <x:c r="R899" s="12"/>
    </x:row>
    <x:row r="900">
      <x:c r="A900" s="12" t="str">
        <x:v>EVD-00899</x:v>
      </x:c>
      <x:c r="B900" s="12" t="str">
        <x:v>NEED-0194</x:v>
      </x:c>
      <x:c r="C900" s="12" t="str">
        <x:v>SRC-0001</x:v>
      </x:c>
      <x:c r="D900" s="12" t="str">
        <x:v>Data used in hackathons and workshops 71%</x:v>
      </x:c>
      <x:c r="E900" s="12" t="str">
        <x:v>Data used in hackathons and workshops 71%</x:v>
      </x:c>
      <x:c r="F900" s="12" t="str">
        <x:v>Recommendation</x:v>
      </x:c>
      <x:c r="G900" s="12" t="str">
        <x:v>NSIDC DAAC User Working Group</x:v>
      </x:c>
      <x:c r="H900" s="12" t="n">
        <x:v>2021</x:v>
      </x:c>
      <x:c r="I900" s="12" t="str">
        <x:v>Educators and trainers</x:v>
      </x:c>
      <x:c r="J900" s="12" t="str">
        <x:v>Medium</x:v>
      </x:c>
      <x:c r="K900" s="16" t="n">
        <x:v>0.75</x:v>
      </x:c>
      <x:c r="L900" s="12" t="str">
        <x:v>LSA similarity cluster; human review pending</x:v>
      </x:c>
      <x:c r="M900" s="12" t="str">
        <x:v>Section: 9.2 Key Findings and Recommendations</x:v>
      </x:c>
      <x:c r="N900" s="12" t="str"/>
      <x:c r="O900" s="12" t="str">
        <x:v>No</x:v>
      </x:c>
      <x:c r="P900" s="12" t="str">
        <x:v>No</x:v>
      </x:c>
      <x:c r="Q900" s="12"/>
      <x:c r="R900" s="12"/>
    </x:row>
    <x:row r="901">
      <x:c r="A901" s="12" t="str">
        <x:v>EVD-00900</x:v>
      </x:c>
      <x:c r="B901" s="12" t="str">
        <x:v>NEED-0174</x:v>
      </x:c>
      <x:c r="C901" s="12" t="str">
        <x:v>SRC-0001</x:v>
      </x:c>
      <x:c r="D901" s="12" t="str">
        <x:v>Data used in undergraduate/graduate setting applications 57%</x:v>
      </x:c>
      <x:c r="E901" s="12" t="str">
        <x:v>Data used in undergraduate/graduate setting applications 57%</x:v>
      </x:c>
      <x:c r="F901" s="12" t="str">
        <x:v>Recommendation</x:v>
      </x:c>
      <x:c r="G901" s="12" t="str">
        <x:v>NSIDC DAAC User Working Group</x:v>
      </x:c>
      <x:c r="H901" s="12" t="n">
        <x:v>2021</x:v>
      </x:c>
      <x:c r="I901" s="12" t="str">
        <x:v>Earthdata users</x:v>
      </x:c>
      <x:c r="J901" s="12" t="str">
        <x:v>Medium</x:v>
      </x:c>
      <x:c r="K901" s="16" t="n">
        <x:v>0.75</x:v>
      </x:c>
      <x:c r="L901" s="12" t="str">
        <x:v>LSA similarity cluster; human review pending</x:v>
      </x:c>
      <x:c r="M901" s="12" t="str">
        <x:v>Section: 9.2 Key Findings and Recommendations</x:v>
      </x:c>
      <x:c r="N901" s="12" t="str"/>
      <x:c r="O901" s="12" t="str">
        <x:v>No</x:v>
      </x:c>
      <x:c r="P901" s="12" t="str">
        <x:v>No</x:v>
      </x:c>
      <x:c r="Q901" s="12"/>
      <x:c r="R901" s="12"/>
    </x:row>
    <x:row r="902">
      <x:c r="A902" s="12" t="str">
        <x:v>EVD-00901</x:v>
      </x:c>
      <x:c r="B902" s="12" t="str">
        <x:v>NEED-0131</x:v>
      </x:c>
      <x:c r="C902" s="12" t="str">
        <x:v>SRC-0001</x:v>
      </x:c>
      <x:c r="D902" s="12" t="str">
        <x:v>In FY2022, NSIDC DAAC will apply the model established in FY21 to curate strengths and limitations.</x:v>
      </x:c>
      <x:c r="E902" s="12" t="str">
        <x:v>In FY2022, NSIDC DAAC will apply the model established in FY21 to curate strengths and limitations.</x:v>
      </x:c>
      <x:c r="F902" s="12" t="str">
        <x:v>Recommendation</x:v>
      </x:c>
      <x:c r="G902" s="12" t="str">
        <x:v>NSIDC DAAC User Working Group</x:v>
      </x:c>
      <x:c r="H902" s="12" t="n">
        <x:v>2021</x:v>
      </x:c>
      <x:c r="I902" s="12" t="str">
        <x:v>Earthdata users</x:v>
      </x:c>
      <x:c r="J902" s="12" t="str">
        <x:v>Medium</x:v>
      </x:c>
      <x:c r="K902" s="16" t="n">
        <x:v>0.75</x:v>
      </x:c>
      <x:c r="L902" s="12" t="str">
        <x:v>LSA similarity cluster; human review pending</x:v>
      </x:c>
      <x:c r="M902" s="12" t="str">
        <x:v>Section: 9.2 Key Findings and Recommendations</x:v>
      </x:c>
      <x:c r="N902" s="12" t="str"/>
      <x:c r="O902" s="12" t="str">
        <x:v>No</x:v>
      </x:c>
      <x:c r="P902" s="12" t="str">
        <x:v>No</x:v>
      </x:c>
      <x:c r="Q902" s="12"/>
      <x:c r="R902" s="12"/>
    </x:row>
    <x:row r="903">
      <x:c r="A903" s="12" t="str">
        <x:v>EVD-00902</x:v>
      </x:c>
      <x:c r="B903" s="12" t="str">
        <x:v>NEED-0074</x:v>
      </x:c>
      <x:c r="C903" s="12" t="str">
        <x:v>SRC-0001</x:v>
      </x:c>
      <x:c r="D903" s="12" t="str">
        <x:v>Surveyed the UWG on which data products or collections of products should be prioritized for the curation of strengths and limitations information. Survey results:</x:v>
      </x:c>
      <x:c r="E903" s="12" t="str">
        <x:v>Surveyed the UWG on which data products or collections of products should be prioritized for the curation of strengths and limitations information. Survey results:</x:v>
      </x:c>
      <x:c r="F903" s="12" t="str">
        <x:v>Recommendation</x:v>
      </x:c>
      <x:c r="G903" s="12" t="str">
        <x:v>NSIDC DAAC User Working Group</x:v>
      </x:c>
      <x:c r="H903" s="12" t="n">
        <x:v>2021</x:v>
      </x:c>
      <x:c r="I903" s="12" t="str">
        <x:v>Earthdata users</x:v>
      </x:c>
      <x:c r="J903" s="12" t="str">
        <x:v>High</x:v>
      </x:c>
      <x:c r="K903" s="16" t="n">
        <x:v>0.75</x:v>
      </x:c>
      <x:c r="L903" s="12" t="str">
        <x:v>LSA similarity cluster; human review pending</x:v>
      </x:c>
      <x:c r="M903" s="12" t="str">
        <x:v>Section: 9.2 Key Findings and Recommendations</x:v>
      </x:c>
      <x:c r="N903" s="12" t="str"/>
      <x:c r="O903" s="12" t="str">
        <x:v>No</x:v>
      </x:c>
      <x:c r="P903" s="12" t="str">
        <x:v>No</x:v>
      </x:c>
      <x:c r="Q903" s="12"/>
      <x:c r="R903" s="12"/>
    </x:row>
    <x:row r="904">
      <x:c r="A904" s="12" t="str">
        <x:v>EVD-00903</x:v>
      </x:c>
      <x:c r="B904" s="12" t="str">
        <x:v>NEED-0074</x:v>
      </x:c>
      <x:c r="C904" s="12" t="str">
        <x:v>SRC-0001</x:v>
      </x:c>
      <x:c r="D904" s="12" t="str">
        <x:v>Focus on data products that cover similar parameters (e.g., snow).</x:v>
      </x:c>
      <x:c r="E904" s="12" t="str">
        <x:v>Focus on data products that cover similar parameters (e.g., snow).</x:v>
      </x:c>
      <x:c r="F904" s="12" t="str">
        <x:v>Recommendation</x:v>
      </x:c>
      <x:c r="G904" s="12" t="str">
        <x:v>NSIDC DAAC User Working Group</x:v>
      </x:c>
      <x:c r="H904" s="12" t="n">
        <x:v>2021</x:v>
      </x:c>
      <x:c r="I904" s="12" t="str">
        <x:v>Earthdata users</x:v>
      </x:c>
      <x:c r="J904" s="12" t="str">
        <x:v>Medium</x:v>
      </x:c>
      <x:c r="K904" s="16" t="n">
        <x:v>0.75</x:v>
      </x:c>
      <x:c r="L904" s="12" t="str">
        <x:v>LSA similarity cluster; human review pending</x:v>
      </x:c>
      <x:c r="M904" s="12" t="str">
        <x:v>Section: 9.2 Key Findings and Recommendations</x:v>
      </x:c>
      <x:c r="N904" s="12" t="str"/>
      <x:c r="O904" s="12" t="str">
        <x:v>No</x:v>
      </x:c>
      <x:c r="P904" s="12" t="str">
        <x:v>No</x:v>
      </x:c>
      <x:c r="Q904" s="12"/>
      <x:c r="R904" s="12"/>
    </x:row>
    <x:row r="905">
      <x:c r="A905" s="12" t="str">
        <x:v>EVD-00904</x:v>
      </x:c>
      <x:c r="B905" s="12" t="str">
        <x:v>NEED-0022</x:v>
      </x:c>
      <x:c r="C905" s="12" t="str">
        <x:v>SRC-0001</x:v>
      </x:c>
      <x:c r="D905" s="12" t="str">
        <x:v>Prioritize by download statistics mixed with DAAC personnel judgement.</x:v>
      </x:c>
      <x:c r="E905" s="12" t="str">
        <x:v>Prioritize by download statistics mixed with DAAC personnel judgement.</x:v>
      </x:c>
      <x:c r="F905" s="12" t="str">
        <x:v>Recommendation</x:v>
      </x:c>
      <x:c r="G905" s="12" t="str">
        <x:v>NSIDC DAAC User Working Group</x:v>
      </x:c>
      <x:c r="H905" s="12" t="n">
        <x:v>2021</x:v>
      </x:c>
      <x:c r="I905" s="12" t="str">
        <x:v>Earthdata users</x:v>
      </x:c>
      <x:c r="J905" s="12" t="str">
        <x:v>Medium</x:v>
      </x:c>
      <x:c r="K905" s="16" t="n">
        <x:v>0.75</x:v>
      </x:c>
      <x:c r="L905" s="12" t="str">
        <x:v>LSA similarity cluster; human review pending</x:v>
      </x:c>
      <x:c r="M905" s="12" t="str">
        <x:v>Section: 9.2 Key Findings and Recommendations</x:v>
      </x:c>
      <x:c r="N905" s="12" t="str"/>
      <x:c r="O905" s="12" t="str">
        <x:v>No</x:v>
      </x:c>
      <x:c r="P905" s="12" t="str">
        <x:v>No</x:v>
      </x:c>
      <x:c r="Q905" s="12"/>
      <x:c r="R905" s="12"/>
    </x:row>
    <x:row r="906">
      <x:c r="A906" s="12" t="str">
        <x:v>EVD-00905</x:v>
      </x:c>
      <x:c r="B906" s="12" t="str">
        <x:v>NEED-0074</x:v>
      </x:c>
      <x:c r="C906" s="12" t="str">
        <x:v>SRC-0001</x:v>
      </x:c>
      <x:c r="D906" s="12" t="str">
        <x:v>Most popular data products.</x:v>
      </x:c>
      <x:c r="E906" s="12" t="str">
        <x:v>Most popular data products.</x:v>
      </x:c>
      <x:c r="F906" s="12" t="str">
        <x:v>Recommendation</x:v>
      </x:c>
      <x:c r="G906" s="12" t="str">
        <x:v>NSIDC DAAC User Working Group</x:v>
      </x:c>
      <x:c r="H906" s="12" t="n">
        <x:v>2021</x:v>
      </x:c>
      <x:c r="I906" s="12" t="str">
        <x:v>Earthdata users</x:v>
      </x:c>
      <x:c r="J906" s="12" t="str">
        <x:v>Medium</x:v>
      </x:c>
      <x:c r="K906" s="16" t="n">
        <x:v>0.75</x:v>
      </x:c>
      <x:c r="L906" s="12" t="str">
        <x:v>LSA similarity cluster; human review pending</x:v>
      </x:c>
      <x:c r="M906" s="12" t="str">
        <x:v>Section: 9.2 Key Findings and Recommendations</x:v>
      </x:c>
      <x:c r="N906" s="12" t="str"/>
      <x:c r="O906" s="12" t="str">
        <x:v>No</x:v>
      </x:c>
      <x:c r="P906" s="12" t="str">
        <x:v>No</x:v>
      </x:c>
      <x:c r="Q906" s="12"/>
      <x:c r="R906" s="12"/>
    </x:row>
    <x:row r="907">
      <x:c r="A907" s="12" t="str">
        <x:v>EVD-00906</x:v>
      </x:c>
      <x:c r="B907" s="12" t="str">
        <x:v>NEED-0074</x:v>
      </x:c>
      <x:c r="C907" s="12" t="str">
        <x:v>SRC-0001</x:v>
      </x:c>
      <x:c r="D907" s="12" t="str">
        <x:v>Data products with clear limitations brought up users in the past.</x:v>
      </x:c>
      <x:c r="E907" s="12" t="str">
        <x:v>Data products with clear limitations brought up users in the past.</x:v>
      </x:c>
      <x:c r="F907" s="12" t="str">
        <x:v>Recommendation</x:v>
      </x:c>
      <x:c r="G907" s="12" t="str">
        <x:v>NSIDC DAAC User Working Group</x:v>
      </x:c>
      <x:c r="H907" s="12" t="n">
        <x:v>2021</x:v>
      </x:c>
      <x:c r="I907" s="12" t="str">
        <x:v>Earthdata users</x:v>
      </x:c>
      <x:c r="J907" s="12" t="str">
        <x:v>Medium</x:v>
      </x:c>
      <x:c r="K907" s="16" t="n">
        <x:v>0.75</x:v>
      </x:c>
      <x:c r="L907" s="12" t="str">
        <x:v>LSA similarity cluster; human review pending</x:v>
      </x:c>
      <x:c r="M907" s="12" t="str">
        <x:v>Section: 9.2 Key Findings and Recommendations</x:v>
      </x:c>
      <x:c r="N907" s="12" t="str"/>
      <x:c r="O907" s="12" t="str">
        <x:v>No</x:v>
      </x:c>
      <x:c r="P907" s="12" t="str">
        <x:v>No</x:v>
      </x:c>
      <x:c r="Q907" s="12"/>
      <x:c r="R907" s="12"/>
    </x:row>
    <x:row r="908">
      <x:c r="A908" s="12" t="str">
        <x:v>EVD-00907</x:v>
      </x:c>
      <x:c r="B908" s="12" t="str">
        <x:v>NEED-0072</x:v>
      </x:c>
      <x:c r="C908" s="12" t="str">
        <x:v>SRC-0001</x:v>
      </x:c>
      <x:c r="D908" s="12" t="str">
        <x:v>ATL08 as the most used ICESat-2 product.</x:v>
      </x:c>
      <x:c r="E908" s="12" t="str">
        <x:v>ATL08 as the most used ICESat-2 product.</x:v>
      </x:c>
      <x:c r="F908" s="12" t="str">
        <x:v>Recommendation</x:v>
      </x:c>
      <x:c r="G908" s="12" t="str">
        <x:v>NSIDC DAAC User Working Group</x:v>
      </x:c>
      <x:c r="H908" s="12" t="n">
        <x:v>2021</x:v>
      </x:c>
      <x:c r="I908" s="12" t="str">
        <x:v>Earthdata users</x:v>
      </x:c>
      <x:c r="J908" s="12" t="str">
        <x:v>Medium</x:v>
      </x:c>
      <x:c r="K908" s="16" t="n">
        <x:v>0.75</x:v>
      </x:c>
      <x:c r="L908" s="12" t="str">
        <x:v>LSA similarity cluster; human review pending</x:v>
      </x:c>
      <x:c r="M908" s="12" t="str">
        <x:v>Section: 9.2 Key Findings and Recommendations</x:v>
      </x:c>
      <x:c r="N908" s="12" t="str"/>
      <x:c r="O908" s="12" t="str">
        <x:v>No</x:v>
      </x:c>
      <x:c r="P908" s="12" t="str">
        <x:v>No</x:v>
      </x:c>
      <x:c r="Q908" s="12"/>
      <x:c r="R908" s="12"/>
    </x:row>
    <x:row r="909">
      <x:c r="A909" s="12" t="str">
        <x:v>EVD-00908</x:v>
      </x:c>
      <x:c r="B909" s="12" t="str">
        <x:v>NEED-0083</x:v>
      </x:c>
      <x:c r="C909" s="12" t="str">
        <x:v>SRC-0001</x:v>
      </x:c>
      <x:c r="D909" s="12" t="str">
        <x:v>Number of users and availability of strengths/weakness information (e.g., new data has less scientific community assessment).</x:v>
      </x:c>
      <x:c r="E909" s="12" t="str">
        <x:v>Number of users and availability of strengths/weakness information (e.g., new data has less scientific community assessment).</x:v>
      </x:c>
      <x:c r="F909" s="12" t="str">
        <x:v>Recommendation</x:v>
      </x:c>
      <x:c r="G909" s="12" t="str">
        <x:v>NSIDC DAAC User Working Group</x:v>
      </x:c>
      <x:c r="H909" s="12" t="n">
        <x:v>2021</x:v>
      </x:c>
      <x:c r="I909" s="12" t="str">
        <x:v>Earthdata users</x:v>
      </x:c>
      <x:c r="J909" s="12" t="str">
        <x:v>Medium</x:v>
      </x:c>
      <x:c r="K909" s="16" t="n">
        <x:v>0.75</x:v>
      </x:c>
      <x:c r="L909" s="12" t="str">
        <x:v>LSA similarity cluster; human review pending</x:v>
      </x:c>
      <x:c r="M909" s="12" t="str">
        <x:v>Section: 9.2 Key Findings and Recommendations</x:v>
      </x:c>
      <x:c r="N909" s="12" t="str"/>
      <x:c r="O909" s="12" t="str">
        <x:v>No</x:v>
      </x:c>
      <x:c r="P909" s="12" t="str">
        <x:v>No</x:v>
      </x:c>
      <x:c r="Q909" s="12"/>
      <x:c r="R909" s="12"/>
    </x:row>
    <x:row r="910">
      <x:c r="A910" s="12" t="str">
        <x:v>EVD-00909</x:v>
      </x:c>
      <x:c r="B910" s="12" t="str">
        <x:v>NEED-0019</x:v>
      </x:c>
      <x:c r="C910" s="12" t="str">
        <x:v>SRC-0001</x:v>
      </x:c>
      <x:c r="D910" s="12" t="str">
        <x:v>Provided a status of DAAC cloud migration and gathered UWG feedback on key decisions. It was noted that the UWG members have limited cloud experience and are not planning to be cloud early adopters.</x:v>
      </x:c>
      <x:c r="E910" s="12" t="str">
        <x:v>Provided a status of DAAC cloud migration and gathered UWG feedback on key decisions. It was noted that the UWG members have limited cloud experience and are not planning to be cloud early adopters.</x:v>
      </x:c>
      <x:c r="F910" s="12" t="str">
        <x:v>Recommendation</x:v>
      </x:c>
      <x:c r="G910" s="12" t="str">
        <x:v>NSIDC DAAC User Working Group</x:v>
      </x:c>
      <x:c r="H910" s="12" t="n">
        <x:v>2021</x:v>
      </x:c>
      <x:c r="I910" s="12" t="str">
        <x:v>Cloud-native researchers</x:v>
      </x:c>
      <x:c r="J910" s="12" t="str">
        <x:v>Medium</x:v>
      </x:c>
      <x:c r="K910" s="16" t="n">
        <x:v>0.75</x:v>
      </x:c>
      <x:c r="L910" s="12" t="str">
        <x:v>LSA similarity cluster; human review pending</x:v>
      </x:c>
      <x:c r="M910" s="12" t="str">
        <x:v>Section: 9.2 Key Findings and Recommendations</x:v>
      </x:c>
      <x:c r="N910" s="12" t="str"/>
      <x:c r="O910" s="12" t="str">
        <x:v>No</x:v>
      </x:c>
      <x:c r="P910" s="12" t="str">
        <x:v>No</x:v>
      </x:c>
      <x:c r="Q910" s="12"/>
      <x:c r="R910" s="12"/>
    </x:row>
    <x:row r="911">
      <x:c r="A911" s="12" t="str">
        <x:v>EVD-00910</x:v>
      </x:c>
      <x:c r="B911" s="12" t="str">
        <x:v>NEED-0122</x:v>
      </x:c>
      <x:c r="C911" s="12" t="str">
        <x:v>SRC-0001</x:v>
      </x:c>
      <x:c r="D911" s="12" t="str">
        <x:v>UWG priorities for migrating data align well with current DAAC criteria and priorities – focus on large missions such as ICESat-2 and SMAP.</x:v>
      </x:c>
      <x:c r="E911" s="12" t="str">
        <x:v>UWG priorities for migrating data align well with current DAAC criteria and priorities – focus on large missions such as ICESat-2 and SMAP.</x:v>
      </x:c>
      <x:c r="F911" s="12" t="str">
        <x:v>Recommendation</x:v>
      </x:c>
      <x:c r="G911" s="12" t="str">
        <x:v>NSIDC DAAC User Working Group</x:v>
      </x:c>
      <x:c r="H911" s="12" t="n">
        <x:v>2021</x:v>
      </x:c>
      <x:c r="I911" s="12" t="str">
        <x:v>Data producers and mission teams</x:v>
      </x:c>
      <x:c r="J911" s="12" t="str">
        <x:v>Medium</x:v>
      </x:c>
      <x:c r="K911" s="16" t="n">
        <x:v>0.75</x:v>
      </x:c>
      <x:c r="L911" s="12" t="str">
        <x:v>LSA similarity cluster; human review pending</x:v>
      </x:c>
      <x:c r="M911" s="12" t="str">
        <x:v>Section: 9.2 Key Findings and Recommendations</x:v>
      </x:c>
      <x:c r="N911" s="12" t="str"/>
      <x:c r="O911" s="12" t="str">
        <x:v>No</x:v>
      </x:c>
      <x:c r="P911" s="12" t="str">
        <x:v>No</x:v>
      </x:c>
      <x:c r="Q911" s="12"/>
      <x:c r="R911" s="12"/>
    </x:row>
    <x:row r="912">
      <x:c r="A912" s="12" t="str">
        <x:v>EVD-00911</x:v>
      </x:c>
      <x:c r="B912" s="12" t="str">
        <x:v>NEED-0012</x:v>
      </x:c>
      <x:c r="C912" s="12" t="str">
        <x:v>SRC-0001</x:v>
      </x:c>
      <x:c r="D912" s="12" t="str">
        <x:v>The UWG was asked to consider three scenarios for when the DAAC would make data products in the cloud publicly available. They recommended releasing some data products in the cloud even if other products for a mission were not available in the cloud, rather than waiting for an entire mission to migrate. They felt the difference in data workflows across the mission products would not be a major impediment to users.</x:v>
      </x:c>
      <x:c r="E912" s="12" t="str">
        <x:v>The UWG was asked to consider three scenarios for when the DAAC would make data products in the cloud publicly available. They recommended releasing some data products in the cloud even if other products for a mission were not available in the cloud, rather than waiting for an entire mission to migrate. They felt the difference in data workflows across the mission products would not be a major impediment to users.</x:v>
      </x:c>
      <x:c r="F912" s="12" t="str">
        <x:v>Recommendation</x:v>
      </x:c>
      <x:c r="G912" s="12" t="str">
        <x:v>NSIDC DAAC User Working Group</x:v>
      </x:c>
      <x:c r="H912" s="12" t="n">
        <x:v>2021</x:v>
      </x:c>
      <x:c r="I912" s="12" t="str">
        <x:v>Cloud-native researchers; Data producers and mission teams</x:v>
      </x:c>
      <x:c r="J912" s="12" t="str">
        <x:v>High</x:v>
      </x:c>
      <x:c r="K912" s="16" t="n">
        <x:v>0.75</x:v>
      </x:c>
      <x:c r="L912" s="12" t="str">
        <x:v>LSA similarity cluster; human review pending</x:v>
      </x:c>
      <x:c r="M912" s="12" t="str">
        <x:v>Section: 9.2 Key Findings and Recommendations</x:v>
      </x:c>
      <x:c r="N912" s="12" t="str"/>
      <x:c r="O912" s="12" t="str">
        <x:v>No</x:v>
      </x:c>
      <x:c r="P912" s="12" t="str">
        <x:v>No</x:v>
      </x:c>
      <x:c r="Q912" s="12"/>
      <x:c r="R912" s="12"/>
    </x:row>
    <x:row r="913">
      <x:c r="A913" s="12" t="str">
        <x:v>EVD-00912</x:v>
      </x:c>
      <x:c r="B913" s="12" t="str">
        <x:v>NEED-0018</x:v>
      </x:c>
      <x:c r="C913" s="12" t="str">
        <x:v>SRC-0001</x:v>
      </x:c>
      <x:c r="D913" s="12" t="str">
        <x:v>The UWG was asked to review the cloud resources on the PO.DAAC web site. Their feedback indicates that when providing information about using data in the cloud, simple graphics and highly visible ‘getting started’ information are valuable. Coordinating information and graphics across DAACs to provide consistency would also be valuable.</x:v>
      </x:c>
      <x:c r="E913" s="12" t="str">
        <x:v>The UWG was asked to review the cloud resources on the PO.DAAC web site. Their feedback indicates that when providing information about using data in the cloud, simple graphics and highly visible ‘getting started’ information are valuable. Coordinating information and graphics across DAACs to provide consistency would also be valuable.</x:v>
      </x:c>
      <x:c r="F913" s="12" t="str">
        <x:v>Recommendation</x:v>
      </x:c>
      <x:c r="G913" s="12" t="str">
        <x:v>NSIDC DAAC User Working Group</x:v>
      </x:c>
      <x:c r="H913" s="12" t="n">
        <x:v>2021</x:v>
      </x:c>
      <x:c r="I913" s="12" t="str">
        <x:v>Cloud-native researchers</x:v>
      </x:c>
      <x:c r="J913" s="12" t="str">
        <x:v>High</x:v>
      </x:c>
      <x:c r="K913" s="16" t="n">
        <x:v>0.75</x:v>
      </x:c>
      <x:c r="L913" s="12" t="str">
        <x:v>LSA similarity cluster; human review pending</x:v>
      </x:c>
      <x:c r="M913" s="12" t="str">
        <x:v>Section: 9.2 Key Findings and Recommendations</x:v>
      </x:c>
      <x:c r="N913" s="12" t="str"/>
      <x:c r="O913" s="12" t="str">
        <x:v>No</x:v>
      </x:c>
      <x:c r="P913" s="12" t="str">
        <x:v>No</x:v>
      </x:c>
      <x:c r="Q913" s="12"/>
      <x:c r="R913" s="12"/>
    </x:row>
    <x:row r="914">
      <x:c r="A914" s="12" t="str">
        <x:v>EVD-00913</x:v>
      </x:c>
      <x:c r="B914" s="12" t="str">
        <x:v>NEED-0206</x:v>
      </x:c>
      <x:c r="C914" s="12" t="str">
        <x:v>SRC-0001</x:v>
      </x:c>
      <x:c r="D914" s="12" t="str">
        <x:v>Provided updates on the self-teach and hands-on data tutorials developed and conducted during FY21.</x:v>
      </x:c>
      <x:c r="E914" s="12" t="str">
        <x:v>Provided updates on the self-teach and hands-on data tutorials developed and conducted during FY21.</x:v>
      </x:c>
      <x:c r="F914" s="12" t="str">
        <x:v>Recommendation</x:v>
      </x:c>
      <x:c r="G914" s="12" t="str">
        <x:v>NSIDC DAAC User Working Group</x:v>
      </x:c>
      <x:c r="H914" s="12" t="n">
        <x:v>2021</x:v>
      </x:c>
      <x:c r="I914" s="12" t="str">
        <x:v>Educators and trainers</x:v>
      </x:c>
      <x:c r="J914" s="12" t="str">
        <x:v>Medium</x:v>
      </x:c>
      <x:c r="K914" s="16" t="n">
        <x:v>0.55</x:v>
      </x:c>
      <x:c r="L914" s="12" t="str">
        <x:v>LSA similarity cluster; human review pending</x:v>
      </x:c>
      <x:c r="M914" s="12" t="str">
        <x:v>Section: 9.2 Key Findings and Recommendations</x:v>
      </x:c>
      <x:c r="N914" s="12" t="str"/>
      <x:c r="O914" s="12" t="str">
        <x:v>No</x:v>
      </x:c>
      <x:c r="P914" s="12" t="str">
        <x:v>No</x:v>
      </x:c>
      <x:c r="Q914" s="12"/>
      <x:c r="R914" s="12"/>
    </x:row>
    <x:row r="915">
      <x:c r="A915" s="12" t="str">
        <x:v>EVD-00914</x:v>
      </x:c>
      <x:c r="B915" s="12" t="str">
        <x:v>NEED-0041</x:v>
      </x:c>
      <x:c r="C915" s="12" t="str">
        <x:v>SRC-0001</x:v>
      </x:c>
      <x:c r="D915" s="12" t="str">
        <x:v>Produce a compilation of modular code examples as a “cookbook”, structured by common data access, analysis, and visualization operations.</x:v>
      </x:c>
      <x:c r="E915" s="12" t="str">
        <x:v>Produce a compilation of modular code examples as a “cookbook”, structured by common data access, analysis, and visualization operations.</x:v>
      </x:c>
      <x:c r="F915" s="12" t="str">
        <x:v>Recommendation</x:v>
      </x:c>
      <x:c r="G915" s="12" t="str">
        <x:v>NSIDC DAAC User Working Group</x:v>
      </x:c>
      <x:c r="H915" s="12" t="n">
        <x:v>2021</x:v>
      </x:c>
      <x:c r="I915" s="12" t="str">
        <x:v>Application developers; Earth science researchers</x:v>
      </x:c>
      <x:c r="J915" s="12" t="str">
        <x:v>Medium</x:v>
      </x:c>
      <x:c r="K915" s="16" t="n">
        <x:v>0.75</x:v>
      </x:c>
      <x:c r="L915" s="12" t="str">
        <x:v>LSA similarity cluster; human review pending</x:v>
      </x:c>
      <x:c r="M915" s="12" t="str">
        <x:v>Section: 9.2 Key Findings and Recommendations</x:v>
      </x:c>
      <x:c r="N915" s="12" t="str"/>
      <x:c r="O915" s="12" t="str">
        <x:v>No</x:v>
      </x:c>
      <x:c r="P915" s="12" t="str">
        <x:v>No</x:v>
      </x:c>
      <x:c r="Q915" s="12"/>
      <x:c r="R915" s="12"/>
    </x:row>
    <x:row r="916">
      <x:c r="A916" s="12" t="str">
        <x:v>EVD-00915</x:v>
      </x:c>
      <x:c r="B916" s="12" t="str">
        <x:v>NEED-0031</x:v>
      </x:c>
      <x:c r="C916" s="12" t="str">
        <x:v>SRC-0001</x:v>
      </x:c>
      <x:c r="D916" s="12" t="str">
        <x:v>Create guidance for users on how to access and work with NSIDC DAAC data in Google CoLab.</x:v>
      </x:c>
      <x:c r="E916" s="12" t="str">
        <x:v>Create guidance for users on how to access and work with NSIDC DAAC data in Google CoLab.</x:v>
      </x:c>
      <x:c r="F916" s="12" t="str">
        <x:v>Recommendation</x:v>
      </x:c>
      <x:c r="G916" s="12" t="str">
        <x:v>NSIDC DAAC User Working Group</x:v>
      </x:c>
      <x:c r="H916" s="12" t="n">
        <x:v>2021</x:v>
      </x:c>
      <x:c r="I916" s="12" t="str">
        <x:v>Earthdata users</x:v>
      </x:c>
      <x:c r="J916" s="12" t="str">
        <x:v>High</x:v>
      </x:c>
      <x:c r="K916" s="16" t="n">
        <x:v>0.75</x:v>
      </x:c>
      <x:c r="L916" s="12" t="str">
        <x:v>LSA similarity cluster; human review pending</x:v>
      </x:c>
      <x:c r="M916" s="12" t="str">
        <x:v>Section: 9.2 Key Findings and Recommendations</x:v>
      </x:c>
      <x:c r="N916" s="12" t="str"/>
      <x:c r="O916" s="12" t="str">
        <x:v>No</x:v>
      </x:c>
      <x:c r="P916" s="12" t="str">
        <x:v>No</x:v>
      </x:c>
      <x:c r="Q916" s="12"/>
      <x:c r="R916" s="12"/>
    </x:row>
    <x:row r="917">
      <x:c r="A917" s="12" t="str">
        <x:v>EVD-00916</x:v>
      </x:c>
      <x:c r="B917" s="12" t="str">
        <x:v>NEED-0024</x:v>
      </x:c>
      <x:c r="C917" s="12" t="str">
        <x:v>SRC-0001</x:v>
      </x:c>
      <x:c r="D917" s="12" t="str">
        <x:v>Develop a model for code contributions and tool accession, so that valuable community-developed tools can be accessed and/or supported through the NSIDC DAAC.</x:v>
      </x:c>
      <x:c r="E917" s="12" t="str">
        <x:v>Develop a model for code contributions and tool accession, so that valuable community-developed tools can be accessed and/or supported through the NSIDC DAAC.</x:v>
      </x:c>
      <x:c r="F917" s="12" t="str">
        <x:v>Recommendation</x:v>
      </x:c>
      <x:c r="G917" s="12" t="str">
        <x:v>NSIDC DAAC User Working Group</x:v>
      </x:c>
      <x:c r="H917" s="12" t="n">
        <x:v>2021</x:v>
      </x:c>
      <x:c r="I917" s="12" t="str">
        <x:v>Application developers</x:v>
      </x:c>
      <x:c r="J917" s="12" t="str">
        <x:v>High</x:v>
      </x:c>
      <x:c r="K917" s="16" t="n">
        <x:v>0.75</x:v>
      </x:c>
      <x:c r="L917" s="12" t="str">
        <x:v>LSA similarity cluster; human review pending</x:v>
      </x:c>
      <x:c r="M917" s="12" t="str">
        <x:v>Section: 9.2 Key Findings and Recommendations</x:v>
      </x:c>
      <x:c r="N917" s="12" t="str"/>
      <x:c r="O917" s="12" t="str">
        <x:v>No</x:v>
      </x:c>
      <x:c r="P917" s="12" t="str">
        <x:v>No</x:v>
      </x:c>
      <x:c r="Q917" s="12"/>
      <x:c r="R917" s="12"/>
    </x:row>
    <x:row r="918">
      <x:c r="A918" s="12" t="str">
        <x:v>EVD-00917</x:v>
      </x:c>
      <x:c r="B918" s="12" t="str">
        <x:v>NEED-0193</x:v>
      </x:c>
      <x:c r="C918" s="12" t="str">
        <x:v>SRC-0001</x:v>
      </x:c>
      <x:c r="D918" s="12" t="str">
        <x:v>Create additional tutorials and code examples in R in order to support our growing community of R users.</x:v>
      </x:c>
      <x:c r="E918" s="12" t="str">
        <x:v>Create additional tutorials and code examples in R in order to support our growing community of R users.</x:v>
      </x:c>
      <x:c r="F918" s="12" t="str">
        <x:v>Recommendation</x:v>
      </x:c>
      <x:c r="G918" s="12" t="str">
        <x:v>NSIDC DAAC User Working Group</x:v>
      </x:c>
      <x:c r="H918" s="12" t="n">
        <x:v>2021</x:v>
      </x:c>
      <x:c r="I918" s="12" t="str">
        <x:v>Application developers; Educators and trainers</x:v>
      </x:c>
      <x:c r="J918" s="12" t="str">
        <x:v>High</x:v>
      </x:c>
      <x:c r="K918" s="16" t="n">
        <x:v>0.75</x:v>
      </x:c>
      <x:c r="L918" s="12" t="str">
        <x:v>LSA similarity cluster; human review pending</x:v>
      </x:c>
      <x:c r="M918" s="12" t="str">
        <x:v>Section: 9.2 Key Findings and Recommendations</x:v>
      </x:c>
      <x:c r="N918" s="12" t="str"/>
      <x:c r="O918" s="12" t="str">
        <x:v>No</x:v>
      </x:c>
      <x:c r="P918" s="12" t="str">
        <x:v>No</x:v>
      </x:c>
      <x:c r="Q918" s="12"/>
      <x:c r="R918" s="12"/>
    </x:row>
    <x:row r="919">
      <x:c r="A919" s="12" t="str">
        <x:v>EVD-00918</x:v>
      </x:c>
      <x:c r="B919" s="12" t="str">
        <x:v>NEED-0056</x:v>
      </x:c>
      <x:c r="C919" s="12" t="str">
        <x:v>SRC-0001</x:v>
      </x:c>
      <x:c r="D919" s="12" t="str">
        <x:v>Had break-out groups to discuss: What challenges or barriers you or other researchers are encountering while trying to do open science? Which of those the DAAC and/or EOSDIS could help to remove?</x:v>
      </x:c>
      <x:c r="E919" s="12" t="str">
        <x:v>Had break-out groups to discuss: What challenges or barriers you or other researchers are encountering while trying to do open science? Which of those the DAAC and/or EOSDIS could help to remove?</x:v>
      </x:c>
      <x:c r="F919" s="12" t="str">
        <x:v>Recommendation</x:v>
      </x:c>
      <x:c r="G919" s="12" t="str">
        <x:v>NSIDC DAAC User Working Group</x:v>
      </x:c>
      <x:c r="H919" s="12" t="n">
        <x:v>2021</x:v>
      </x:c>
      <x:c r="I919" s="12" t="str">
        <x:v>Earth science researchers</x:v>
      </x:c>
      <x:c r="J919" s="12" t="str">
        <x:v>Medium</x:v>
      </x:c>
      <x:c r="K919" s="16" t="n">
        <x:v>0.75</x:v>
      </x:c>
      <x:c r="L919" s="12" t="str">
        <x:v>LSA similarity cluster; human review pending</x:v>
      </x:c>
      <x:c r="M919" s="12" t="str">
        <x:v>Section: 9.2 Key Findings and Recommendations</x:v>
      </x:c>
      <x:c r="N919" s="12" t="str"/>
      <x:c r="O919" s="12" t="str">
        <x:v>No</x:v>
      </x:c>
      <x:c r="P919" s="12" t="str">
        <x:v>No</x:v>
      </x:c>
      <x:c r="Q919" s="12"/>
      <x:c r="R919" s="12"/>
    </x:row>
    <x:row r="920">
      <x:c r="A920" s="12" t="str">
        <x:v>EVD-00919</x:v>
      </x:c>
      <x:c r="B920" s="12" t="str">
        <x:v>NEED-0127</x:v>
      </x:c>
      <x:c r="C920" s="12" t="str">
        <x:v>SRC-0001</x:v>
      </x:c>
      <x:c r="D920" s="12" t="str">
        <x:v>Concern over intellectual property and/or embarrassment at “poor” code, especially by more senior scientists.</x:v>
      </x:c>
      <x:c r="E920" s="12" t="str">
        <x:v>Concern over intellectual property and/or embarrassment at “poor” code, especially by more senior scientists.</x:v>
      </x:c>
      <x:c r="F920" s="12" t="str">
        <x:v>Recommendation</x:v>
      </x:c>
      <x:c r="G920" s="12" t="str">
        <x:v>NSIDC DAAC User Working Group</x:v>
      </x:c>
      <x:c r="H920" s="12" t="n">
        <x:v>2021</x:v>
      </x:c>
      <x:c r="I920" s="12" t="str">
        <x:v>Application developers; Earth science researchers</x:v>
      </x:c>
      <x:c r="J920" s="12" t="str">
        <x:v>Medium</x:v>
      </x:c>
      <x:c r="K920" s="16" t="n">
        <x:v>0.75</x:v>
      </x:c>
      <x:c r="L920" s="12" t="str">
        <x:v>LSA similarity cluster; human review pending</x:v>
      </x:c>
      <x:c r="M920" s="12" t="str">
        <x:v>Section: 9.2 Key Findings and Recommendations</x:v>
      </x:c>
      <x:c r="N920" s="12" t="str"/>
      <x:c r="O920" s="12" t="str">
        <x:v>No</x:v>
      </x:c>
      <x:c r="P920" s="12" t="str">
        <x:v>No</x:v>
      </x:c>
      <x:c r="Q920" s="12"/>
      <x:c r="R920" s="12"/>
    </x:row>
    <x:row r="921">
      <x:c r="A921" s="12" t="str">
        <x:v>EVD-00920</x:v>
      </x:c>
      <x:c r="B921" s="12" t="str">
        <x:v>NEED-0220</x:v>
      </x:c>
      <x:c r="C921" s="12" t="str">
        <x:v>SRC-0001</x:v>
      </x:c>
      <x:c r="D921" s="12" t="str">
        <x:v>No real support for migrating/re-writing software.</x:v>
      </x:c>
      <x:c r="E921" s="12" t="str">
        <x:v>No real support for migrating/re-writing software.</x:v>
      </x:c>
      <x:c r="F921" s="12" t="str">
        <x:v>Recommendation</x:v>
      </x:c>
      <x:c r="G921" s="12" t="str">
        <x:v>NSIDC DAAC User Working Group</x:v>
      </x:c>
      <x:c r="H921" s="12" t="n">
        <x:v>2021</x:v>
      </x:c>
      <x:c r="I921" s="12" t="str">
        <x:v>Application developers</x:v>
      </x:c>
      <x:c r="J921" s="12" t="str">
        <x:v>High</x:v>
      </x:c>
      <x:c r="K921" s="16" t="n">
        <x:v>0.75</x:v>
      </x:c>
      <x:c r="L921" s="12" t="str">
        <x:v>LSA similarity cluster; human review pending</x:v>
      </x:c>
      <x:c r="M921" s="12" t="str">
        <x:v>Section: 9.2 Key Findings and Recommendations</x:v>
      </x:c>
      <x:c r="N921" s="12" t="str"/>
      <x:c r="O921" s="12" t="str">
        <x:v>No</x:v>
      </x:c>
      <x:c r="P921" s="12" t="str">
        <x:v>No</x:v>
      </x:c>
      <x:c r="Q921" s="12"/>
      <x:c r="R921" s="12"/>
    </x:row>
    <x:row r="922">
      <x:c r="A922" s="12" t="str">
        <x:v>EVD-00921</x:v>
      </x:c>
      <x:c r="B922" s="12" t="str">
        <x:v>NEED-0127</x:v>
      </x:c>
      <x:c r="C922" s="12" t="str">
        <x:v>SRC-0001</x:v>
      </x:c>
      <x:c r="D922" s="12" t="str">
        <x:v>Concern over how code is used by community.</x:v>
      </x:c>
      <x:c r="E922" s="12" t="str">
        <x:v>Concern over how code is used by community.</x:v>
      </x:c>
      <x:c r="F922" s="12" t="str">
        <x:v>Recommendation</x:v>
      </x:c>
      <x:c r="G922" s="12" t="str">
        <x:v>NSIDC DAAC User Working Group</x:v>
      </x:c>
      <x:c r="H922" s="12" t="n">
        <x:v>2021</x:v>
      </x:c>
      <x:c r="I922" s="12" t="str">
        <x:v>Application developers</x:v>
      </x:c>
      <x:c r="J922" s="12" t="str">
        <x:v>Medium</x:v>
      </x:c>
      <x:c r="K922" s="16" t="n">
        <x:v>0.75</x:v>
      </x:c>
      <x:c r="L922" s="12" t="str">
        <x:v>LSA similarity cluster; human review pending</x:v>
      </x:c>
      <x:c r="M922" s="12" t="str">
        <x:v>Section: 9.2 Key Findings and Recommendations</x:v>
      </x:c>
      <x:c r="N922" s="12" t="str"/>
      <x:c r="O922" s="12" t="str">
        <x:v>No</x:v>
      </x:c>
      <x:c r="P922" s="12" t="str">
        <x:v>No</x:v>
      </x:c>
      <x:c r="Q922" s="12"/>
      <x:c r="R922" s="12"/>
    </x:row>
    <x:row r="923">
      <x:c r="A923" s="12" t="str">
        <x:v>EVD-00922</x:v>
      </x:c>
      <x:c r="B923" s="12" t="str">
        <x:v>NEED-0133</x:v>
      </x:c>
      <x:c r="C923" s="12" t="str">
        <x:v>SRC-0001</x:v>
      </x:c>
      <x:c r="D923" s="12" t="str">
        <x:v>Hackweeks have been useful (could help to address these issues?)</x:v>
      </x:c>
      <x:c r="E923" s="12" t="str">
        <x:v>Hackweeks have been useful (could help to address these issues?)</x:v>
      </x:c>
      <x:c r="F923" s="12" t="str">
        <x:v>Recommendation</x:v>
      </x:c>
      <x:c r="G923" s="12" t="str">
        <x:v>NSIDC DAAC User Working Group</x:v>
      </x:c>
      <x:c r="H923" s="12" t="n">
        <x:v>2021</x:v>
      </x:c>
      <x:c r="I923" s="12" t="str">
        <x:v>Earthdata users</x:v>
      </x:c>
      <x:c r="J923" s="12" t="str">
        <x:v>Medium</x:v>
      </x:c>
      <x:c r="K923" s="16" t="n">
        <x:v>0.75</x:v>
      </x:c>
      <x:c r="L923" s="12" t="str">
        <x:v>LSA similarity cluster; human review pending</x:v>
      </x:c>
      <x:c r="M923" s="12" t="str">
        <x:v>Section: 9.2 Key Findings and Recommendations</x:v>
      </x:c>
      <x:c r="N923" s="12" t="str"/>
      <x:c r="O923" s="12" t="str">
        <x:v>No</x:v>
      </x:c>
      <x:c r="P923" s="12" t="str">
        <x:v>No</x:v>
      </x:c>
      <x:c r="Q923" s="12"/>
      <x:c r="R923" s="12"/>
    </x:row>
    <x:row r="924">
      <x:c r="A924" s="12" t="str">
        <x:v>EVD-00923</x:v>
      </x:c>
      <x:c r="B924" s="12" t="str">
        <x:v>NEED-0134</x:v>
      </x:c>
      <x:c r="C924" s="12" t="str">
        <x:v>SRC-0001</x:v>
      </x:c>
      <x:c r="D924" s="12" t="str">
        <x:v>Large multi-disciplinary projects (e.g., climate models) are challenging - need to find a common platform.</x:v>
      </x:c>
      <x:c r="E924" s="12" t="str">
        <x:v>Large multi-disciplinary projects (e.g., climate models) are challenging - need to find a common platform.</x:v>
      </x:c>
      <x:c r="F924" s="12" t="str">
        <x:v>Recommendation</x:v>
      </x:c>
      <x:c r="G924" s="12" t="str">
        <x:v>NSIDC DAAC User Working Group</x:v>
      </x:c>
      <x:c r="H924" s="12" t="n">
        <x:v>2021</x:v>
      </x:c>
      <x:c r="I924" s="12" t="str">
        <x:v>Earthdata users</x:v>
      </x:c>
      <x:c r="J924" s="12" t="str">
        <x:v>High</x:v>
      </x:c>
      <x:c r="K924" s="16" t="n">
        <x:v>0.75</x:v>
      </x:c>
      <x:c r="L924" s="12" t="str">
        <x:v>LSA similarity cluster; human review pending</x:v>
      </x:c>
      <x:c r="M924" s="12" t="str">
        <x:v>Section: 9.2 Key Findings and Recommendations</x:v>
      </x:c>
      <x:c r="N924" s="12" t="str"/>
      <x:c r="O924" s="12" t="str">
        <x:v>No</x:v>
      </x:c>
      <x:c r="P924" s="12" t="str">
        <x:v>No</x:v>
      </x:c>
      <x:c r="Q924" s="12"/>
      <x:c r="R924" s="12"/>
    </x:row>
    <x:row r="925">
      <x:c r="A925" s="12" t="str">
        <x:v>EVD-00924</x:v>
      </x:c>
      <x:c r="B925" s="12" t="str">
        <x:v>NEED-0120</x:v>
      </x:c>
      <x:c r="C925" s="12" t="str">
        <x:v>SRC-0001</x:v>
      </x:c>
      <x:c r="D925" s="12" t="str">
        <x:v>Open science needs to be woven throughout project, not just publishing software at the end.</x:v>
      </x:c>
      <x:c r="E925" s="12" t="str">
        <x:v>Open science needs to be woven throughout project, not just publishing software at the end.</x:v>
      </x:c>
      <x:c r="F925" s="12" t="str">
        <x:v>Recommendation</x:v>
      </x:c>
      <x:c r="G925" s="12" t="str">
        <x:v>NSIDC DAAC User Working Group</x:v>
      </x:c>
      <x:c r="H925" s="12" t="n">
        <x:v>2021</x:v>
      </x:c>
      <x:c r="I925" s="12" t="str">
        <x:v>Application developers</x:v>
      </x:c>
      <x:c r="J925" s="12" t="str">
        <x:v>Medium</x:v>
      </x:c>
      <x:c r="K925" s="16" t="n">
        <x:v>0.75</x:v>
      </x:c>
      <x:c r="L925" s="12" t="str">
        <x:v>LSA similarity cluster; human review pending</x:v>
      </x:c>
      <x:c r="M925" s="12" t="str">
        <x:v>Section: 9.2 Key Findings and Recommendations</x:v>
      </x:c>
      <x:c r="N925" s="12" t="str"/>
      <x:c r="O925" s="12" t="str">
        <x:v>No</x:v>
      </x:c>
      <x:c r="P925" s="12" t="str">
        <x:v>No</x:v>
      </x:c>
      <x:c r="Q925" s="12"/>
      <x:c r="R925" s="12"/>
    </x:row>
    <x:row r="926">
      <x:c r="A926" s="12" t="str">
        <x:v>EVD-00925</x:v>
      </x:c>
      <x:c r="B926" s="12" t="str">
        <x:v>NEED-0027</x:v>
      </x:c>
      <x:c r="C926" s="12" t="str">
        <x:v>SRC-0001</x:v>
      </x:c>
      <x:c r="D926" s="12" t="str">
        <x:v>Provided a brief history of Passive Microwave (PM) SSMI-SSMIS data production at the DAAC and obtained feedback from the UWG on a vision for PM data products and software to remain viable and accessible to modern users.</x:v>
      </x:c>
      <x:c r="E926" s="12" t="str">
        <x:v>Provided a brief history of Passive Microwave (PM) SSMI-SSMIS data production at the DAAC and obtained feedback from the UWG on a vision for PM data products and software to remain viable and accessible to modern users.</x:v>
      </x:c>
      <x:c r="F926" s="12" t="str">
        <x:v>Recommendation</x:v>
      </x:c>
      <x:c r="G926" s="12" t="str">
        <x:v>NSIDC DAAC User Working Group</x:v>
      </x:c>
      <x:c r="H926" s="12" t="n">
        <x:v>2021</x:v>
      </x:c>
      <x:c r="I926" s="12" t="str">
        <x:v>Application developers</x:v>
      </x:c>
      <x:c r="J926" s="12" t="str">
        <x:v>Medium</x:v>
      </x:c>
      <x:c r="K926" s="16" t="n">
        <x:v>0.75</x:v>
      </x:c>
      <x:c r="L926" s="12" t="str">
        <x:v>LSA similarity cluster; human review pending</x:v>
      </x:c>
      <x:c r="M926" s="12" t="str">
        <x:v>Section: 9.2 Key Findings and Recommendations</x:v>
      </x:c>
      <x:c r="N926" s="12" t="str"/>
      <x:c r="O926" s="12" t="str">
        <x:v>No</x:v>
      </x:c>
      <x:c r="P926" s="12" t="str">
        <x:v>No</x:v>
      </x:c>
      <x:c r="Q926" s="12"/>
      <x:c r="R926" s="12"/>
    </x:row>
    <x:row r="927">
      <x:c r="A927" s="12" t="str">
        <x:v>EVD-00926</x:v>
      </x:c>
      <x:c r="B927" s="12" t="str">
        <x:v>NEED-0119</x:v>
      </x:c>
      <x:c r="C927" s="12" t="str">
        <x:v>SRC-0001</x:v>
      </x:c>
      <x:c r="D927" s="12" t="str">
        <x:v>Focusing on the long-term consistency of PM sea ice data is very important as they should be considered the authoritative data. Inter-sensor calibrations and land masks should be well-documented and well-understood, so users who are not remote sensing scientists can use them. Getting this right is very important, so no one can argue against their validity.</x:v>
      </x:c>
      <x:c r="E927" s="12" t="str">
        <x:v>Focusing on the long-term consistency of PM sea ice data is very important as they should be considered the authoritative data. Inter-sensor calibrations and land masks should be well-documented and well-understood, so users who are not remote sensing scientists can use them. Getting this right is very important, so no one can argue against their validity.</x:v>
      </x:c>
      <x:c r="F927" s="12" t="str">
        <x:v>Recommendation</x:v>
      </x:c>
      <x:c r="G927" s="12" t="str">
        <x:v>NSIDC DAAC User Working Group</x:v>
      </x:c>
      <x:c r="H927" s="12" t="n">
        <x:v>2021</x:v>
      </x:c>
      <x:c r="I927" s="12" t="str">
        <x:v>Earth science researchers</x:v>
      </x:c>
      <x:c r="J927" s="12" t="str">
        <x:v>High</x:v>
      </x:c>
      <x:c r="K927" s="16" t="n">
        <x:v>0.75</x:v>
      </x:c>
      <x:c r="L927" s="12" t="str">
        <x:v>LSA similarity cluster; human review pending</x:v>
      </x:c>
      <x:c r="M927" s="12" t="str">
        <x:v>Section: 9.2 Key Findings and Recommendations</x:v>
      </x:c>
      <x:c r="N927" s="12" t="str"/>
      <x:c r="O927" s="12" t="str">
        <x:v>No</x:v>
      </x:c>
      <x:c r="P927" s="12" t="str">
        <x:v>No</x:v>
      </x:c>
      <x:c r="Q927" s="12"/>
      <x:c r="R927" s="12"/>
    </x:row>
    <x:row r="928">
      <x:c r="A928" s="12" t="str">
        <x:v>EVD-00927</x:v>
      </x:c>
      <x:c r="B928" s="12" t="str">
        <x:v>NEED-0072</x:v>
      </x:c>
      <x:c r="C928" s="12" t="str">
        <x:v>SRC-0001</x:v>
      </x:c>
      <x:c r="D928" s="12" t="str">
        <x:v>UWG members may use other passive microwave sea ice products outside of the DAAC due to the low resolution at which the DAAC products are provided. In addition, land masks are outdated, in particular around Antarctic ice shelf areas. The DAAC should consider the use of static vs. dynamic masks in the creation of sea ice products, and provide better provenance for masks used in production.</x:v>
      </x:c>
      <x:c r="E928" s="12" t="str">
        <x:v>UWG members may use other passive microwave sea ice products outside of the DAAC due to the low resolution at which the DAAC products are provided. In addition, land masks are outdated, in particular around Antarctic ice shelf areas. The DAAC should consider the use of static vs. dynamic masks in the creation of sea ice products, and provide better provenance for masks used in production.</x:v>
      </x:c>
      <x:c r="F928" s="12" t="str">
        <x:v>Recommendation</x:v>
      </x:c>
      <x:c r="G928" s="12" t="str">
        <x:v>NSIDC DAAC User Working Group</x:v>
      </x:c>
      <x:c r="H928" s="12" t="n">
        <x:v>2021</x:v>
      </x:c>
      <x:c r="I928" s="12" t="str">
        <x:v>Earthdata users</x:v>
      </x:c>
      <x:c r="J928" s="12" t="str">
        <x:v>High</x:v>
      </x:c>
      <x:c r="K928" s="16" t="n">
        <x:v>0.75</x:v>
      </x:c>
      <x:c r="L928" s="12" t="str">
        <x:v>LSA similarity cluster; human review pending</x:v>
      </x:c>
      <x:c r="M928" s="12" t="str">
        <x:v>Section: 9.2 Key Findings and Recommendations</x:v>
      </x:c>
      <x:c r="N928" s="12" t="str"/>
      <x:c r="O928" s="12" t="str">
        <x:v>No</x:v>
      </x:c>
      <x:c r="P928" s="12" t="str">
        <x:v>No</x:v>
      </x:c>
      <x:c r="Q928" s="12"/>
      <x:c r="R928" s="12"/>
    </x:row>
    <x:row r="929">
      <x:c r="A929" s="12" t="str">
        <x:v>EVD-00928</x:v>
      </x:c>
      <x:c r="B929" s="12" t="str">
        <x:v>NEED-0170</x:v>
      </x:c>
      <x:c r="C929" s="12" t="str">
        <x:v>SRC-0001</x:v>
      </x:c>
      <x:c r="D929" s="12" t="str">
        <x:v>Provided an overview and status of the Earthdata Pub goals and application.</x:v>
      </x:c>
      <x:c r="E929" s="12" t="str">
        <x:v>Provided an overview and status of the Earthdata Pub goals and application.</x:v>
      </x:c>
      <x:c r="F929" s="12" t="str">
        <x:v>Recommendation</x:v>
      </x:c>
      <x:c r="G929" s="12" t="str">
        <x:v>NSIDC DAAC User Working Group</x:v>
      </x:c>
      <x:c r="H929" s="12" t="n">
        <x:v>2021</x:v>
      </x:c>
      <x:c r="I929" s="12" t="str">
        <x:v>Earthdata users</x:v>
      </x:c>
      <x:c r="J929" s="12" t="str">
        <x:v>Medium</x:v>
      </x:c>
      <x:c r="K929" s="16" t="n">
        <x:v>0.75</x:v>
      </x:c>
      <x:c r="L929" s="12" t="str">
        <x:v>LSA similarity cluster; human review pending</x:v>
      </x:c>
      <x:c r="M929" s="12" t="str">
        <x:v>Section: 9.2 Key Findings and Recommendations</x:v>
      </x:c>
      <x:c r="N929" s="12" t="str"/>
      <x:c r="O929" s="12" t="str">
        <x:v>No</x:v>
      </x:c>
      <x:c r="P929" s="12" t="str">
        <x:v>No</x:v>
      </x:c>
      <x:c r="Q929" s="12"/>
      <x:c r="R929" s="12"/>
    </x:row>
    <x:row r="930">
      <x:c r="A930" s="12" t="str">
        <x:v>EVD-00929</x:v>
      </x:c>
      <x:c r="B930" s="12" t="str">
        <x:v>NEED-0081</x:v>
      </x:c>
      <x:c r="C930" s="12" t="str">
        <x:v>SRC-0001</x:v>
      </x:c>
      <x:c r="D930" s="12" t="str">
        <x:v>UWG hands-on testing of Earthdata Pub found the functions and workflows to be largely intuitive and the questions asked to gather data product information to be mostly clear and easy to answer.</x:v>
      </x:c>
      <x:c r="E930" s="12" t="str">
        <x:v>UWG hands-on testing of Earthdata Pub found the functions and workflows to be largely intuitive and the questions asked to gather data product information to be mostly clear and easy to answer.</x:v>
      </x:c>
      <x:c r="F930" s="12" t="str">
        <x:v>Recommendation</x:v>
      </x:c>
      <x:c r="G930" s="12" t="str">
        <x:v>NSIDC DAAC User Working Group</x:v>
      </x:c>
      <x:c r="H930" s="12" t="n">
        <x:v>2021</x:v>
      </x:c>
      <x:c r="I930" s="12" t="str">
        <x:v>Earthdata users</x:v>
      </x:c>
      <x:c r="J930" s="12" t="str">
        <x:v>Medium</x:v>
      </x:c>
      <x:c r="K930" s="16" t="n">
        <x:v>0.75</x:v>
      </x:c>
      <x:c r="L930" s="12" t="str">
        <x:v>LSA similarity cluster; human review pending</x:v>
      </x:c>
      <x:c r="M930" s="12" t="str">
        <x:v>Section: 9.2 Key Findings and Recommendations</x:v>
      </x:c>
      <x:c r="N930" s="12" t="str"/>
      <x:c r="O930" s="12" t="str">
        <x:v>No</x:v>
      </x:c>
      <x:c r="P930" s="12" t="str">
        <x:v>No</x:v>
      </x:c>
      <x:c r="Q930" s="12"/>
      <x:c r="R930" s="12"/>
    </x:row>
    <x:row r="931">
      <x:c r="A931" s="12" t="str">
        <x:v>EVD-00930</x:v>
      </x:c>
      <x:c r="B931" s="12" t="str">
        <x:v>NEED-0213</x:v>
      </x:c>
      <x:c r="C931" s="12" t="str">
        <x:v>SRC-0001</x:v>
      </x:c>
      <x:c r="D931" s="12" t="str">
        <x:v>Provided an overview of SOAC in order to have the UWG provide feedback on prioritization of target users.</x:v>
      </x:c>
      <x:c r="E931" s="12" t="str">
        <x:v>Provided an overview of SOAC in order to have the UWG provide feedback on prioritization of target users.</x:v>
      </x:c>
      <x:c r="F931" s="12" t="str">
        <x:v>Recommendation</x:v>
      </x:c>
      <x:c r="G931" s="12" t="str">
        <x:v>NSIDC DAAC User Working Group</x:v>
      </x:c>
      <x:c r="H931" s="12" t="n">
        <x:v>2021</x:v>
      </x:c>
      <x:c r="I931" s="12" t="str">
        <x:v>Earthdata users</x:v>
      </x:c>
      <x:c r="J931" s="12" t="str">
        <x:v>High</x:v>
      </x:c>
      <x:c r="K931" s="16" t="n">
        <x:v>0.75</x:v>
      </x:c>
      <x:c r="L931" s="12" t="str">
        <x:v>LSA similarity cluster; human review pending</x:v>
      </x:c>
      <x:c r="M931" s="12" t="str">
        <x:v>Section: 9.2 Key Findings and Recommendations</x:v>
      </x:c>
      <x:c r="N931" s="12" t="str"/>
      <x:c r="O931" s="12" t="str">
        <x:v>No</x:v>
      </x:c>
      <x:c r="P931" s="12" t="str">
        <x:v>No</x:v>
      </x:c>
      <x:c r="Q931" s="12"/>
      <x:c r="R931" s="12"/>
    </x:row>
    <x:row r="932">
      <x:c r="A932" s="12" t="str">
        <x:v>EVD-00931</x:v>
      </x:c>
      <x:c r="B932" s="12" t="str">
        <x:v>NEED-0080</x:v>
      </x:c>
      <x:c r="C932" s="12" t="str">
        <x:v>SRC-0001</x:v>
      </x:c>
      <x:c r="D932" s="12" t="str">
        <x:v>High-level descriptions of information.</x:v>
      </x:c>
      <x:c r="E932" s="12" t="str">
        <x:v>High-level descriptions of information.</x:v>
      </x:c>
      <x:c r="F932" s="12" t="str">
        <x:v>Recommendation</x:v>
      </x:c>
      <x:c r="G932" s="12" t="str">
        <x:v>NSIDC DAAC User Working Group</x:v>
      </x:c>
      <x:c r="H932" s="12" t="n">
        <x:v>2021</x:v>
      </x:c>
      <x:c r="I932" s="12" t="str">
        <x:v>Earthdata users</x:v>
      </x:c>
      <x:c r="J932" s="12" t="str">
        <x:v>Medium</x:v>
      </x:c>
      <x:c r="K932" s="16" t="n">
        <x:v>0.75</x:v>
      </x:c>
      <x:c r="L932" s="12" t="str">
        <x:v>LSA similarity cluster; human review pending</x:v>
      </x:c>
      <x:c r="M932" s="12" t="str">
        <x:v>Section: 9.2 Key Findings and Recommendations</x:v>
      </x:c>
      <x:c r="N932" s="12" t="str"/>
      <x:c r="O932" s="12" t="str">
        <x:v>No</x:v>
      </x:c>
      <x:c r="P932" s="12" t="str">
        <x:v>No</x:v>
      </x:c>
      <x:c r="Q932" s="12"/>
      <x:c r="R932" s="12"/>
    </x:row>
    <x:row r="933">
      <x:c r="A933" s="12" t="str">
        <x:v>EVD-00932</x:v>
      </x:c>
      <x:c r="B933" s="12" t="str">
        <x:v>NEED-0121</x:v>
      </x:c>
      <x:c r="C933" s="12" t="str">
        <x:v>SRC-0001</x:v>
      </x:c>
      <x:c r="D933" s="12" t="str">
        <x:v>Bar charts of yearly changes, sorted by month.</x:v>
      </x:c>
      <x:c r="E933" s="12" t="str">
        <x:v>Bar charts of yearly changes, sorted by month.</x:v>
      </x:c>
      <x:c r="F933" s="12" t="str">
        <x:v>Recommendation</x:v>
      </x:c>
      <x:c r="G933" s="12" t="str">
        <x:v>NSIDC DAAC User Working Group</x:v>
      </x:c>
      <x:c r="H933" s="12" t="n">
        <x:v>2021</x:v>
      </x:c>
      <x:c r="I933" s="12" t="str">
        <x:v>Earthdata users</x:v>
      </x:c>
      <x:c r="J933" s="12" t="str">
        <x:v>Medium</x:v>
      </x:c>
      <x:c r="K933" s="16" t="n">
        <x:v>0.75</x:v>
      </x:c>
      <x:c r="L933" s="12" t="str">
        <x:v>LSA similarity cluster; human review pending</x:v>
      </x:c>
      <x:c r="M933" s="12" t="str">
        <x:v>Section: 9.2 Key Findings and Recommendations</x:v>
      </x:c>
      <x:c r="N933" s="12" t="str"/>
      <x:c r="O933" s="12" t="str">
        <x:v>No</x:v>
      </x:c>
      <x:c r="P933" s="12" t="str">
        <x:v>No</x:v>
      </x:c>
      <x:c r="Q933" s="12"/>
      <x:c r="R933" s="12"/>
    </x:row>
    <x:row r="934">
      <x:c r="A934" s="12" t="str">
        <x:v>EVD-00933</x:v>
      </x:c>
      <x:c r="B934" s="12" t="str">
        <x:v>NEED-0120</x:v>
      </x:c>
      <x:c r="C934" s="12" t="str">
        <x:v>SRC-0001</x:v>
      </x:c>
      <x:c r="D934" s="12" t="str">
        <x:v>Detailed descriptions of the source data and underlying interpretations.</x:v>
      </x:c>
      <x:c r="E934" s="12" t="str">
        <x:v>Detailed descriptions of the source data and underlying interpretations.</x:v>
      </x:c>
      <x:c r="F934" s="12" t="str">
        <x:v>Recommendation</x:v>
      </x:c>
      <x:c r="G934" s="12" t="str">
        <x:v>NSIDC DAAC User Working Group</x:v>
      </x:c>
      <x:c r="H934" s="12" t="n">
        <x:v>2021</x:v>
      </x:c>
      <x:c r="I934" s="12" t="str">
        <x:v>Earthdata users</x:v>
      </x:c>
      <x:c r="J934" s="12" t="str">
        <x:v>Medium</x:v>
      </x:c>
      <x:c r="K934" s="16" t="n">
        <x:v>0.75</x:v>
      </x:c>
      <x:c r="L934" s="12" t="str">
        <x:v>LSA similarity cluster; human review pending</x:v>
      </x:c>
      <x:c r="M934" s="12" t="str">
        <x:v>Section: 9.2 Key Findings and Recommendations</x:v>
      </x:c>
      <x:c r="N934" s="12" t="str"/>
      <x:c r="O934" s="12" t="str">
        <x:v>No</x:v>
      </x:c>
      <x:c r="P934" s="12" t="str">
        <x:v>No</x:v>
      </x:c>
      <x:c r="Q934" s="12"/>
      <x:c r="R934" s="12"/>
    </x:row>
    <x:row r="935">
      <x:c r="A935" s="12" t="str">
        <x:v>EVD-00934</x:v>
      </x:c>
      <x:c r="B935" s="12" t="str">
        <x:v>NEED-0122</x:v>
      </x:c>
      <x:c r="C935" s="12" t="str">
        <x:v>SRC-0001</x:v>
      </x:c>
      <x:c r="D935" s="12" t="str">
        <x:v>Animated maps of parameters.</x:v>
      </x:c>
      <x:c r="E935" s="12" t="str">
        <x:v>Animated maps of parameters.</x:v>
      </x:c>
      <x:c r="F935" s="12" t="str">
        <x:v>Recommendation</x:v>
      </x:c>
      <x:c r="G935" s="12" t="str">
        <x:v>NSIDC DAAC User Working Group</x:v>
      </x:c>
      <x:c r="H935" s="12" t="n">
        <x:v>2021</x:v>
      </x:c>
      <x:c r="I935" s="12" t="str">
        <x:v>Earthdata users</x:v>
      </x:c>
      <x:c r="J935" s="12" t="str">
        <x:v>Medium</x:v>
      </x:c>
      <x:c r="K935" s="16" t="n">
        <x:v>0.75</x:v>
      </x:c>
      <x:c r="L935" s="12" t="str">
        <x:v>LSA similarity cluster; human review pending</x:v>
      </x:c>
      <x:c r="M935" s="12" t="str">
        <x:v>Section: 9.2 Key Findings and Recommendations</x:v>
      </x:c>
      <x:c r="N935" s="12" t="str"/>
      <x:c r="O935" s="12" t="str">
        <x:v>No</x:v>
      </x:c>
      <x:c r="P935" s="12" t="str">
        <x:v>No</x:v>
      </x:c>
      <x:c r="Q935" s="12"/>
      <x:c r="R935" s="12"/>
    </x:row>
    <x:row r="936">
      <x:c r="A936" s="12" t="str">
        <x:v>EVD-00935</x:v>
      </x:c>
      <x:c r="B936" s="12" t="str">
        <x:v>NEED-0017</x:v>
      </x:c>
      <x:c r="C936" s="12" t="str">
        <x:v>SRC-0001</x:v>
      </x:c>
      <x:c r="D936" s="12" t="str">
        <x:v>NSIDC DAAC will establish a project to provide UWG members with hands-on experience using data in the Earthdata Cloud. This effort will develop cloud knowledge within the UWG and will provide the DAAC with feedback on cloud data access and support resources.</x:v>
      </x:c>
      <x:c r="E936" s="12" t="str">
        <x:v>NSIDC DAAC will establish a project to provide UWG members with hands-on experience using data in the Earthdata Cloud. This effort will develop cloud knowledge within the UWG and will provide the DAAC with feedback on cloud data access and support resources.</x:v>
      </x:c>
      <x:c r="F936" s="12" t="str">
        <x:v>Action</x:v>
      </x:c>
      <x:c r="G936" s="12" t="str">
        <x:v>NSIDC DAAC User Working Group</x:v>
      </x:c>
      <x:c r="H936" s="12" t="n">
        <x:v>2021</x:v>
      </x:c>
      <x:c r="I936" s="12" t="str">
        <x:v>Cloud-native researchers</x:v>
      </x:c>
      <x:c r="J936" s="12" t="str">
        <x:v>High</x:v>
      </x:c>
      <x:c r="K936" s="16" t="n">
        <x:v>0.75</x:v>
      </x:c>
      <x:c r="L936" s="12" t="str">
        <x:v>LSA similarity cluster; human review pending</x:v>
      </x:c>
      <x:c r="M936" s="12" t="str">
        <x:v>Section: 9.3 Key Actions</x:v>
      </x:c>
      <x:c r="N936" s="12" t="str"/>
      <x:c r="O936" s="12" t="str">
        <x:v>No</x:v>
      </x:c>
      <x:c r="P936" s="12" t="str">
        <x:v>No</x:v>
      </x:c>
      <x:c r="Q936" s="12"/>
      <x:c r="R936" s="12"/>
    </x:row>
    <x:row r="937">
      <x:c r="A937" s="12" t="str">
        <x:v>EVD-00936</x:v>
      </x:c>
      <x:c r="B937" s="12" t="str">
        <x:v>NEED-0019</x:v>
      </x:c>
      <x:c r="C937" s="12" t="str">
        <x:v>SRC-0001</x:v>
      </x:c>
      <x:c r="D937" s="12" t="str">
        <x:v>NSIDC DAAC will continue to engage in EOSDIS-wide discussions and evaluations of cloud-optimized formats, and when appropriate, begin giving guidance to data producers on product creation for use in the cloud.</x:v>
      </x:c>
      <x:c r="E937" s="12" t="str">
        <x:v>NSIDC DAAC will continue to engage in EOSDIS-wide discussions and evaluations of cloud-optimized formats, and when appropriate, begin giving guidance to data producers on product creation for use in the cloud.</x:v>
      </x:c>
      <x:c r="F937" s="12" t="str">
        <x:v>Action</x:v>
      </x:c>
      <x:c r="G937" s="12" t="str">
        <x:v>NSIDC DAAC User Working Group</x:v>
      </x:c>
      <x:c r="H937" s="12" t="n">
        <x:v>2021</x:v>
      </x:c>
      <x:c r="I937" s="12" t="str">
        <x:v>Cloud-native researchers; Data producers and mission teams</x:v>
      </x:c>
      <x:c r="J937" s="12" t="str">
        <x:v>High</x:v>
      </x:c>
      <x:c r="K937" s="16" t="n">
        <x:v>0.75</x:v>
      </x:c>
      <x:c r="L937" s="12" t="str">
        <x:v>LSA similarity cluster; human review pending</x:v>
      </x:c>
      <x:c r="M937" s="12" t="str">
        <x:v>Section: 9.3 Key Actions</x:v>
      </x:c>
      <x:c r="N937" s="12" t="str"/>
      <x:c r="O937" s="12" t="str">
        <x:v>No</x:v>
      </x:c>
      <x:c r="P937" s="12" t="str">
        <x:v>No</x:v>
      </x:c>
      <x:c r="Q937" s="12"/>
      <x:c r="R937" s="12"/>
    </x:row>
    <x:row r="938">
      <x:c r="A938" s="12" t="str">
        <x:v>EVD-00937</x:v>
      </x:c>
      <x:c r="B938" s="12" t="str">
        <x:v>NEED-0010</x:v>
      </x:c>
      <x:c r="C938" s="12" t="str">
        <x:v>SRC-0001</x:v>
      </x:c>
      <x:c r="D938" s="12" t="str">
        <x:v>NSIDC DAAC will fill a membership expertise gap by adding a new member(s) with cloud computing experience.</x:v>
      </x:c>
      <x:c r="E938" s="12" t="str">
        <x:v>NSIDC DAAC will fill a membership expertise gap by adding a new member(s) with cloud computing experience.</x:v>
      </x:c>
      <x:c r="F938" s="12" t="str">
        <x:v>Action</x:v>
      </x:c>
      <x:c r="G938" s="12" t="str">
        <x:v>NSIDC DAAC User Working Group</x:v>
      </x:c>
      <x:c r="H938" s="12" t="n">
        <x:v>2021</x:v>
      </x:c>
      <x:c r="I938" s="12" t="str">
        <x:v>Cloud-native researchers</x:v>
      </x:c>
      <x:c r="J938" s="12" t="str">
        <x:v>Medium</x:v>
      </x:c>
      <x:c r="K938" s="16" t="n">
        <x:v>0.75</x:v>
      </x:c>
      <x:c r="L938" s="12" t="str">
        <x:v>LSA similarity cluster; human review pending</x:v>
      </x:c>
      <x:c r="M938" s="12" t="str">
        <x:v>Section: 9.3 Key Actions</x:v>
      </x:c>
      <x:c r="N938" s="12" t="str"/>
      <x:c r="O938" s="12" t="str">
        <x:v>No</x:v>
      </x:c>
      <x:c r="P938" s="12" t="str">
        <x:v>No</x:v>
      </x:c>
      <x:c r="Q938" s="12"/>
      <x:c r="R938" s="12"/>
    </x:row>
    <x:row r="939">
      <x:c r="A939" s="12" t="str">
        <x:v>EVD-00938</x:v>
      </x:c>
      <x:c r="B939" s="12" t="str">
        <x:v>NEED-0119</x:v>
      </x:c>
      <x:c r="C939" s="12" t="str">
        <x:v>SRC-0001</x:v>
      </x:c>
      <x:c r="D939" s="12" t="str">
        <x:v>NSIDC DAAC will pursue adding a student or early-career member to the UWG as part of DEI efforts.</x:v>
      </x:c>
      <x:c r="E939" s="12" t="str">
        <x:v>NSIDC DAAC will pursue adding a student or early-career member to the UWG as part of DEI efforts.</x:v>
      </x:c>
      <x:c r="F939" s="12" t="str">
        <x:v>Action</x:v>
      </x:c>
      <x:c r="G939" s="12" t="str">
        <x:v>NSIDC DAAC User Working Group</x:v>
      </x:c>
      <x:c r="H939" s="12" t="n">
        <x:v>2021</x:v>
      </x:c>
      <x:c r="I939" s="12" t="str">
        <x:v>Educators and trainers</x:v>
      </x:c>
      <x:c r="J939" s="12" t="str">
        <x:v>Medium</x:v>
      </x:c>
      <x:c r="K939" s="16" t="n">
        <x:v>0.75</x:v>
      </x:c>
      <x:c r="L939" s="12" t="str">
        <x:v>LSA similarity cluster; human review pending</x:v>
      </x:c>
      <x:c r="M939" s="12" t="str">
        <x:v>Section: 9.3 Key Actions</x:v>
      </x:c>
      <x:c r="N939" s="12" t="str"/>
      <x:c r="O939" s="12" t="str">
        <x:v>No</x:v>
      </x:c>
      <x:c r="P939" s="12" t="str">
        <x:v>No</x:v>
      </x:c>
      <x:c r="Q939" s="12"/>
      <x:c r="R939" s="12"/>
    </x:row>
    <x:row r="940">
      <x:c r="A940" s="12" t="str">
        <x:v>EVD-00939</x:v>
      </x:c>
      <x:c r="B940" s="12" t="str">
        <x:v>NEED-0215</x:v>
      </x:c>
      <x:c r="C940" s="12" t="str">
        <x:v>SRC-0001</x:v>
      </x:c>
      <x:c r="D940" s="12" t="str">
        <x:v>NSIDC DAAC will provide UWG testing results to the Earthdata Pub project where the feedback will be reviewed and addressed.</x:v>
      </x:c>
      <x:c r="E940" s="12" t="str">
        <x:v>NSIDC DAAC will provide UWG testing results to the Earthdata Pub project where the feedback will be reviewed and addressed.</x:v>
      </x:c>
      <x:c r="F940" s="12" t="str">
        <x:v>Action</x:v>
      </x:c>
      <x:c r="G940" s="12" t="str">
        <x:v>NSIDC DAAC User Working Group</x:v>
      </x:c>
      <x:c r="H940" s="12" t="n">
        <x:v>2021</x:v>
      </x:c>
      <x:c r="I940" s="12" t="str">
        <x:v>Earthdata users</x:v>
      </x:c>
      <x:c r="J940" s="12" t="str">
        <x:v>High</x:v>
      </x:c>
      <x:c r="K940" s="16" t="n">
        <x:v>0.75</x:v>
      </x:c>
      <x:c r="L940" s="12" t="str">
        <x:v>LSA similarity cluster; human review pending</x:v>
      </x:c>
      <x:c r="M940" s="12" t="str">
        <x:v>Section: 9.3 Key Actions</x:v>
      </x:c>
      <x:c r="N940" s="12" t="str"/>
      <x:c r="O940" s="12" t="str">
        <x:v>No</x:v>
      </x:c>
      <x:c r="P940" s="12" t="str">
        <x:v>No</x:v>
      </x:c>
      <x:c r="Q940" s="12"/>
      <x:c r="R940" s="12"/>
    </x:row>
    <x:row r="941">
      <x:c r="A941" s="12" t="str">
        <x:v>EVD-00940</x:v>
      </x:c>
      <x:c r="B941" s="12" t="str">
        <x:v>NEED-0005</x:v>
      </x:c>
      <x:c r="C941" s="12" t="str">
        <x:v>SRC-0001</x:v>
      </x:c>
      <x:c r="D941" s="12" t="str">
        <x:v>[UWG21-S01] Help the UWG to better understand the overall vision for the ESDIS cloud migration and cross-DAAC collaboration and interoperability strategy.</x:v>
      </x:c>
      <x:c r="E941" s="12" t="str">
        <x:v>[UWG21-S01] Help the UWG to better understand the overall vision for the ESDIS cloud migration and cross-DAAC collaboration and interoperability strategy.</x:v>
      </x:c>
      <x:c r="F941" s="12" t="str">
        <x:v>Suggestion</x:v>
      </x:c>
      <x:c r="G941" s="12" t="str">
        <x:v>ORNL DAAC User Working Group</x:v>
      </x:c>
      <x:c r="H941" s="12" t="n">
        <x:v>2021</x:v>
      </x:c>
      <x:c r="I941" s="12" t="str">
        <x:v>Cloud-native researchers</x:v>
      </x:c>
      <x:c r="J941" s="12" t="str">
        <x:v>Medium</x:v>
      </x:c>
      <x:c r="K941" s="16" t="n">
        <x:v>0.75</x:v>
      </x:c>
      <x:c r="L941" s="12" t="str">
        <x:v>LSA similarity cluster; human review pending</x:v>
      </x:c>
      <x:c r="M941" s="12" t="str">
        <x:v>Section: 10.3 ORNL DAAC UWG Suggestions for 2021</x:v>
      </x:c>
      <x:c r="N941" s="12" t="str"/>
      <x:c r="O941" s="12" t="str">
        <x:v>No</x:v>
      </x:c>
      <x:c r="P941" s="12" t="str">
        <x:v>No</x:v>
      </x:c>
      <x:c r="Q941" s="12"/>
      <x:c r="R941" s="12"/>
    </x:row>
    <x:row r="942">
      <x:c r="A942" s="12" t="str">
        <x:v>EVD-00941</x:v>
      </x:c>
      <x:c r="B942" s="12" t="str">
        <x:v>NEED-0005</x:v>
      </x:c>
      <x:c r="C942" s="12" t="str">
        <x:v>SRC-0001</x:v>
      </x:c>
      <x:c r="D942" s="12" t="str">
        <x:v>[UWG21-S02] Help data users understand the impact of cloud migration on their current data analysis workflow, including functionalities, timelines, and cost.</x:v>
      </x:c>
      <x:c r="E942" s="12" t="str">
        <x:v>[UWG21-S02] Help data users understand the impact of cloud migration on their current data analysis workflow, including functionalities, timelines, and cost.</x:v>
      </x:c>
      <x:c r="F942" s="12" t="str">
        <x:v>Suggestion</x:v>
      </x:c>
      <x:c r="G942" s="12" t="str">
        <x:v>ORNL DAAC User Working Group</x:v>
      </x:c>
      <x:c r="H942" s="12" t="n">
        <x:v>2021</x:v>
      </x:c>
      <x:c r="I942" s="12" t="str">
        <x:v>Cloud-native researchers; Earth science researchers</x:v>
      </x:c>
      <x:c r="J942" s="12" t="str">
        <x:v>Medium</x:v>
      </x:c>
      <x:c r="K942" s="16" t="n">
        <x:v>0.75</x:v>
      </x:c>
      <x:c r="L942" s="12" t="str">
        <x:v>LSA similarity cluster; human review pending</x:v>
      </x:c>
      <x:c r="M942" s="12" t="str">
        <x:v>Section: 10.3 ORNL DAAC UWG Suggestions for 2021</x:v>
      </x:c>
      <x:c r="N942" s="12" t="str"/>
      <x:c r="O942" s="12" t="str">
        <x:v>No</x:v>
      </x:c>
      <x:c r="P942" s="12" t="str">
        <x:v>No</x:v>
      </x:c>
      <x:c r="Q942" s="12"/>
      <x:c r="R942" s="12"/>
    </x:row>
    <x:row r="943">
      <x:c r="A943" s="12" t="str">
        <x:v>EVD-00942</x:v>
      </x:c>
      <x:c r="B943" s="12" t="str">
        <x:v>NEED-0005</x:v>
      </x:c>
      <x:c r="C943" s="12" t="str">
        <x:v>SRC-0001</x:v>
      </x:c>
      <x:c r="D943" s="12" t="str">
        <x:v>[UWG21-S03] Help data users understand how to use cloud resources and create efficiencies in their own work. Provide guidance on additional costs they should expect. Involve data users in the testing of new functions and tools on the cloud.</x:v>
      </x:c>
      <x:c r="E943" s="12" t="str">
        <x:v>[UWG21-S03] Help data users understand how to use cloud resources and create efficiencies in their own work. Provide guidance on additional costs they should expect. Involve data users in the testing of new functions and tools on the cloud.</x:v>
      </x:c>
      <x:c r="F943" s="12" t="str">
        <x:v>Suggestion</x:v>
      </x:c>
      <x:c r="G943" s="12" t="str">
        <x:v>ORNL DAAC User Working Group</x:v>
      </x:c>
      <x:c r="H943" s="12" t="n">
        <x:v>2021</x:v>
      </x:c>
      <x:c r="I943" s="12" t="str">
        <x:v>Cloud-native researchers</x:v>
      </x:c>
      <x:c r="J943" s="12" t="str">
        <x:v>High</x:v>
      </x:c>
      <x:c r="K943" s="16" t="n">
        <x:v>0.75</x:v>
      </x:c>
      <x:c r="L943" s="12" t="str">
        <x:v>LSA similarity cluster; human review pending</x:v>
      </x:c>
      <x:c r="M943" s="12" t="str">
        <x:v>Section: 10.3 ORNL DAAC UWG Suggestions for 2021</x:v>
      </x:c>
      <x:c r="N943" s="12" t="str"/>
      <x:c r="O943" s="12" t="str">
        <x:v>No</x:v>
      </x:c>
      <x:c r="P943" s="12" t="str">
        <x:v>No</x:v>
      </x:c>
      <x:c r="Q943" s="12"/>
      <x:c r="R943" s="12"/>
    </x:row>
    <x:row r="944">
      <x:c r="A944" s="12" t="str">
        <x:v>EVD-00943</x:v>
      </x:c>
      <x:c r="B944" s="12" t="str">
        <x:v>NEED-0158</x:v>
      </x:c>
      <x:c r="C944" s="12" t="str">
        <x:v>SRC-0001</x:v>
      </x:c>
      <x:c r="D944" s="12" t="str">
        <x:v>[UWG21-S04] Improve the communication with data providers about the expected processing time of each stage of the data publication workflow.</x:v>
      </x:c>
      <x:c r="E944" s="12" t="str">
        <x:v>[UWG21-S04] Improve the communication with data providers about the expected processing time of each stage of the data publication workflow.</x:v>
      </x:c>
      <x:c r="F944" s="12" t="str">
        <x:v>Suggestion</x:v>
      </x:c>
      <x:c r="G944" s="12" t="str">
        <x:v>ORNL DAAC User Working Group</x:v>
      </x:c>
      <x:c r="H944" s="12" t="n">
        <x:v>2021</x:v>
      </x:c>
      <x:c r="I944" s="12" t="str">
        <x:v>Data producers and mission teams</x:v>
      </x:c>
      <x:c r="J944" s="12" t="str">
        <x:v>High</x:v>
      </x:c>
      <x:c r="K944" s="16" t="n">
        <x:v>0.75</x:v>
      </x:c>
      <x:c r="L944" s="12" t="str">
        <x:v>LSA similarity cluster; human review pending</x:v>
      </x:c>
      <x:c r="M944" s="12" t="str">
        <x:v>Section: 10.3 ORNL DAAC UWG Suggestions for 2021</x:v>
      </x:c>
      <x:c r="N944" s="12" t="str"/>
      <x:c r="O944" s="12" t="str">
        <x:v>No</x:v>
      </x:c>
      <x:c r="P944" s="12" t="str">
        <x:v>No</x:v>
      </x:c>
      <x:c r="Q944" s="12"/>
      <x:c r="R944" s="12"/>
    </x:row>
    <x:row r="945">
      <x:c r="A945" s="12" t="str">
        <x:v>EVD-00944</x:v>
      </x:c>
      <x:c r="B945" s="12" t="str">
        <x:v>NEED-0189</x:v>
      </x:c>
      <x:c r="C945" s="12" t="str">
        <x:v>SRC-0001</x:v>
      </x:c>
      <x:c r="D945" s="12" t="str">
        <x:v>[UWG21-S05] Collect statistics (e.g., average time to respond to user inquiries and average time of each stage of data publication) and use it to optimize the data publication process in a manner like User Services performs.</x:v>
      </x:c>
      <x:c r="E945" s="12" t="str">
        <x:v>[UWG21-S05] Collect statistics (e.g., average time to respond to user inquiries and average time of each stage of data publication) and use it to optimize the data publication process in a manner like User Services performs.</x:v>
      </x:c>
      <x:c r="F945" s="12" t="str">
        <x:v>Suggestion</x:v>
      </x:c>
      <x:c r="G945" s="12" t="str">
        <x:v>ORNL DAAC User Working Group</x:v>
      </x:c>
      <x:c r="H945" s="12" t="n">
        <x:v>2021</x:v>
      </x:c>
      <x:c r="I945" s="12" t="str">
        <x:v>Data producers and mission teams</x:v>
      </x:c>
      <x:c r="J945" s="12" t="str">
        <x:v>Medium</x:v>
      </x:c>
      <x:c r="K945" s="16" t="n">
        <x:v>0.75</x:v>
      </x:c>
      <x:c r="L945" s="12" t="str">
        <x:v>LSA similarity cluster; human review pending</x:v>
      </x:c>
      <x:c r="M945" s="12" t="str">
        <x:v>Section: 10.3 ORNL DAAC UWG Suggestions for 2021</x:v>
      </x:c>
      <x:c r="N945" s="12" t="str"/>
      <x:c r="O945" s="12" t="str">
        <x:v>No</x:v>
      </x:c>
      <x:c r="P945" s="12" t="str">
        <x:v>No</x:v>
      </x:c>
      <x:c r="Q945" s="12"/>
      <x:c r="R945" s="12"/>
    </x:row>
    <x:row r="946">
      <x:c r="A946" s="12" t="str">
        <x:v>EVD-00945</x:v>
      </x:c>
      <x:c r="B946" s="12" t="str">
        <x:v>NEED-0074</x:v>
      </x:c>
      <x:c r="C946" s="12" t="str">
        <x:v>SRC-0001</x:v>
      </x:c>
      <x:c r="D946" s="12" t="str">
        <x:v>[UWG21-S06] Have two people listed as the data contact for each dataset to minimize data provider failures to reply. Respond to data providers inquiries in a reasonable time frame.</x:v>
      </x:c>
      <x:c r="E946" s="12" t="str">
        <x:v>[UWG21-S06] Have two people listed as the data contact for each dataset to minimize data provider failures to reply. Respond to data providers inquiries in a reasonable time frame.</x:v>
      </x:c>
      <x:c r="F946" s="12" t="str">
        <x:v>Suggestion</x:v>
      </x:c>
      <x:c r="G946" s="12" t="str">
        <x:v>ORNL DAAC User Working Group</x:v>
      </x:c>
      <x:c r="H946" s="12" t="n">
        <x:v>2021</x:v>
      </x:c>
      <x:c r="I946" s="12" t="str">
        <x:v>Earthdata users</x:v>
      </x:c>
      <x:c r="J946" s="12" t="str">
        <x:v>Medium</x:v>
      </x:c>
      <x:c r="K946" s="16" t="n">
        <x:v>0.75</x:v>
      </x:c>
      <x:c r="L946" s="12" t="str">
        <x:v>LSA similarity cluster; human review pending</x:v>
      </x:c>
      <x:c r="M946" s="12" t="str">
        <x:v>Section: 10.3 ORNL DAAC UWG Suggestions for 2021</x:v>
      </x:c>
      <x:c r="N946" s="12" t="str"/>
      <x:c r="O946" s="12" t="str">
        <x:v>No</x:v>
      </x:c>
      <x:c r="P946" s="12" t="str">
        <x:v>No</x:v>
      </x:c>
      <x:c r="Q946" s="12"/>
      <x:c r="R946" s="12"/>
    </x:row>
    <x:row r="947">
      <x:c r="A947" s="12" t="str">
        <x:v>EVD-00946</x:v>
      </x:c>
      <x:c r="B947" s="12" t="str">
        <x:v>NEED-0074</x:v>
      </x:c>
      <x:c r="C947" s="12" t="str">
        <x:v>SRC-0001</x:v>
      </x:c>
      <x:c r="D947" s="12" t="str">
        <x:v>[UWG21-S07] Continue with the preprint dataset approach to streamline the publication process for manuscript-related datasets. Establish a policy to make sure data providers finalize the data with manuscript publication release.</x:v>
      </x:c>
      <x:c r="E947" s="12" t="str">
        <x:v>[UWG21-S07] Continue with the preprint dataset approach to streamline the publication process for manuscript-related datasets. Establish a policy to make sure data providers finalize the data with manuscript publication release.</x:v>
      </x:c>
      <x:c r="F947" s="12" t="str">
        <x:v>Suggestion</x:v>
      </x:c>
      <x:c r="G947" s="12" t="str">
        <x:v>ORNL DAAC User Working Group</x:v>
      </x:c>
      <x:c r="H947" s="12" t="n">
        <x:v>2021</x:v>
      </x:c>
      <x:c r="I947" s="12" t="str">
        <x:v>Data producers and mission teams</x:v>
      </x:c>
      <x:c r="J947" s="12" t="str">
        <x:v>High</x:v>
      </x:c>
      <x:c r="K947" s="16" t="n">
        <x:v>0.75</x:v>
      </x:c>
      <x:c r="L947" s="12" t="str">
        <x:v>LSA similarity cluster; human review pending</x:v>
      </x:c>
      <x:c r="M947" s="12" t="str">
        <x:v>Section: 10.3 ORNL DAAC UWG Suggestions for 2021</x:v>
      </x:c>
      <x:c r="N947" s="12" t="str"/>
      <x:c r="O947" s="12" t="str">
        <x:v>No</x:v>
      </x:c>
      <x:c r="P947" s="12" t="str">
        <x:v>No</x:v>
      </x:c>
      <x:c r="Q947" s="12"/>
      <x:c r="R947" s="12"/>
    </x:row>
    <x:row r="948">
      <x:c r="A948" s="12" t="str">
        <x:v>EVD-00947</x:v>
      </x:c>
      <x:c r="B948" s="12" t="str">
        <x:v>NEED-0101</x:v>
      </x:c>
      <x:c r="C948" s="12" t="str">
        <x:v>SRC-0001</x:v>
      </x:c>
      <x:c r="D948" s="12" t="str">
        <x:v>[UWG21-S08] Continue with the new data versioning policy to improve science reproducibility and transparency. Investigate if there are better ways to manage old versions of data other than placing them in “deep archive” and making them available upon request.</x:v>
      </x:c>
      <x:c r="E948" s="12" t="str">
        <x:v>[UWG21-S08] Continue with the new data versioning policy to improve science reproducibility and transparency. Investigate if there are better ways to manage old versions of data other than placing them in “deep archive” and making them available upon request.</x:v>
      </x:c>
      <x:c r="F948" s="12" t="str">
        <x:v>Suggestion</x:v>
      </x:c>
      <x:c r="G948" s="12" t="str">
        <x:v>ORNL DAAC User Working Group</x:v>
      </x:c>
      <x:c r="H948" s="12" t="n">
        <x:v>2021</x:v>
      </x:c>
      <x:c r="I948" s="12" t="str">
        <x:v>Data producers and mission teams</x:v>
      </x:c>
      <x:c r="J948" s="12" t="str">
        <x:v>High</x:v>
      </x:c>
      <x:c r="K948" s="16" t="n">
        <x:v>0.55</x:v>
      </x:c>
      <x:c r="L948" s="12" t="str">
        <x:v>LSA similarity cluster; human review pending</x:v>
      </x:c>
      <x:c r="M948" s="12" t="str">
        <x:v>Section: 10.3 ORNL DAAC UWG Suggestions for 2021</x:v>
      </x:c>
      <x:c r="N948" s="12" t="str"/>
      <x:c r="O948" s="12" t="str">
        <x:v>No</x:v>
      </x:c>
      <x:c r="P948" s="12" t="str">
        <x:v>No</x:v>
      </x:c>
      <x:c r="Q948" s="12"/>
      <x:c r="R948" s="12"/>
    </x:row>
    <x:row r="949">
      <x:c r="A949" s="12" t="str">
        <x:v>EVD-00948</x:v>
      </x:c>
      <x:c r="B949" s="12" t="str">
        <x:v>NEED-0074</x:v>
      </x:c>
      <x:c r="C949" s="12" t="str">
        <x:v>SRC-0001</x:v>
      </x:c>
      <x:c r="D949" s="12" t="str">
        <x:v>[UWG21-S09] Encourage and guide data providers to archive codes and link them to datasets.</x:v>
      </x:c>
      <x:c r="E949" s="12" t="str">
        <x:v>[UWG21-S09] Encourage and guide data providers to archive codes and link them to datasets.</x:v>
      </x:c>
      <x:c r="F949" s="12" t="str">
        <x:v>Suggestion</x:v>
      </x:c>
      <x:c r="G949" s="12" t="str">
        <x:v>ORNL DAAC User Working Group</x:v>
      </x:c>
      <x:c r="H949" s="12" t="n">
        <x:v>2021</x:v>
      </x:c>
      <x:c r="I949" s="12" t="str">
        <x:v>Application developers; Data producers and mission teams</x:v>
      </x:c>
      <x:c r="J949" s="12" t="str">
        <x:v>High</x:v>
      </x:c>
      <x:c r="K949" s="16" t="n">
        <x:v>0.75</x:v>
      </x:c>
      <x:c r="L949" s="12" t="str">
        <x:v>LSA similarity cluster; human review pending</x:v>
      </x:c>
      <x:c r="M949" s="12" t="str">
        <x:v>Section: 10.3 ORNL DAAC UWG Suggestions for 2021</x:v>
      </x:c>
      <x:c r="N949" s="12" t="str"/>
      <x:c r="O949" s="12" t="str">
        <x:v>No</x:v>
      </x:c>
      <x:c r="P949" s="12" t="str">
        <x:v>No</x:v>
      </x:c>
      <x:c r="Q949" s="12"/>
      <x:c r="R949" s="12"/>
    </x:row>
    <x:row r="950">
      <x:c r="A950" s="12" t="str">
        <x:v>EVD-00949</x:v>
      </x:c>
      <x:c r="B950" s="12" t="str">
        <x:v>NEED-0122</x:v>
      </x:c>
      <x:c r="C950" s="12" t="str">
        <x:v>SRC-0001</x:v>
      </x:c>
      <x:c r="D950" s="12" t="str">
        <x:v>[UWG21-S10] Investigate adding re-gridding capability into TESViS; Suggest considering the various ABoVE domain grids as a test case.</x:v>
      </x:c>
      <x:c r="E950" s="12" t="str">
        <x:v>[UWG21-S10] Investigate adding re-gridding capability into TESViS; Suggest considering the various ABoVE domain grids as a test case.</x:v>
      </x:c>
      <x:c r="F950" s="12" t="str">
        <x:v>Suggestion</x:v>
      </x:c>
      <x:c r="G950" s="12" t="str">
        <x:v>ORNL DAAC User Working Group</x:v>
      </x:c>
      <x:c r="H950" s="12" t="n">
        <x:v>2021</x:v>
      </x:c>
      <x:c r="I950" s="12" t="str">
        <x:v>Earthdata users</x:v>
      </x:c>
      <x:c r="J950" s="12" t="str">
        <x:v>High</x:v>
      </x:c>
      <x:c r="K950" s="16" t="n">
        <x:v>0.75</x:v>
      </x:c>
      <x:c r="L950" s="12" t="str">
        <x:v>LSA similarity cluster; human review pending</x:v>
      </x:c>
      <x:c r="M950" s="12" t="str">
        <x:v>Section: 10.3 ORNL DAAC UWG Suggestions for 2021</x:v>
      </x:c>
      <x:c r="N950" s="12" t="str"/>
      <x:c r="O950" s="12" t="str">
        <x:v>No</x:v>
      </x:c>
      <x:c r="P950" s="12" t="str">
        <x:v>No</x:v>
      </x:c>
      <x:c r="Q950" s="12"/>
      <x:c r="R950" s="12"/>
    </x:row>
    <x:row r="951">
      <x:c r="A951" s="12" t="str">
        <x:v>EVD-00950</x:v>
      </x:c>
      <x:c r="B951" s="12" t="str">
        <x:v>NEED-0051</x:v>
      </x:c>
      <x:c r="C951" s="12" t="str">
        <x:v>SRC-0001</x:v>
      </x:c>
      <x:c r="D951" s="12" t="str">
        <x:v>[UWG21-S11] Investigate approaches to ease the discovery of and access to airborne data across missions, campaigns, and DAACs.</x:v>
      </x:c>
      <x:c r="E951" s="12" t="str">
        <x:v>[UWG21-S11] Investigate approaches to ease the discovery of and access to airborne data across missions, campaigns, and DAACs.</x:v>
      </x:c>
      <x:c r="F951" s="12" t="str">
        <x:v>Suggestion</x:v>
      </x:c>
      <x:c r="G951" s="12" t="str">
        <x:v>ORNL DAAC User Working Group</x:v>
      </x:c>
      <x:c r="H951" s="12" t="n">
        <x:v>2021</x:v>
      </x:c>
      <x:c r="I951" s="12" t="str">
        <x:v>Data producers and mission teams</x:v>
      </x:c>
      <x:c r="J951" s="12" t="str">
        <x:v>Medium</x:v>
      </x:c>
      <x:c r="K951" s="16" t="n">
        <x:v>0.75</x:v>
      </x:c>
      <x:c r="L951" s="12" t="str">
        <x:v>LSA similarity cluster; human review pending</x:v>
      </x:c>
      <x:c r="M951" s="12" t="str">
        <x:v>Section: 10.3 ORNL DAAC UWG Suggestions for 2021</x:v>
      </x:c>
      <x:c r="N951" s="12" t="str"/>
      <x:c r="O951" s="12" t="str">
        <x:v>No</x:v>
      </x:c>
      <x:c r="P951" s="12" t="str">
        <x:v>No</x:v>
      </x:c>
      <x:c r="Q951" s="12"/>
      <x:c r="R951" s="12"/>
    </x:row>
    <x:row r="952">
      <x:c r="A952" s="12" t="str">
        <x:v>EVD-00951</x:v>
      </x:c>
      <x:c r="B952" s="12" t="str">
        <x:v>NEED-0122</x:v>
      </x:c>
      <x:c r="C952" s="12" t="str">
        <x:v>SRC-0001</x:v>
      </x:c>
      <x:c r="D952" s="12" t="str">
        <x:v>[UWG21-S12] Investigate approaches to allow users request to be notified when new data are available that meet user-specified criteria.</x:v>
      </x:c>
      <x:c r="E952" s="12" t="str">
        <x:v>[UWG21-S12] Investigate approaches to allow users request to be notified when new data are available that meet user-specified criteria.</x:v>
      </x:c>
      <x:c r="F952" s="12" t="str">
        <x:v>Suggestion</x:v>
      </x:c>
      <x:c r="G952" s="12" t="str">
        <x:v>ORNL DAAC User Working Group</x:v>
      </x:c>
      <x:c r="H952" s="12" t="n">
        <x:v>2021</x:v>
      </x:c>
      <x:c r="I952" s="12" t="str">
        <x:v>Earthdata users</x:v>
      </x:c>
      <x:c r="J952" s="12" t="str">
        <x:v>High</x:v>
      </x:c>
      <x:c r="K952" s="16" t="n">
        <x:v>0.75</x:v>
      </x:c>
      <x:c r="L952" s="12" t="str">
        <x:v>LSA similarity cluster; human review pending</x:v>
      </x:c>
      <x:c r="M952" s="12" t="str">
        <x:v>Section: 10.3 ORNL DAAC UWG Suggestions for 2021</x:v>
      </x:c>
      <x:c r="N952" s="12" t="str"/>
      <x:c r="O952" s="12" t="str">
        <x:v>No</x:v>
      </x:c>
      <x:c r="P952" s="12" t="str">
        <x:v>No</x:v>
      </x:c>
      <x:c r="Q952" s="12"/>
      <x:c r="R952" s="12"/>
    </x:row>
    <x:row r="953">
      <x:c r="A953" s="12" t="str">
        <x:v>EVD-00952</x:v>
      </x:c>
      <x:c r="B953" s="12" t="str">
        <x:v>NEED-0122</x:v>
      </x:c>
      <x:c r="C953" s="12" t="str">
        <x:v>SRC-0001</x:v>
      </x:c>
      <x:c r="D953" s="12" t="str">
        <x:v>[UWG21-S13] Provide suggested best practices for deriving other value-added parameters from Daymet variables and utilize the community to maintain this resource.</x:v>
      </x:c>
      <x:c r="E953" s="12" t="str">
        <x:v>[UWG21-S13] Provide suggested best practices for deriving other value-added parameters from Daymet variables and utilize the community to maintain this resource.</x:v>
      </x:c>
      <x:c r="F953" s="12" t="str">
        <x:v>Suggestion</x:v>
      </x:c>
      <x:c r="G953" s="12" t="str">
        <x:v>ORNL DAAC User Working Group</x:v>
      </x:c>
      <x:c r="H953" s="12" t="n">
        <x:v>2021</x:v>
      </x:c>
      <x:c r="I953" s="12" t="str">
        <x:v>Earthdata users</x:v>
      </x:c>
      <x:c r="J953" s="12" t="str">
        <x:v>High</x:v>
      </x:c>
      <x:c r="K953" s="16" t="n">
        <x:v>0.75</x:v>
      </x:c>
      <x:c r="L953" s="12" t="str">
        <x:v>LSA similarity cluster; human review pending</x:v>
      </x:c>
      <x:c r="M953" s="12" t="str">
        <x:v>Section: 10.3 ORNL DAAC UWG Suggestions for 2021</x:v>
      </x:c>
      <x:c r="N953" s="12" t="str"/>
      <x:c r="O953" s="12" t="str">
        <x:v>No</x:v>
      </x:c>
      <x:c r="P953" s="12" t="str">
        <x:v>No</x:v>
      </x:c>
      <x:c r="Q953" s="12"/>
      <x:c r="R953" s="12"/>
    </x:row>
    <x:row r="954">
      <x:c r="A954" s="12" t="str">
        <x:v>EVD-00953</x:v>
      </x:c>
      <x:c r="B954" s="12" t="str">
        <x:v>NEED-0122</x:v>
      </x:c>
      <x:c r="C954" s="12" t="str">
        <x:v>SRC-0001</x:v>
      </x:c>
      <x:c r="D954" s="12" t="str">
        <x:v>[UWG21-S14] Investigate approaches to estimating pixel-by-pixel uncertainty as a function of time for each Daymet variable.</x:v>
      </x:c>
      <x:c r="E954" s="12" t="str">
        <x:v>[UWG21-S14] Investigate approaches to estimating pixel-by-pixel uncertainty as a function of time for each Daymet variable.</x:v>
      </x:c>
      <x:c r="F954" s="12" t="str">
        <x:v>Suggestion</x:v>
      </x:c>
      <x:c r="G954" s="12" t="str">
        <x:v>ORNL DAAC User Working Group</x:v>
      </x:c>
      <x:c r="H954" s="12" t="n">
        <x:v>2021</x:v>
      </x:c>
      <x:c r="I954" s="12" t="str">
        <x:v>Earthdata users</x:v>
      </x:c>
      <x:c r="J954" s="12" t="str">
        <x:v>Medium</x:v>
      </x:c>
      <x:c r="K954" s="16" t="n">
        <x:v>0.75</x:v>
      </x:c>
      <x:c r="L954" s="12" t="str">
        <x:v>LSA similarity cluster; human review pending</x:v>
      </x:c>
      <x:c r="M954" s="12" t="str">
        <x:v>Section: 10.3 ORNL DAAC UWG Suggestions for 2021</x:v>
      </x:c>
      <x:c r="N954" s="12" t="str"/>
      <x:c r="O954" s="12" t="str">
        <x:v>No</x:v>
      </x:c>
      <x:c r="P954" s="12" t="str">
        <x:v>No</x:v>
      </x:c>
      <x:c r="Q954" s="12"/>
      <x:c r="R954" s="12"/>
    </x:row>
    <x:row r="955">
      <x:c r="A955" s="12" t="str">
        <x:v>EVD-00954</x:v>
      </x:c>
      <x:c r="B955" s="12" t="str">
        <x:v>NEED-0074</x:v>
      </x:c>
      <x:c r="C955" s="12" t="str">
        <x:v>SRC-0001</x:v>
      </x:c>
      <x:c r="D955" s="12" t="str">
        <x:v>[UWG21-S15] Investigate the feasibility of ensuring all data providers include uncertainty estimates in their data products. Through cross-DAAC collaboration and leveraging community expertise, provide guidance on estimating and representing uncertainties.</x:v>
      </x:c>
      <x:c r="E955" s="12" t="str">
        <x:v>[UWG21-S15] Investigate the feasibility of ensuring all data providers include uncertainty estimates in their data products. Through cross-DAAC collaboration and leveraging community expertise, provide guidance on estimating and representing uncertainties.</x:v>
      </x:c>
      <x:c r="F955" s="12" t="str">
        <x:v>Suggestion</x:v>
      </x:c>
      <x:c r="G955" s="12" t="str">
        <x:v>ORNL DAAC User Working Group</x:v>
      </x:c>
      <x:c r="H955" s="12" t="n">
        <x:v>2021</x:v>
      </x:c>
      <x:c r="I955" s="12" t="str">
        <x:v>Earthdata users</x:v>
      </x:c>
      <x:c r="J955" s="12" t="str">
        <x:v>High</x:v>
      </x:c>
      <x:c r="K955" s="16" t="n">
        <x:v>0.75</x:v>
      </x:c>
      <x:c r="L955" s="12" t="str">
        <x:v>LSA similarity cluster; human review pending</x:v>
      </x:c>
      <x:c r="M955" s="12" t="str">
        <x:v>Section: 10.3 ORNL DAAC UWG Suggestions for 2021</x:v>
      </x:c>
      <x:c r="N955" s="12" t="str"/>
      <x:c r="O955" s="12" t="str">
        <x:v>No</x:v>
      </x:c>
      <x:c r="P955" s="12" t="str">
        <x:v>No</x:v>
      </x:c>
      <x:c r="Q955" s="12"/>
      <x:c r="R955" s="12"/>
    </x:row>
    <x:row r="956">
      <x:c r="A956" s="12" t="str">
        <x:v>EVD-00955</x:v>
      </x:c>
      <x:c r="B956" s="12" t="str">
        <x:v>NEED-0131</x:v>
      </x:c>
      <x:c r="C956" s="12" t="str">
        <x:v>SRC-0001</x:v>
      </x:c>
      <x:c r="D956" s="12" t="str">
        <x:v>The UWG expresses its appreciation to Michelle Gierach for her steadfast and exemplary leadership, organization, and energy over the past decade or so.</x:v>
      </x:c>
      <x:c r="E956" s="12" t="str">
        <x:v>The UWG expresses its appreciation to Michelle Gierach for her steadfast and exemplary leadership, organization, and energy over the past decade or so.</x:v>
      </x:c>
      <x:c r="F956" s="12" t="str">
        <x:v>Key Takeaway</x:v>
      </x:c>
      <x:c r="G956" s="12" t="str">
        <x:v>PO.DAAC User Working Group</x:v>
      </x:c>
      <x:c r="H956" s="12" t="n">
        <x:v>2021</x:v>
      </x:c>
      <x:c r="I956" s="12" t="str">
        <x:v>Earthdata users</x:v>
      </x:c>
      <x:c r="J956" s="12" t="str">
        <x:v>Medium</x:v>
      </x:c>
      <x:c r="K956" s="16" t="n">
        <x:v>0.75</x:v>
      </x:c>
      <x:c r="L956" s="12" t="str">
        <x:v>LSA similarity cluster; human review pending</x:v>
      </x:c>
      <x:c r="M956" s="12" t="str">
        <x:v>Section: 11.1.1 Key Points</x:v>
      </x:c>
      <x:c r="N956" s="12" t="str"/>
      <x:c r="O956" s="12" t="str">
        <x:v>No</x:v>
      </x:c>
      <x:c r="P956" s="12" t="str">
        <x:v>No</x:v>
      </x:c>
      <x:c r="Q956" s="12"/>
      <x:c r="R956" s="12"/>
    </x:row>
    <x:row r="957">
      <x:c r="A957" s="12" t="str">
        <x:v>EVD-00956</x:v>
      </x:c>
      <x:c r="B957" s="12" t="str">
        <x:v>NEED-0124</x:v>
      </x:c>
      <x:c r="C957" s="12" t="str">
        <x:v>SRC-0001</x:v>
      </x:c>
      <x:c r="D957" s="12" t="str">
        <x:v>Phil Thompson will be the new co-chair for a two-year term, replacing Frederick Bingham.</x:v>
      </x:c>
      <x:c r="E957" s="12" t="str">
        <x:v>Phil Thompson will be the new co-chair for a two-year term, replacing Frederick Bingham.</x:v>
      </x:c>
      <x:c r="F957" s="12" t="str">
        <x:v>Key Takeaway</x:v>
      </x:c>
      <x:c r="G957" s="12" t="str">
        <x:v>PO.DAAC User Working Group</x:v>
      </x:c>
      <x:c r="H957" s="12" t="n">
        <x:v>2021</x:v>
      </x:c>
      <x:c r="I957" s="12" t="str">
        <x:v>Earthdata users</x:v>
      </x:c>
      <x:c r="J957" s="12" t="str">
        <x:v>Medium</x:v>
      </x:c>
      <x:c r="K957" s="16" t="n">
        <x:v>0.75</x:v>
      </x:c>
      <x:c r="L957" s="12" t="str">
        <x:v>LSA similarity cluster; human review pending</x:v>
      </x:c>
      <x:c r="M957" s="12" t="str">
        <x:v>Section: 11.1.1 Key Points</x:v>
      </x:c>
      <x:c r="N957" s="12" t="str"/>
      <x:c r="O957" s="12" t="str">
        <x:v>No</x:v>
      </x:c>
      <x:c r="P957" s="12" t="str">
        <x:v>No</x:v>
      </x:c>
      <x:c r="Q957" s="12"/>
      <x:c r="R957" s="12"/>
    </x:row>
    <x:row r="958">
      <x:c r="A958" s="12" t="str">
        <x:v>EVD-00957</x:v>
      </x:c>
      <x:c r="B958" s="12" t="str">
        <x:v>NEED-0131</x:v>
      </x:c>
      <x:c r="C958" s="12" t="str">
        <x:v>SRC-0001</x:v>
      </x:c>
      <x:c r="D958" s="12" t="str">
        <x:v>Overall, the UWG was impressed with PO.DAAC’s enormous progress in the past year, and the thoroughness with which previous recommendations were addressed.</x:v>
      </x:c>
      <x:c r="E958" s="12" t="str">
        <x:v>Overall, the UWG was impressed with PO.DAAC’s enormous progress in the past year, and the thoroughness with which previous recommendations were addressed.</x:v>
      </x:c>
      <x:c r="F958" s="12" t="str">
        <x:v>Recommendation</x:v>
      </x:c>
      <x:c r="G958" s="12" t="str">
        <x:v>PO.DAAC User Working Group</x:v>
      </x:c>
      <x:c r="H958" s="12" t="n">
        <x:v>2021</x:v>
      </x:c>
      <x:c r="I958" s="12" t="str">
        <x:v>Earthdata users</x:v>
      </x:c>
      <x:c r="J958" s="12" t="str">
        <x:v>Low</x:v>
      </x:c>
      <x:c r="K958" s="16" t="n">
        <x:v>0.75</x:v>
      </x:c>
      <x:c r="L958" s="12" t="str">
        <x:v>LSA similarity cluster; human review pending</x:v>
      </x:c>
      <x:c r="M958" s="12" t="str">
        <x:v>Section: 11.1.1 Key Points</x:v>
      </x:c>
      <x:c r="N958" s="12" t="str"/>
      <x:c r="O958" s="12" t="str">
        <x:v>No</x:v>
      </x:c>
      <x:c r="P958" s="12" t="str">
        <x:v>No</x:v>
      </x:c>
      <x:c r="Q958" s="12"/>
      <x:c r="R958" s="12"/>
    </x:row>
    <x:row r="959">
      <x:c r="A959" s="12" t="str">
        <x:v>EVD-00958</x:v>
      </x:c>
      <x:c r="B959" s="12" t="str">
        <x:v>NEED-0124</x:v>
      </x:c>
      <x:c r="C959" s="12" t="str">
        <x:v>SRC-0001</x:v>
      </x:c>
      <x:c r="D959" s="12" t="str">
        <x:v>The UWG was unanimous in suggesting returning to in-person meeting next year (if possible).</x:v>
      </x:c>
      <x:c r="E959" s="12" t="str">
        <x:v>The UWG was unanimous in suggesting returning to in-person meeting next year (if possible).</x:v>
      </x:c>
      <x:c r="F959" s="12" t="str">
        <x:v>Suggestion</x:v>
      </x:c>
      <x:c r="G959" s="12" t="str">
        <x:v>PO.DAAC User Working Group</x:v>
      </x:c>
      <x:c r="H959" s="12" t="n">
        <x:v>2021</x:v>
      </x:c>
      <x:c r="I959" s="12" t="str">
        <x:v>Earthdata users</x:v>
      </x:c>
      <x:c r="J959" s="12" t="str">
        <x:v>Medium</x:v>
      </x:c>
      <x:c r="K959" s="16" t="n">
        <x:v>0.75</x:v>
      </x:c>
      <x:c r="L959" s="12" t="str">
        <x:v>LSA similarity cluster; human review pending</x:v>
      </x:c>
      <x:c r="M959" s="12" t="str">
        <x:v>Section: 11.1.1 Key Points</x:v>
      </x:c>
      <x:c r="N959" s="12" t="str"/>
      <x:c r="O959" s="12" t="str">
        <x:v>No</x:v>
      </x:c>
      <x:c r="P959" s="12" t="str">
        <x:v>No</x:v>
      </x:c>
      <x:c r="Q959" s="12"/>
      <x:c r="R959" s="12"/>
    </x:row>
    <x:row r="960">
      <x:c r="A960" s="12" t="str">
        <x:v>EVD-00959</x:v>
      </x:c>
      <x:c r="B960" s="12" t="str">
        <x:v>NEED-0010</x:v>
      </x:c>
      <x:c r="C960" s="12" t="str">
        <x:v>SRC-0001</x:v>
      </x:c>
      <x:c r="D960" s="12" t="str">
        <x:v>The UWG is very supportive of PO.DAAC's current work and applaud the robust plans for cloud migration. The UWG identified that “Work with HQ to develop ROSES a cloud framework.” is a priority for the community. Expenses associated with cloud computing are difficult to estimate at this time.</x:v>
      </x:c>
      <x:c r="E960" s="12" t="str">
        <x:v>The UWG is very supportive of PO.DAAC's current work and applaud the robust plans for cloud migration. The UWG identified that “Work with HQ to develop ROSES a cloud framework.” is a priority for the community. Expenses associated with cloud computing are difficult to estimate at this time.</x:v>
      </x:c>
      <x:c r="F960" s="12" t="str">
        <x:v>Key Takeaway</x:v>
      </x:c>
      <x:c r="G960" s="12" t="str">
        <x:v>PO.DAAC User Working Group</x:v>
      </x:c>
      <x:c r="H960" s="12" t="n">
        <x:v>2021</x:v>
      </x:c>
      <x:c r="I960" s="12" t="str">
        <x:v>Cloud-native researchers</x:v>
      </x:c>
      <x:c r="J960" s="12" t="str">
        <x:v>High</x:v>
      </x:c>
      <x:c r="K960" s="16" t="n">
        <x:v>0.75</x:v>
      </x:c>
      <x:c r="L960" s="12" t="str">
        <x:v>LSA similarity cluster; human review pending</x:v>
      </x:c>
      <x:c r="M960" s="12" t="str">
        <x:v>Section: 11.1.1 Key Points</x:v>
      </x:c>
      <x:c r="N960" s="12" t="str"/>
      <x:c r="O960" s="12" t="str">
        <x:v>No</x:v>
      </x:c>
      <x:c r="P960" s="12" t="str">
        <x:v>No</x:v>
      </x:c>
      <x:c r="Q960" s="12"/>
      <x:c r="R960" s="12"/>
    </x:row>
    <x:row r="961">
      <x:c r="A961" s="12" t="str">
        <x:v>EVD-00960</x:v>
      </x:c>
      <x:c r="B961" s="12" t="str">
        <x:v>NEED-0127</x:v>
      </x:c>
      <x:c r="C961" s="12" t="str">
        <x:v>SRC-0001</x:v>
      </x:c>
      <x:c r="D961" s="12" t="str">
        <x:v>The UWG urges PO.DAAC to continue their work on Data Submission and EarthdataPub Participation.</x:v>
      </x:c>
      <x:c r="E961" s="12" t="str">
        <x:v>The UWG urges PO.DAAC to continue their work on Data Submission and EarthdataPub Participation.</x:v>
      </x:c>
      <x:c r="F961" s="12" t="str">
        <x:v>Key Takeaway</x:v>
      </x:c>
      <x:c r="G961" s="12" t="str">
        <x:v>PO.DAAC User Working Group</x:v>
      </x:c>
      <x:c r="H961" s="12" t="n">
        <x:v>2021</x:v>
      </x:c>
      <x:c r="I961" s="12" t="str">
        <x:v>Data producers and mission teams</x:v>
      </x:c>
      <x:c r="J961" s="12" t="str">
        <x:v>High</x:v>
      </x:c>
      <x:c r="K961" s="16" t="n">
        <x:v>0.75</x:v>
      </x:c>
      <x:c r="L961" s="12" t="str">
        <x:v>LSA similarity cluster; human review pending</x:v>
      </x:c>
      <x:c r="M961" s="12" t="str">
        <x:v>Section: 11.1.1 Key Points</x:v>
      </x:c>
      <x:c r="N961" s="12" t="str"/>
      <x:c r="O961" s="12" t="str">
        <x:v>No</x:v>
      </x:c>
      <x:c r="P961" s="12" t="str">
        <x:v>No</x:v>
      </x:c>
      <x:c r="Q961" s="12"/>
      <x:c r="R961" s="12"/>
    </x:row>
    <x:row r="962">
      <x:c r="A962" s="12" t="str">
        <x:v>EVD-00961</x:v>
      </x:c>
      <x:c r="B962" s="12" t="str">
        <x:v>NEED-0219</x:v>
      </x:c>
      <x:c r="C962" s="12" t="str">
        <x:v>SRC-0001</x:v>
      </x:c>
      <x:c r="D962" s="12" t="str">
        <x:v>The UWG appreciates the continuing work on SOTO and commented on the possibility of supporting future field campaigns.</x:v>
      </x:c>
      <x:c r="E962" s="12" t="str">
        <x:v>The UWG appreciates the continuing work on SOTO and commented on the possibility of supporting future field campaigns.</x:v>
      </x:c>
      <x:c r="F962" s="12" t="str">
        <x:v>Key Takeaway</x:v>
      </x:c>
      <x:c r="G962" s="12" t="str">
        <x:v>PO.DAAC User Working Group</x:v>
      </x:c>
      <x:c r="H962" s="12" t="n">
        <x:v>2021</x:v>
      </x:c>
      <x:c r="I962" s="12" t="str">
        <x:v>Earthdata users</x:v>
      </x:c>
      <x:c r="J962" s="12" t="str">
        <x:v>Medium</x:v>
      </x:c>
      <x:c r="K962" s="16" t="n">
        <x:v>0.55</x:v>
      </x:c>
      <x:c r="L962" s="12" t="str">
        <x:v>LSA similarity cluster; human review pending</x:v>
      </x:c>
      <x:c r="M962" s="12" t="str">
        <x:v>Section: 11.1.1 Key Points</x:v>
      </x:c>
      <x:c r="N962" s="12" t="str"/>
      <x:c r="O962" s="12" t="str">
        <x:v>No</x:v>
      </x:c>
      <x:c r="P962" s="12" t="str">
        <x:v>No</x:v>
      </x:c>
      <x:c r="Q962" s="12"/>
      <x:c r="R962" s="12"/>
    </x:row>
    <x:row r="963">
      <x:c r="A963" s="12" t="str">
        <x:v>EVD-00962</x:v>
      </x:c>
      <x:c r="B963" s="12" t="str">
        <x:v>NEED-0121</x:v>
      </x:c>
      <x:c r="C963" s="12" t="str">
        <x:v>SRC-0001</x:v>
      </x:c>
      <x:c r="D963" s="12" t="str">
        <x:v>The UWG is extremely impressed with the new LAS front-end and functionality, and is interested to hear the results of PO.DAAC’s trade study on LAS and ERDDAP.</x:v>
      </x:c>
      <x:c r="E963" s="12" t="str">
        <x:v>The UWG is extremely impressed with the new LAS front-end and functionality, and is interested to hear the results of PO.DAAC’s trade study on LAS and ERDDAP.</x:v>
      </x:c>
      <x:c r="F963" s="12" t="str">
        <x:v>Key Takeaway</x:v>
      </x:c>
      <x:c r="G963" s="12" t="str">
        <x:v>PO.DAAC User Working Group</x:v>
      </x:c>
      <x:c r="H963" s="12" t="n">
        <x:v>2021</x:v>
      </x:c>
      <x:c r="I963" s="12" t="str">
        <x:v>Earthdata users</x:v>
      </x:c>
      <x:c r="J963" s="12" t="str">
        <x:v>Medium</x:v>
      </x:c>
      <x:c r="K963" s="16" t="n">
        <x:v>0.75</x:v>
      </x:c>
      <x:c r="L963" s="12" t="str">
        <x:v>LSA similarity cluster; human review pending</x:v>
      </x:c>
      <x:c r="M963" s="12" t="str">
        <x:v>Section: 11.1.1 Key Points</x:v>
      </x:c>
      <x:c r="N963" s="12" t="str"/>
      <x:c r="O963" s="12" t="str">
        <x:v>No</x:v>
      </x:c>
      <x:c r="P963" s="12" t="str">
        <x:v>No</x:v>
      </x:c>
      <x:c r="Q963" s="12"/>
      <x:c r="R963" s="12"/>
    </x:row>
    <x:row r="964">
      <x:c r="A964" s="12" t="str">
        <x:v>EVD-00963</x:v>
      </x:c>
      <x:c r="B964" s="12" t="str">
        <x:v>NEED-0120</x:v>
      </x:c>
      <x:c r="C964" s="12" t="str">
        <x:v>SRC-0001</x:v>
      </x:c>
      <x:c r="D964" s="12" t="str">
        <x:v>UWG would urge PO.DAAC to keep up to date on developments, or even participate in the discussion.</x:v>
      </x:c>
      <x:c r="E964" s="12" t="str">
        <x:v>UWG would urge PO.DAAC to keep up to date on developments, or even participate in the discussion.</x:v>
      </x:c>
      <x:c r="F964" s="12" t="str">
        <x:v>Key Takeaway</x:v>
      </x:c>
      <x:c r="G964" s="12" t="str">
        <x:v>PO.DAAC User Working Group</x:v>
      </x:c>
      <x:c r="H964" s="12" t="n">
        <x:v>2021</x:v>
      </x:c>
      <x:c r="I964" s="12" t="str">
        <x:v>Earthdata users</x:v>
      </x:c>
      <x:c r="J964" s="12" t="str">
        <x:v>Medium</x:v>
      </x:c>
      <x:c r="K964" s="16" t="n">
        <x:v>0.75</x:v>
      </x:c>
      <x:c r="L964" s="12" t="str">
        <x:v>LSA similarity cluster; human review pending</x:v>
      </x:c>
      <x:c r="M964" s="12" t="str">
        <x:v>Section: 11.1.1 Key Points</x:v>
      </x:c>
      <x:c r="N964" s="12" t="str"/>
      <x:c r="O964" s="12" t="str">
        <x:v>No</x:v>
      </x:c>
      <x:c r="P964" s="12" t="str">
        <x:v>No</x:v>
      </x:c>
      <x:c r="Q964" s="12"/>
      <x:c r="R964" s="12"/>
    </x:row>
    <x:row r="965">
      <x:c r="A965" s="12" t="str">
        <x:v>EVD-00964</x:v>
      </x:c>
      <x:c r="B965" s="12" t="str">
        <x:v>NEED-0121</x:v>
      </x:c>
      <x:c r="C965" s="12" t="str">
        <x:v>SRC-0001</x:v>
      </x:c>
      <x:c r="D965" s="12" t="str">
        <x:v>The UWG has submitted a list of hydrologists candidates for the new UWG member. The UWG recommended PO.DAAC to approach the SWOT Hydrology Science Lead Tamlin Pavelsky for further suggestions.</x:v>
      </x:c>
      <x:c r="E965" s="12" t="str">
        <x:v>The UWG has submitted a list of hydrologists candidates for the new UWG member. The UWG recommended PO.DAAC to approach the SWOT Hydrology Science Lead Tamlin Pavelsky for further suggestions.</x:v>
      </x:c>
      <x:c r="F965" s="12" t="str">
        <x:v>Recommendation</x:v>
      </x:c>
      <x:c r="G965" s="12" t="str">
        <x:v>PO.DAAC User Working Group</x:v>
      </x:c>
      <x:c r="H965" s="12" t="n">
        <x:v>2021</x:v>
      </x:c>
      <x:c r="I965" s="12" t="str">
        <x:v>GIS users</x:v>
      </x:c>
      <x:c r="J965" s="12" t="str">
        <x:v>Low</x:v>
      </x:c>
      <x:c r="K965" s="16" t="n">
        <x:v>0.75</x:v>
      </x:c>
      <x:c r="L965" s="12" t="str">
        <x:v>LSA similarity cluster; human review pending</x:v>
      </x:c>
      <x:c r="M965" s="12" t="str">
        <x:v>Section: 11.1.1 Key Points</x:v>
      </x:c>
      <x:c r="N965" s="12" t="str"/>
      <x:c r="O965" s="12" t="str">
        <x:v>No</x:v>
      </x:c>
      <x:c r="P965" s="12" t="str">
        <x:v>No</x:v>
      </x:c>
      <x:c r="Q965" s="12"/>
      <x:c r="R965" s="12"/>
    </x:row>
    <x:row r="966">
      <x:c r="A966" s="12" t="str">
        <x:v>EVD-00965</x:v>
      </x:c>
      <x:c r="B966" s="12" t="str">
        <x:v>NEED-0019</x:v>
      </x:c>
      <x:c r="C966" s="12" t="str">
        <x:v>SRC-0001</x:v>
      </x:c>
      <x:c r="D966" s="12" t="str">
        <x:v>2021-2.1 - Early cloud access for users</x:v>
      </x:c>
      <x:c r="E966" s="12" t="str">
        <x:v>2021-2.1 - Early cloud access for users</x:v>
      </x:c>
      <x:c r="F966" s="12" t="str">
        <x:v>Action</x:v>
      </x:c>
      <x:c r="G966" s="12" t="str">
        <x:v>PO.DAAC User Working Group</x:v>
      </x:c>
      <x:c r="H966" s="12" t="n">
        <x:v>2021</x:v>
      </x:c>
      <x:c r="I966" s="12" t="str">
        <x:v>Cloud-native researchers</x:v>
      </x:c>
      <x:c r="J966" s="12" t="str">
        <x:v>Medium</x:v>
      </x:c>
      <x:c r="K966" s="16" t="n">
        <x:v>0.75</x:v>
      </x:c>
      <x:c r="L966" s="12" t="str">
        <x:v>LSA similarity cluster; human review pending</x:v>
      </x:c>
      <x:c r="M966" s="12" t="str">
        <x:v>Section: 11.1.2 Key Action Items</x:v>
      </x:c>
      <x:c r="N966" s="12" t="str"/>
      <x:c r="O966" s="12" t="str">
        <x:v>No</x:v>
      </x:c>
      <x:c r="P966" s="12" t="str">
        <x:v>No</x:v>
      </x:c>
      <x:c r="Q966" s="12"/>
      <x:c r="R966" s="12"/>
    </x:row>
    <x:row r="967">
      <x:c r="A967" s="12" t="str">
        <x:v>EVD-00966</x:v>
      </x:c>
      <x:c r="B967" s="12" t="str">
        <x:v>NEED-0010</x:v>
      </x:c>
      <x:c r="C967" s="12" t="str">
        <x:v>SRC-0001</x:v>
      </x:c>
      <x:c r="D967" s="12" t="str">
        <x:v>2020-2.7 - Work with HQ to develop a cloud framework for ROSES</x:v>
      </x:c>
      <x:c r="E967" s="12" t="str">
        <x:v>2020-2.7 - Work with HQ to develop a cloud framework for ROSES</x:v>
      </x:c>
      <x:c r="F967" s="12" t="str">
        <x:v>Action</x:v>
      </x:c>
      <x:c r="G967" s="12" t="str">
        <x:v>PO.DAAC User Working Group</x:v>
      </x:c>
      <x:c r="H967" s="12" t="n">
        <x:v>2021</x:v>
      </x:c>
      <x:c r="I967" s="12" t="str">
        <x:v>Cloud-native researchers</x:v>
      </x:c>
      <x:c r="J967" s="12" t="str">
        <x:v>High</x:v>
      </x:c>
      <x:c r="K967" s="16" t="n">
        <x:v>0.75</x:v>
      </x:c>
      <x:c r="L967" s="12" t="str">
        <x:v>LSA similarity cluster; human review pending</x:v>
      </x:c>
      <x:c r="M967" s="12" t="str">
        <x:v>Section: 11.1.2 Key Action Items</x:v>
      </x:c>
      <x:c r="N967" s="12" t="str"/>
      <x:c r="O967" s="12" t="str">
        <x:v>No</x:v>
      </x:c>
      <x:c r="P967" s="12" t="str">
        <x:v>No</x:v>
      </x:c>
      <x:c r="Q967" s="12"/>
      <x:c r="R967" s="12"/>
    </x:row>
    <x:row r="968">
      <x:c r="A968" s="12" t="str">
        <x:v>EVD-00967</x:v>
      </x:c>
      <x:c r="B968" s="12" t="str">
        <x:v>NEED-0126</x:v>
      </x:c>
      <x:c r="C968" s="12" t="str">
        <x:v>SRC-0001</x:v>
      </x:c>
      <x:c r="D968" s="12" t="str">
        <x:v>Data Publication &amp; Metrics</x:v>
      </x:c>
      <x:c r="E968" s="12" t="str">
        <x:v>Data Publication &amp; Metrics</x:v>
      </x:c>
      <x:c r="F968" s="12" t="str">
        <x:v>Action</x:v>
      </x:c>
      <x:c r="G968" s="12" t="str">
        <x:v>PO.DAAC User Working Group</x:v>
      </x:c>
      <x:c r="H968" s="12" t="n">
        <x:v>2021</x:v>
      </x:c>
      <x:c r="I968" s="12" t="str">
        <x:v>Data producers and mission teams</x:v>
      </x:c>
      <x:c r="J968" s="12" t="str">
        <x:v>Medium</x:v>
      </x:c>
      <x:c r="K968" s="16" t="n">
        <x:v>0.75</x:v>
      </x:c>
      <x:c r="L968" s="12" t="str">
        <x:v>LSA similarity cluster; human review pending</x:v>
      </x:c>
      <x:c r="M968" s="12" t="str">
        <x:v>Section: 11.1.2 Key Action Items</x:v>
      </x:c>
      <x:c r="N968" s="12" t="str"/>
      <x:c r="O968" s="12" t="str">
        <x:v>No</x:v>
      </x:c>
      <x:c r="P968" s="12" t="str">
        <x:v>No</x:v>
      </x:c>
      <x:c r="Q968" s="12"/>
      <x:c r="R968" s="12"/>
    </x:row>
    <x:row r="969">
      <x:c r="A969" s="12" t="str">
        <x:v>EVD-00968</x:v>
      </x:c>
      <x:c r="B969" s="12" t="str">
        <x:v>NEED-0147</x:v>
      </x:c>
      <x:c r="C969" s="12" t="str">
        <x:v>SRC-0001</x:v>
      </x:c>
      <x:c r="D969" s="12" t="str">
        <x:v>2021-3.1 - Develop and communicate the policy for accepting PI-provided datasets</x:v>
      </x:c>
      <x:c r="E969" s="12" t="str">
        <x:v>2021-3.1 - Develop and communicate the policy for accepting PI-provided datasets</x:v>
      </x:c>
      <x:c r="F969" s="12" t="str">
        <x:v>Action</x:v>
      </x:c>
      <x:c r="G969" s="12" t="str">
        <x:v>PO.DAAC User Working Group</x:v>
      </x:c>
      <x:c r="H969" s="12" t="n">
        <x:v>2021</x:v>
      </x:c>
      <x:c r="I969" s="12" t="str">
        <x:v>Earthdata users</x:v>
      </x:c>
      <x:c r="J969" s="12" t="str">
        <x:v>High</x:v>
      </x:c>
      <x:c r="K969" s="16" t="n">
        <x:v>0.75</x:v>
      </x:c>
      <x:c r="L969" s="12" t="str">
        <x:v>LSA similarity cluster; human review pending</x:v>
      </x:c>
      <x:c r="M969" s="12" t="str">
        <x:v>Section: 11.1.2 Key Action Items</x:v>
      </x:c>
      <x:c r="N969" s="12" t="str"/>
      <x:c r="O969" s="12" t="str">
        <x:v>No</x:v>
      </x:c>
      <x:c r="P969" s="12" t="str">
        <x:v>No</x:v>
      </x:c>
      <x:c r="Q969" s="12"/>
      <x:c r="R969" s="12"/>
    </x:row>
    <x:row r="970">
      <x:c r="A970" s="12" t="str">
        <x:v>EVD-00969</x:v>
      </x:c>
      <x:c r="B970" s="12" t="str">
        <x:v>NEED-0022</x:v>
      </x:c>
      <x:c r="C970" s="12" t="str">
        <x:v>SRC-0001</x:v>
      </x:c>
      <x:c r="D970" s="12" t="str">
        <x:v>2021-3.2 - Citation tab: Revise download citation text</x:v>
      </x:c>
      <x:c r="E970" s="12" t="str">
        <x:v>2021-3.2 - Citation tab: Revise download citation text</x:v>
      </x:c>
      <x:c r="F970" s="12" t="str">
        <x:v>Action</x:v>
      </x:c>
      <x:c r="G970" s="12" t="str">
        <x:v>PO.DAAC User Working Group</x:v>
      </x:c>
      <x:c r="H970" s="12" t="n">
        <x:v>2021</x:v>
      </x:c>
      <x:c r="I970" s="12" t="str">
        <x:v>Earthdata users</x:v>
      </x:c>
      <x:c r="J970" s="12" t="str">
        <x:v>Medium</x:v>
      </x:c>
      <x:c r="K970" s="16" t="n">
        <x:v>0.75</x:v>
      </x:c>
      <x:c r="L970" s="12" t="str">
        <x:v>LSA similarity cluster; human review pending</x:v>
      </x:c>
      <x:c r="M970" s="12" t="str">
        <x:v>Section: 11.1.2 Key Action Items</x:v>
      </x:c>
      <x:c r="N970" s="12" t="str"/>
      <x:c r="O970" s="12" t="str">
        <x:v>No</x:v>
      </x:c>
      <x:c r="P970" s="12" t="str">
        <x:v>No</x:v>
      </x:c>
      <x:c r="Q970" s="12"/>
      <x:c r="R970" s="12"/>
    </x:row>
    <x:row r="971">
      <x:c r="A971" s="12" t="str">
        <x:v>EVD-00970</x:v>
      </x:c>
      <x:c r="B971" s="12" t="str">
        <x:v>NEED-0105</x:v>
      </x:c>
      <x:c r="C971" s="12" t="str">
        <x:v>SRC-0001</x:v>
      </x:c>
      <x:c r="D971" s="12" t="str">
        <x:v>2021-3.3 - Citation tab: Keep journal references up-to-date</x:v>
      </x:c>
      <x:c r="E971" s="12" t="str">
        <x:v>2021-3.3 - Citation tab: Keep journal references up-to-date</x:v>
      </x:c>
      <x:c r="F971" s="12" t="str">
        <x:v>Action</x:v>
      </x:c>
      <x:c r="G971" s="12" t="str">
        <x:v>PO.DAAC User Working Group</x:v>
      </x:c>
      <x:c r="H971" s="12" t="n">
        <x:v>2021</x:v>
      </x:c>
      <x:c r="I971" s="12" t="str">
        <x:v>Earthdata users</x:v>
      </x:c>
      <x:c r="J971" s="12" t="str">
        <x:v>Medium</x:v>
      </x:c>
      <x:c r="K971" s="16" t="n">
        <x:v>0.75</x:v>
      </x:c>
      <x:c r="L971" s="12" t="str">
        <x:v>LSA similarity cluster; human review pending</x:v>
      </x:c>
      <x:c r="M971" s="12" t="str">
        <x:v>Section: 11.1.2 Key Action Items</x:v>
      </x:c>
      <x:c r="N971" s="12" t="str"/>
      <x:c r="O971" s="12" t="str">
        <x:v>No</x:v>
      </x:c>
      <x:c r="P971" s="12" t="str">
        <x:v>No</x:v>
      </x:c>
      <x:c r="Q971" s="12"/>
      <x:c r="R971" s="12"/>
    </x:row>
    <x:row r="972">
      <x:c r="A972" s="12" t="str">
        <x:v>EVD-00971</x:v>
      </x:c>
      <x:c r="B972" s="12" t="str">
        <x:v>NEED-0057</x:v>
      </x:c>
      <x:c r="C972" s="12" t="str">
        <x:v>SRC-0001</x:v>
      </x:c>
      <x:c r="D972" s="12" t="str">
        <x:v>2021-3.4 - Include citation information in granule metadata</x:v>
      </x:c>
      <x:c r="E972" s="12" t="str">
        <x:v>2021-3.4 - Include citation information in granule metadata</x:v>
      </x:c>
      <x:c r="F972" s="12" t="str">
        <x:v>Action</x:v>
      </x:c>
      <x:c r="G972" s="12" t="str">
        <x:v>PO.DAAC User Working Group</x:v>
      </x:c>
      <x:c r="H972" s="12" t="n">
        <x:v>2021</x:v>
      </x:c>
      <x:c r="I972" s="12" t="str">
        <x:v>Earthdata users</x:v>
      </x:c>
      <x:c r="J972" s="12" t="str">
        <x:v>Medium</x:v>
      </x:c>
      <x:c r="K972" s="16" t="n">
        <x:v>0.75</x:v>
      </x:c>
      <x:c r="L972" s="12" t="str">
        <x:v>LSA similarity cluster; human review pending</x:v>
      </x:c>
      <x:c r="M972" s="12" t="str">
        <x:v>Section: 11.1.2 Key Action Items</x:v>
      </x:c>
      <x:c r="N972" s="12" t="str"/>
      <x:c r="O972" s="12" t="str">
        <x:v>No</x:v>
      </x:c>
      <x:c r="P972" s="12" t="str">
        <x:v>No</x:v>
      </x:c>
      <x:c r="Q972" s="12"/>
      <x:c r="R972" s="12"/>
    </x:row>
    <x:row r="973">
      <x:c r="A973" s="12" t="str">
        <x:v>EVD-00972</x:v>
      </x:c>
      <x:c r="B973" s="12" t="str">
        <x:v>NEED-0127</x:v>
      </x:c>
      <x:c r="C973" s="12" t="str">
        <x:v>SRC-0001</x:v>
      </x:c>
      <x:c r="D973" s="12" t="str">
        <x:v>2019-4.1 - Data submission button</x:v>
      </x:c>
      <x:c r="E973" s="12" t="str">
        <x:v>2019-4.1 - Data submission button</x:v>
      </x:c>
      <x:c r="F973" s="12" t="str">
        <x:v>Action</x:v>
      </x:c>
      <x:c r="G973" s="12" t="str">
        <x:v>PO.DAAC User Working Group</x:v>
      </x:c>
      <x:c r="H973" s="12" t="n">
        <x:v>2021</x:v>
      </x:c>
      <x:c r="I973" s="12" t="str">
        <x:v>Data producers and mission teams</x:v>
      </x:c>
      <x:c r="J973" s="12" t="str">
        <x:v>Medium</x:v>
      </x:c>
      <x:c r="K973" s="16" t="n">
        <x:v>0.75</x:v>
      </x:c>
      <x:c r="L973" s="12" t="str">
        <x:v>LSA similarity cluster; human review pending</x:v>
      </x:c>
      <x:c r="M973" s="12" t="str">
        <x:v>Section: 11.1.2 Key Action Items</x:v>
      </x:c>
      <x:c r="N973" s="12" t="str"/>
      <x:c r="O973" s="12" t="str">
        <x:v>No</x:v>
      </x:c>
      <x:c r="P973" s="12" t="str">
        <x:v>No</x:v>
      </x:c>
      <x:c r="Q973" s="12"/>
      <x:c r="R973" s="12"/>
    </x:row>
    <x:row r="974">
      <x:c r="A974" s="12" t="str">
        <x:v>EVD-00973</x:v>
      </x:c>
      <x:c r="B974" s="12" t="str">
        <x:v>NEED-0127</x:v>
      </x:c>
      <x:c r="C974" s="12" t="str">
        <x:v>SRC-0001</x:v>
      </x:c>
      <x:c r="D974" s="12" t="str">
        <x:v>2019-4.2 - EarthdataPub participation</x:v>
      </x:c>
      <x:c r="E974" s="12" t="str">
        <x:v>2019-4.2 - EarthdataPub participation</x:v>
      </x:c>
      <x:c r="F974" s="12" t="str">
        <x:v>Action</x:v>
      </x:c>
      <x:c r="G974" s="12" t="str">
        <x:v>PO.DAAC User Working Group</x:v>
      </x:c>
      <x:c r="H974" s="12" t="n">
        <x:v>2021</x:v>
      </x:c>
      <x:c r="I974" s="12" t="str">
        <x:v>Earthdata users</x:v>
      </x:c>
      <x:c r="J974" s="12" t="str">
        <x:v>Medium</x:v>
      </x:c>
      <x:c r="K974" s="16" t="n">
        <x:v>0.75</x:v>
      </x:c>
      <x:c r="L974" s="12" t="str">
        <x:v>LSA similarity cluster; human review pending</x:v>
      </x:c>
      <x:c r="M974" s="12" t="str">
        <x:v>Section: 11.1.2 Key Action Items</x:v>
      </x:c>
      <x:c r="N974" s="12" t="str"/>
      <x:c r="O974" s="12" t="str">
        <x:v>No</x:v>
      </x:c>
      <x:c r="P974" s="12" t="str">
        <x:v>No</x:v>
      </x:c>
      <x:c r="Q974" s="12"/>
      <x:c r="R974" s="12"/>
    </x:row>
    <x:row r="975">
      <x:c r="A975" s="12" t="str">
        <x:v>EVD-00974</x:v>
      </x:c>
      <x:c r="B975" s="12" t="str">
        <x:v>NEED-0072</x:v>
      </x:c>
      <x:c r="C975" s="12" t="str">
        <x:v>SRC-0001</x:v>
      </x:c>
      <x:c r="D975" s="12" t="str">
        <x:v>2021-3.5 - Near-real-time dataset subscription</x:v>
      </x:c>
      <x:c r="E975" s="12" t="str">
        <x:v>2021-3.5 - Near-real-time dataset subscription</x:v>
      </x:c>
      <x:c r="F975" s="12" t="str">
        <x:v>Action</x:v>
      </x:c>
      <x:c r="G975" s="12" t="str">
        <x:v>PO.DAAC User Working Group</x:v>
      </x:c>
      <x:c r="H975" s="12" t="n">
        <x:v>2021</x:v>
      </x:c>
      <x:c r="I975" s="12" t="str">
        <x:v>Earthdata users</x:v>
      </x:c>
      <x:c r="J975" s="12" t="str">
        <x:v>Medium</x:v>
      </x:c>
      <x:c r="K975" s="16" t="n">
        <x:v>0.75</x:v>
      </x:c>
      <x:c r="L975" s="12" t="str">
        <x:v>LSA similarity cluster; human review pending</x:v>
      </x:c>
      <x:c r="M975" s="12" t="str">
        <x:v>Section: 11.1.2 Key Action Items</x:v>
      </x:c>
      <x:c r="N975" s="12" t="str"/>
      <x:c r="O975" s="12" t="str">
        <x:v>No</x:v>
      </x:c>
      <x:c r="P975" s="12" t="str">
        <x:v>No</x:v>
      </x:c>
      <x:c r="Q975" s="12"/>
      <x:c r="R975" s="12"/>
    </x:row>
    <x:row r="976">
      <x:c r="A976" s="12" t="str">
        <x:v>EVD-00975</x:v>
      </x:c>
      <x:c r="B976" s="12" t="str">
        <x:v>NEED-0072</x:v>
      </x:c>
      <x:c r="C976" s="12" t="str">
        <x:v>SRC-0001</x:v>
      </x:c>
      <x:c r="D976" s="12" t="str">
        <x:v>2021-3.6 - Use of consistent filenames within dataset collections</x:v>
      </x:c>
      <x:c r="E976" s="12" t="str">
        <x:v>2021-3.6 - Use of consistent filenames within dataset collections</x:v>
      </x:c>
      <x:c r="F976" s="12" t="str">
        <x:v>Action</x:v>
      </x:c>
      <x:c r="G976" s="12" t="str">
        <x:v>PO.DAAC User Working Group</x:v>
      </x:c>
      <x:c r="H976" s="12" t="n">
        <x:v>2021</x:v>
      </x:c>
      <x:c r="I976" s="12" t="str">
        <x:v>Earthdata users</x:v>
      </x:c>
      <x:c r="J976" s="12" t="str">
        <x:v>Medium</x:v>
      </x:c>
      <x:c r="K976" s="16" t="n">
        <x:v>0.75</x:v>
      </x:c>
      <x:c r="L976" s="12" t="str">
        <x:v>LSA similarity cluster; human review pending</x:v>
      </x:c>
      <x:c r="M976" s="12" t="str">
        <x:v>Section: 11.1.2 Key Action Items</x:v>
      </x:c>
      <x:c r="N976" s="12" t="str"/>
      <x:c r="O976" s="12" t="str">
        <x:v>No</x:v>
      </x:c>
      <x:c r="P976" s="12" t="str">
        <x:v>No</x:v>
      </x:c>
      <x:c r="Q976" s="12"/>
      <x:c r="R976" s="12"/>
    </x:row>
    <x:row r="977">
      <x:c r="A977" s="12" t="str">
        <x:v>EVD-00976</x:v>
      </x:c>
      <x:c r="B977" s="12" t="str">
        <x:v>NEED-0121</x:v>
      </x:c>
      <x:c r="C977" s="12" t="str">
        <x:v>SRC-0001</x:v>
      </x:c>
      <x:c r="D977" s="12" t="str">
        <x:v>2021-4.1 - Wish list items for high-latitudes</x:v>
      </x:c>
      <x:c r="E977" s="12" t="str">
        <x:v>2021-4.1 - Wish list items for high-latitudes</x:v>
      </x:c>
      <x:c r="F977" s="12" t="str">
        <x:v>Action</x:v>
      </x:c>
      <x:c r="G977" s="12" t="str">
        <x:v>PO.DAAC User Working Group</x:v>
      </x:c>
      <x:c r="H977" s="12" t="n">
        <x:v>2021</x:v>
      </x:c>
      <x:c r="I977" s="12" t="str">
        <x:v>Earthdata users</x:v>
      </x:c>
      <x:c r="J977" s="12" t="str">
        <x:v>Medium</x:v>
      </x:c>
      <x:c r="K977" s="16" t="n">
        <x:v>0.75</x:v>
      </x:c>
      <x:c r="L977" s="12" t="str">
        <x:v>LSA similarity cluster; human review pending</x:v>
      </x:c>
      <x:c r="M977" s="12" t="str">
        <x:v>Section: 11.1.2 Key Action Items</x:v>
      </x:c>
      <x:c r="N977" s="12" t="str"/>
      <x:c r="O977" s="12" t="str">
        <x:v>No</x:v>
      </x:c>
      <x:c r="P977" s="12" t="str">
        <x:v>No</x:v>
      </x:c>
      <x:c r="Q977" s="12"/>
      <x:c r="R977" s="12"/>
    </x:row>
    <x:row r="978">
      <x:c r="A978" s="12" t="str">
        <x:v>EVD-00977</x:v>
      </x:c>
      <x:c r="B978" s="12" t="str">
        <x:v>NEED-0121</x:v>
      </x:c>
      <x:c r="C978" s="12" t="str">
        <x:v>SRC-0001</x:v>
      </x:c>
      <x:c r="D978" s="12" t="str">
        <x:v>2021-4.1a - High-lat view</x:v>
      </x:c>
      <x:c r="E978" s="12" t="str">
        <x:v>2021-4.1a - High-lat view</x:v>
      </x:c>
      <x:c r="F978" s="12" t="str">
        <x:v>Action</x:v>
      </x:c>
      <x:c r="G978" s="12" t="str">
        <x:v>PO.DAAC User Working Group</x:v>
      </x:c>
      <x:c r="H978" s="12" t="n">
        <x:v>2021</x:v>
      </x:c>
      <x:c r="I978" s="12" t="str">
        <x:v>Earthdata users</x:v>
      </x:c>
      <x:c r="J978" s="12" t="str">
        <x:v>Medium</x:v>
      </x:c>
      <x:c r="K978" s="16" t="n">
        <x:v>0.75</x:v>
      </x:c>
      <x:c r="L978" s="12" t="str">
        <x:v>LSA similarity cluster; human review pending</x:v>
      </x:c>
      <x:c r="M978" s="12" t="str">
        <x:v>Section: 11.1.2 Key Action Items</x:v>
      </x:c>
      <x:c r="N978" s="12" t="str"/>
      <x:c r="O978" s="12" t="str">
        <x:v>No</x:v>
      </x:c>
      <x:c r="P978" s="12" t="str">
        <x:v>No</x:v>
      </x:c>
      <x:c r="Q978" s="12"/>
      <x:c r="R978" s="12"/>
    </x:row>
    <x:row r="979">
      <x:c r="A979" s="12" t="str">
        <x:v>EVD-00978</x:v>
      </x:c>
      <x:c r="B979" s="12" t="str">
        <x:v>NEED-0121</x:v>
      </x:c>
      <x:c r="C979" s="12" t="str">
        <x:v>SRC-0001</x:v>
      </x:c>
      <x:c r="D979" s="12" t="str">
        <x:v>2021-4.1b - High-lat SST and SSS scales</x:v>
      </x:c>
      <x:c r="E979" s="12" t="str">
        <x:v>2021-4.1b - High-lat SST and SSS scales</x:v>
      </x:c>
      <x:c r="F979" s="12" t="str">
        <x:v>Action</x:v>
      </x:c>
      <x:c r="G979" s="12" t="str">
        <x:v>PO.DAAC User Working Group</x:v>
      </x:c>
      <x:c r="H979" s="12" t="n">
        <x:v>2021</x:v>
      </x:c>
      <x:c r="I979" s="12" t="str">
        <x:v>Earthdata users</x:v>
      </x:c>
      <x:c r="J979" s="12" t="str">
        <x:v>Medium</x:v>
      </x:c>
      <x:c r="K979" s="16" t="n">
        <x:v>0.75</x:v>
      </x:c>
      <x:c r="L979" s="12" t="str">
        <x:v>LSA similarity cluster; human review pending</x:v>
      </x:c>
      <x:c r="M979" s="12" t="str">
        <x:v>Section: 11.1.2 Key Action Items</x:v>
      </x:c>
      <x:c r="N979" s="12" t="str"/>
      <x:c r="O979" s="12" t="str">
        <x:v>No</x:v>
      </x:c>
      <x:c r="P979" s="12" t="str">
        <x:v>No</x:v>
      </x:c>
      <x:c r="Q979" s="12"/>
      <x:c r="R979" s="12"/>
    </x:row>
    <x:row r="980">
      <x:c r="A980" s="12" t="str">
        <x:v>EVD-00979</x:v>
      </x:c>
      <x:c r="B980" s="12" t="str">
        <x:v>NEED-0072</x:v>
      </x:c>
      <x:c r="C980" s="12" t="str">
        <x:v>SRC-0001</x:v>
      </x:c>
      <x:c r="D980" s="12" t="str">
        <x:v>2021-4.1c - Ice edge product</x:v>
      </x:c>
      <x:c r="E980" s="12" t="str">
        <x:v>2021-4.1c - Ice edge product</x:v>
      </x:c>
      <x:c r="F980" s="12" t="str">
        <x:v>Action</x:v>
      </x:c>
      <x:c r="G980" s="12" t="str">
        <x:v>PO.DAAC User Working Group</x:v>
      </x:c>
      <x:c r="H980" s="12" t="n">
        <x:v>2021</x:v>
      </x:c>
      <x:c r="I980" s="12" t="str">
        <x:v>Earthdata users</x:v>
      </x:c>
      <x:c r="J980" s="12" t="str">
        <x:v>Medium</x:v>
      </x:c>
      <x:c r="K980" s="16" t="n">
        <x:v>0.75</x:v>
      </x:c>
      <x:c r="L980" s="12" t="str">
        <x:v>LSA similarity cluster; human review pending</x:v>
      </x:c>
      <x:c r="M980" s="12" t="str">
        <x:v>Section: 11.1.2 Key Action Items</x:v>
      </x:c>
      <x:c r="N980" s="12" t="str"/>
      <x:c r="O980" s="12" t="str">
        <x:v>No</x:v>
      </x:c>
      <x:c r="P980" s="12" t="str">
        <x:v>No</x:v>
      </x:c>
      <x:c r="Q980" s="12"/>
      <x:c r="R980" s="12"/>
    </x:row>
    <x:row r="981">
      <x:c r="A981" s="12" t="str">
        <x:v>EVD-00980</x:v>
      </x:c>
      <x:c r="B981" s="12" t="str">
        <x:v>NEED-0121</x:v>
      </x:c>
      <x:c r="C981" s="12" t="str">
        <x:v>SRC-0001</x:v>
      </x:c>
      <x:c r="D981" s="12" t="str">
        <x:v>2021-4.2 - Decision if campaign assistance is in PO.DAAC’s purview</x:v>
      </x:c>
      <x:c r="E981" s="12" t="str">
        <x:v>2021-4.2 - Decision if campaign assistance is in PO.DAAC’s purview</x:v>
      </x:c>
      <x:c r="F981" s="12" t="str">
        <x:v>Action</x:v>
      </x:c>
      <x:c r="G981" s="12" t="str">
        <x:v>PO.DAAC User Working Group</x:v>
      </x:c>
      <x:c r="H981" s="12" t="n">
        <x:v>2021</x:v>
      </x:c>
      <x:c r="I981" s="12" t="str">
        <x:v>Earthdata users</x:v>
      </x:c>
      <x:c r="J981" s="12" t="str">
        <x:v>Medium</x:v>
      </x:c>
      <x:c r="K981" s="16" t="n">
        <x:v>0.75</x:v>
      </x:c>
      <x:c r="L981" s="12" t="str">
        <x:v>LSA similarity cluster; human review pending</x:v>
      </x:c>
      <x:c r="M981" s="12" t="str">
        <x:v>Section: 11.1.2 Key Action Items</x:v>
      </x:c>
      <x:c r="N981" s="12" t="str"/>
      <x:c r="O981" s="12" t="str">
        <x:v>No</x:v>
      </x:c>
      <x:c r="P981" s="12" t="str">
        <x:v>No</x:v>
      </x:c>
      <x:c r="Q981" s="12"/>
      <x:c r="R981" s="12"/>
    </x:row>
    <x:row r="982">
      <x:c r="A982" s="12" t="str">
        <x:v>EVD-00981</x:v>
      </x:c>
      <x:c r="B982" s="12" t="str">
        <x:v>NEED-0121</x:v>
      </x:c>
      <x:c r="C982" s="12" t="str">
        <x:v>SRC-0001</x:v>
      </x:c>
      <x:c r="D982" s="12" t="str">
        <x:v>2021-4.3 - General changes</x:v>
      </x:c>
      <x:c r="E982" s="12" t="str">
        <x:v>2021-4.3 - General changes</x:v>
      </x:c>
      <x:c r="F982" s="12" t="str">
        <x:v>Action</x:v>
      </x:c>
      <x:c r="G982" s="12" t="str">
        <x:v>PO.DAAC User Working Group</x:v>
      </x:c>
      <x:c r="H982" s="12" t="n">
        <x:v>2021</x:v>
      </x:c>
      <x:c r="I982" s="12" t="str">
        <x:v>Earthdata users</x:v>
      </x:c>
      <x:c r="J982" s="12" t="str">
        <x:v>Medium</x:v>
      </x:c>
      <x:c r="K982" s="16" t="n">
        <x:v>0.75</x:v>
      </x:c>
      <x:c r="L982" s="12" t="str">
        <x:v>LSA similarity cluster; human review pending</x:v>
      </x:c>
      <x:c r="M982" s="12" t="str">
        <x:v>Section: 11.1.2 Key Action Items</x:v>
      </x:c>
      <x:c r="N982" s="12" t="str"/>
      <x:c r="O982" s="12" t="str">
        <x:v>No</x:v>
      </x:c>
      <x:c r="P982" s="12" t="str">
        <x:v>No</x:v>
      </x:c>
      <x:c r="Q982" s="12"/>
      <x:c r="R982" s="12"/>
    </x:row>
    <x:row r="983">
      <x:c r="A983" s="12" t="str">
        <x:v>EVD-00982</x:v>
      </x:c>
      <x:c r="B983" s="12" t="str">
        <x:v>NEED-0072</x:v>
      </x:c>
      <x:c r="C983" s="12" t="str">
        <x:v>SRC-0001</x:v>
      </x:c>
      <x:c r="D983" s="12" t="str">
        <x:v>2021-4.3a - Indication of dataset availability (e.g., timebar)</x:v>
      </x:c>
      <x:c r="E983" s="12" t="str">
        <x:v>2021-4.3a - Indication of dataset availability (e.g., timebar)</x:v>
      </x:c>
      <x:c r="F983" s="12" t="str">
        <x:v>Action</x:v>
      </x:c>
      <x:c r="G983" s="12" t="str">
        <x:v>PO.DAAC User Working Group</x:v>
      </x:c>
      <x:c r="H983" s="12" t="n">
        <x:v>2021</x:v>
      </x:c>
      <x:c r="I983" s="12" t="str">
        <x:v>Earthdata users</x:v>
      </x:c>
      <x:c r="J983" s="12" t="str">
        <x:v>Medium</x:v>
      </x:c>
      <x:c r="K983" s="16" t="n">
        <x:v>0.75</x:v>
      </x:c>
      <x:c r="L983" s="12" t="str">
        <x:v>LSA similarity cluster; human review pending</x:v>
      </x:c>
      <x:c r="M983" s="12" t="str">
        <x:v>Section: 11.1.2 Key Action Items</x:v>
      </x:c>
      <x:c r="N983" s="12" t="str"/>
      <x:c r="O983" s="12" t="str">
        <x:v>No</x:v>
      </x:c>
      <x:c r="P983" s="12" t="str">
        <x:v>No</x:v>
      </x:c>
      <x:c r="Q983" s="12"/>
      <x:c r="R983" s="12"/>
    </x:row>
    <x:row r="984">
      <x:c r="A984" s="12" t="str">
        <x:v>EVD-00983</x:v>
      </x:c>
      <x:c r="B984" s="12" t="str">
        <x:v>NEED-0218</x:v>
      </x:c>
      <x:c r="C984" s="12" t="str">
        <x:v>SRC-0001</x:v>
      </x:c>
      <x:c r="D984" s="12" t="str">
        <x:v>2021-4.3b - Inclusion of a feedback button</x:v>
      </x:c>
      <x:c r="E984" s="12" t="str">
        <x:v>2021-4.3b - Inclusion of a feedback button</x:v>
      </x:c>
      <x:c r="F984" s="12" t="str">
        <x:v>Action</x:v>
      </x:c>
      <x:c r="G984" s="12" t="str">
        <x:v>PO.DAAC User Working Group</x:v>
      </x:c>
      <x:c r="H984" s="12" t="n">
        <x:v>2021</x:v>
      </x:c>
      <x:c r="I984" s="12" t="str">
        <x:v>Earthdata users</x:v>
      </x:c>
      <x:c r="J984" s="12" t="str">
        <x:v>Medium</x:v>
      </x:c>
      <x:c r="K984" s="16" t="n">
        <x:v>0.55</x:v>
      </x:c>
      <x:c r="L984" s="12" t="str">
        <x:v>LSA similarity cluster; human review pending</x:v>
      </x:c>
      <x:c r="M984" s="12" t="str">
        <x:v>Section: 11.1.2 Key Action Items</x:v>
      </x:c>
      <x:c r="N984" s="12" t="str"/>
      <x:c r="O984" s="12" t="str">
        <x:v>No</x:v>
      </x:c>
      <x:c r="P984" s="12" t="str">
        <x:v>No</x:v>
      </x:c>
      <x:c r="Q984" s="12"/>
      <x:c r="R984" s="12"/>
    </x:row>
    <x:row r="985">
      <x:c r="A985" s="12" t="str">
        <x:v>EVD-00984</x:v>
      </x:c>
      <x:c r="B985" s="12" t="str">
        <x:v>NEED-0030</x:v>
      </x:c>
      <x:c r="C985" s="12" t="str">
        <x:v>SRC-0001</x:v>
      </x:c>
      <x:c r="D985" s="12" t="str">
        <x:v>Data Access Services (THREDDS, LAS, ERDDAP)</x:v>
      </x:c>
      <x:c r="E985" s="12" t="str">
        <x:v>Data Access Services (THREDDS, LAS, ERDDAP)</x:v>
      </x:c>
      <x:c r="F985" s="12" t="str">
        <x:v>Action</x:v>
      </x:c>
      <x:c r="G985" s="12" t="str">
        <x:v>PO.DAAC User Working Group</x:v>
      </x:c>
      <x:c r="H985" s="12" t="n">
        <x:v>2021</x:v>
      </x:c>
      <x:c r="I985" s="12" t="str">
        <x:v>Earthdata users</x:v>
      </x:c>
      <x:c r="J985" s="12" t="str">
        <x:v>Medium</x:v>
      </x:c>
      <x:c r="K985" s="16" t="n">
        <x:v>0.75</x:v>
      </x:c>
      <x:c r="L985" s="12" t="str">
        <x:v>LSA similarity cluster; human review pending</x:v>
      </x:c>
      <x:c r="M985" s="12" t="str">
        <x:v>Section: 11.1.2 Key Action Items</x:v>
      </x:c>
      <x:c r="N985" s="12" t="str"/>
      <x:c r="O985" s="12" t="str">
        <x:v>No</x:v>
      </x:c>
      <x:c r="P985" s="12" t="str">
        <x:v>No</x:v>
      </x:c>
      <x:c r="Q985" s="12"/>
      <x:c r="R985" s="12"/>
    </x:row>
    <x:row r="986">
      <x:c r="A986" s="12" t="str">
        <x:v>EVD-00985</x:v>
      </x:c>
      <x:c r="B986" s="12" t="str">
        <x:v>NEED-0121</x:v>
      </x:c>
      <x:c r="C986" s="12" t="str">
        <x:v>SRC-0001</x:v>
      </x:c>
      <x:c r="D986" s="12" t="str">
        <x:v>2021-5.1 - Update on LAS, THREDDS, ERDDAP at a FY22 teleconference</x:v>
      </x:c>
      <x:c r="E986" s="12" t="str">
        <x:v>2021-5.1 - Update on LAS, THREDDS, ERDDAP at a FY22 teleconference</x:v>
      </x:c>
      <x:c r="F986" s="12" t="str">
        <x:v>Action</x:v>
      </x:c>
      <x:c r="G986" s="12" t="str">
        <x:v>PO.DAAC User Working Group</x:v>
      </x:c>
      <x:c r="H986" s="12" t="n">
        <x:v>2021</x:v>
      </x:c>
      <x:c r="I986" s="12" t="str">
        <x:v>Earthdata users</x:v>
      </x:c>
      <x:c r="J986" s="12" t="str">
        <x:v>Medium</x:v>
      </x:c>
      <x:c r="K986" s="16" t="n">
        <x:v>0.75</x:v>
      </x:c>
      <x:c r="L986" s="12" t="str">
        <x:v>LSA similarity cluster; human review pending</x:v>
      </x:c>
      <x:c r="M986" s="12" t="str">
        <x:v>Section: 11.1.2 Key Action Items</x:v>
      </x:c>
      <x:c r="N986" s="12" t="str"/>
      <x:c r="O986" s="12" t="str">
        <x:v>No</x:v>
      </x:c>
      <x:c r="P986" s="12" t="str">
        <x:v>No</x:v>
      </x:c>
      <x:c r="Q986" s="12"/>
      <x:c r="R986" s="12"/>
    </x:row>
    <x:row r="987">
      <x:c r="A987" s="12" t="str">
        <x:v>EVD-00986</x:v>
      </x:c>
      <x:c r="B987" s="12" t="str">
        <x:v>NEED-0120</x:v>
      </x:c>
      <x:c r="C987" s="12" t="str">
        <x:v>SRC-0001</x:v>
      </x:c>
      <x:c r="D987" s="12" t="str">
        <x:v>2021-6.1 - Engage and participate in community discussions on model data</x:v>
      </x:c>
      <x:c r="E987" s="12" t="str">
        <x:v>2021-6.1 - Engage and participate in community discussions on model data</x:v>
      </x:c>
      <x:c r="F987" s="12" t="str">
        <x:v>Action</x:v>
      </x:c>
      <x:c r="G987" s="12" t="str">
        <x:v>PO.DAAC User Working Group</x:v>
      </x:c>
      <x:c r="H987" s="12" t="n">
        <x:v>2021</x:v>
      </x:c>
      <x:c r="I987" s="12" t="str">
        <x:v>Earthdata users</x:v>
      </x:c>
      <x:c r="J987" s="12" t="str">
        <x:v>Medium</x:v>
      </x:c>
      <x:c r="K987" s="16" t="n">
        <x:v>0.75</x:v>
      </x:c>
      <x:c r="L987" s="12" t="str">
        <x:v>LSA similarity cluster; human review pending</x:v>
      </x:c>
      <x:c r="M987" s="12" t="str">
        <x:v>Section: 11.1.2 Key Action Items</x:v>
      </x:c>
      <x:c r="N987" s="12" t="str"/>
      <x:c r="O987" s="12" t="str">
        <x:v>No</x:v>
      </x:c>
      <x:c r="P987" s="12" t="str">
        <x:v>No</x:v>
      </x:c>
      <x:c r="Q987" s="12"/>
      <x:c r="R987" s="12"/>
    </x:row>
    <x:row r="988">
      <x:c r="A988" s="12" t="str">
        <x:v>EVD-00987</x:v>
      </x:c>
      <x:c r="B988" s="12" t="str">
        <x:v>NEED-0057</x:v>
      </x:c>
      <x:c r="C988" s="12" t="str">
        <x:v>SRC-0001</x:v>
      </x:c>
      <x:c r="D988" s="12" t="str">
        <x:v>2021-6.2 - Ensure model nuances are captured in dataset information and metadata</x:v>
      </x:c>
      <x:c r="E988" s="12" t="str">
        <x:v>2021-6.2 - Ensure model nuances are captured in dataset information and metadata</x:v>
      </x:c>
      <x:c r="F988" s="12" t="str">
        <x:v>Action</x:v>
      </x:c>
      <x:c r="G988" s="12" t="str">
        <x:v>PO.DAAC User Working Group</x:v>
      </x:c>
      <x:c r="H988" s="12" t="n">
        <x:v>2021</x:v>
      </x:c>
      <x:c r="I988" s="12" t="str">
        <x:v>Earthdata users</x:v>
      </x:c>
      <x:c r="J988" s="12" t="str">
        <x:v>High</x:v>
      </x:c>
      <x:c r="K988" s="16" t="n">
        <x:v>0.75</x:v>
      </x:c>
      <x:c r="L988" s="12" t="str">
        <x:v>LSA similarity cluster; human review pending</x:v>
      </x:c>
      <x:c r="M988" s="12" t="str">
        <x:v>Section: 11.1.2 Key Action Items</x:v>
      </x:c>
      <x:c r="N988" s="12" t="str"/>
      <x:c r="O988" s="12" t="str">
        <x:v>No</x:v>
      </x:c>
      <x:c r="P988" s="12" t="str">
        <x:v>No</x:v>
      </x:c>
      <x:c r="Q988" s="12"/>
      <x:c r="R988" s="12"/>
    </x:row>
    <x:row r="989">
      <x:c r="A989" s="12" t="str">
        <x:v>EVD-00988</x:v>
      </x:c>
      <x:c r="B989" s="12" t="str">
        <x:v>NEED-0121</x:v>
      </x:c>
      <x:c r="C989" s="12" t="str">
        <x:v>SRC-0001</x:v>
      </x:c>
      <x:c r="D989" s="12" t="str">
        <x:v>2021-7.1 - Recruit new member from the hydrology community</x:v>
      </x:c>
      <x:c r="E989" s="12" t="str">
        <x:v>2021-7.1 - Recruit new member from the hydrology community</x:v>
      </x:c>
      <x:c r="F989" s="12" t="str">
        <x:v>Action</x:v>
      </x:c>
      <x:c r="G989" s="12" t="str">
        <x:v>PO.DAAC User Working Group</x:v>
      </x:c>
      <x:c r="H989" s="12" t="n">
        <x:v>2021</x:v>
      </x:c>
      <x:c r="I989" s="12" t="str">
        <x:v>Earthdata users</x:v>
      </x:c>
      <x:c r="J989" s="12" t="str">
        <x:v>Medium</x:v>
      </x:c>
      <x:c r="K989" s="16" t="n">
        <x:v>0.75</x:v>
      </x:c>
      <x:c r="L989" s="12" t="str">
        <x:v>LSA similarity cluster; human review pending</x:v>
      </x:c>
      <x:c r="M989" s="12" t="str">
        <x:v>Section: 11.1.2 Key Action Items</x:v>
      </x:c>
      <x:c r="N989" s="12" t="str"/>
      <x:c r="O989" s="12" t="str">
        <x:v>No</x:v>
      </x:c>
      <x:c r="P989" s="12" t="str">
        <x:v>No</x:v>
      </x:c>
      <x:c r="Q989" s="12"/>
      <x:c r="R989" s="12"/>
    </x:row>
    <x:row r="990">
      <x:c r="A990" s="12" t="str">
        <x:v>EVD-00989</x:v>
      </x:c>
      <x:c r="B990" s="12" t="str">
        <x:v>NEED-0134</x:v>
      </x:c>
      <x:c r="C990" s="12" t="str">
        <x:v>SRC-0001</x:v>
      </x:c>
      <x:c r="D990" s="12" t="str">
        <x:v>Environmental Justice (EJ)</x:v>
      </x:c>
      <x:c r="E990" s="12" t="str">
        <x:v>Environmental Justice (EJ)</x:v>
      </x:c>
      <x:c r="F990" s="12" t="str">
        <x:v>Finding</x:v>
      </x:c>
      <x:c r="G990" s="12" t="str">
        <x:v>SEDAC User Working Group</x:v>
      </x:c>
      <x:c r="H990" s="12" t="n">
        <x:v>2021</x:v>
      </x:c>
      <x:c r="I990" s="12" t="str">
        <x:v>Earthdata users</x:v>
      </x:c>
      <x:c r="J990" s="12" t="str">
        <x:v>Medium</x:v>
      </x:c>
      <x:c r="K990" s="16" t="n">
        <x:v>0.75</x:v>
      </x:c>
      <x:c r="L990" s="12" t="str">
        <x:v>LSA similarity cluster; human review pending</x:v>
      </x:c>
      <x:c r="M990" s="12" t="str">
        <x:v>Section: 12.5 Key Findings</x:v>
      </x:c>
      <x:c r="N990" s="12" t="str"/>
      <x:c r="O990" s="12" t="str">
        <x:v>No</x:v>
      </x:c>
      <x:c r="P990" s="12" t="str">
        <x:v>No</x:v>
      </x:c>
      <x:c r="Q990" s="12"/>
      <x:c r="R990" s="12"/>
    </x:row>
    <x:row r="991">
      <x:c r="A991" s="12" t="str">
        <x:v>EVD-00990</x:v>
      </x:c>
      <x:c r="B991" s="12" t="str">
        <x:v>NEED-0165</x:v>
      </x:c>
      <x:c r="C991" s="12" t="str">
        <x:v>SRC-0001</x:v>
      </x:c>
      <x:c r="D991" s="12" t="str">
        <x:v>The Biden Administration has made racial equity and climate action two of seven major priorities. 1 Agencies throughout government were asked to indicate actions they might take in response to a priority on environmental justice (EJ), and as a part of this response, NASA identified SEDAC as a potential resource in terms of relevant socioeconomic data and services. This represents an excellent opportunity for SEDAC to contribute to NASA’s response.</x:v>
      </x:c>
      <x:c r="E991" s="12" t="str">
        <x:v>The Biden Administration has made racial equity and climate action two of seven major priorities. 1 Agencies throughout government were asked to indicate actions they might take in response to a priority on environmental justice (EJ), and as a part of this response, NASA identified SEDAC as a potential resource in terms of relevant socioeconomic data and services. This represents an excellent opportunity for SEDAC to contribute to NASA’s response.</x:v>
      </x:c>
      <x:c r="F991" s="12" t="str">
        <x:v>Action</x:v>
      </x:c>
      <x:c r="G991" s="12" t="str">
        <x:v>SEDAC User Working Group</x:v>
      </x:c>
      <x:c r="H991" s="12" t="n">
        <x:v>2021</x:v>
      </x:c>
      <x:c r="I991" s="12" t="str">
        <x:v>Indigenous and underrepresented communities</x:v>
      </x:c>
      <x:c r="J991" s="12" t="str">
        <x:v>Medium</x:v>
      </x:c>
      <x:c r="K991" s="16" t="n">
        <x:v>0.75</x:v>
      </x:c>
      <x:c r="L991" s="12" t="str">
        <x:v>LSA similarity cluster; human review pending</x:v>
      </x:c>
      <x:c r="M991" s="12" t="str">
        <x:v>Section: 12.5 Key Findings</x:v>
      </x:c>
      <x:c r="N991" s="12" t="str"/>
      <x:c r="O991" s="12" t="str">
        <x:v>No</x:v>
      </x:c>
      <x:c r="P991" s="12" t="str">
        <x:v>No</x:v>
      </x:c>
      <x:c r="Q991" s="12"/>
      <x:c r="R991" s="12"/>
    </x:row>
    <x:row r="992">
      <x:c r="A992" s="12" t="str">
        <x:v>EVD-00991</x:v>
      </x:c>
      <x:c r="B992" s="12" t="str">
        <x:v>NEED-0059</x:v>
      </x:c>
      <x:c r="C992" s="12" t="str">
        <x:v>SRC-0001</x:v>
      </x:c>
      <x:c r="D992" s="12" t="str">
        <x:v>A substantial portion of the meeting was dedicated to the EJ initiative, with discussion led by ESD Director Karen St. Germain with participation by Kevin Murphy and other NASA staff. UWG members were invited to provide their perspectives on a set of questions, including: What additional things should the SEDAC be doing to enable EJ research, decisions, and actions? How can SEDAC make the data more useful, especially for applied users? How could SEDAC best contribute to NASA and the U.S. Government’s efforts to advance equity?</x:v>
      </x:c>
      <x:c r="E992" s="12" t="str">
        <x:v>A substantial portion of the meeting was dedicated to the EJ initiative, with discussion led by ESD Director Karen St. Germain with participation by Kevin Murphy and other NASA staff. UWG members were invited to provide their perspectives on a set of questions, including: What additional things should the SEDAC be doing to enable EJ research, decisions, and actions? How can SEDAC make the data more useful, especially for applied users? How could SEDAC best contribute to NASA and the U.S. Government’s efforts to advance equity?</x:v>
      </x:c>
      <x:c r="F992" s="12" t="str">
        <x:v>Action</x:v>
      </x:c>
      <x:c r="G992" s="12" t="str">
        <x:v>SEDAC User Working Group</x:v>
      </x:c>
      <x:c r="H992" s="12" t="n">
        <x:v>2021</x:v>
      </x:c>
      <x:c r="I992" s="12" t="str">
        <x:v>Indigenous and underrepresented communities; Earth science researchers</x:v>
      </x:c>
      <x:c r="J992" s="12" t="str">
        <x:v>High</x:v>
      </x:c>
      <x:c r="K992" s="16" t="n">
        <x:v>0.75</x:v>
      </x:c>
      <x:c r="L992" s="12" t="str">
        <x:v>LSA similarity cluster; human review pending</x:v>
      </x:c>
      <x:c r="M992" s="12" t="str">
        <x:v>Section: 12.5 Key Findings</x:v>
      </x:c>
      <x:c r="N992" s="12" t="str"/>
      <x:c r="O992" s="12" t="str">
        <x:v>No</x:v>
      </x:c>
      <x:c r="P992" s="12" t="str">
        <x:v>No</x:v>
      </x:c>
      <x:c r="Q992" s="12"/>
      <x:c r="R992" s="12"/>
    </x:row>
    <x:row r="993">
      <x:c r="A993" s="12" t="str">
        <x:v>EVD-00992</x:v>
      </x:c>
      <x:c r="B993" s="12" t="str">
        <x:v>NEED-0050</x:v>
      </x:c>
      <x:c r="C993" s="12" t="str">
        <x:v>SRC-0001</x:v>
      </x:c>
      <x:c r="D993" s="12" t="str">
        <x:v>The discussion was wide ranging. UWG members agreed on the importance of working at the intersection of climate, justice and equity. Members recognized that it is insufficient to simply provide access to data. Black, indigenous and people of color (BIPOC) communities need to be able to express their needs, and may require capacity building to work with data. Partnerships with universities or nongovernmental organizations (NGOs) have proven successful at applying data to felt needs, provided sufficient time is taken to listen to community interests and to develop research translation so that analyses actually meet those needs. This includes the development of tools and data services. For NASA, however, there is a need to develop tools that can be generalizable to multiple settings.</x:v>
      </x:c>
      <x:c r="E993" s="12" t="str">
        <x:v>The discussion was wide ranging. UWG members agreed on the importance of working at the intersection of climate, justice and equity. Members recognized that it is insufficient to simply provide access to data. Black, indigenous and people of color (BIPOC) communities need to be able to express their needs, and may require capacity building to work with data. Partnerships with universities or nongovernmental organizations (NGOs) have proven successful at applying data to felt needs, provided sufficient time is taken to listen to community interests and to develop research translation so that analyses actually meet those needs. This includes the development of tools and data services. For NASA, however, there is a need to develop tools that can be generalizable to multiple settings.</x:v>
      </x:c>
      <x:c r="F993" s="12" t="str">
        <x:v>Finding</x:v>
      </x:c>
      <x:c r="G993" s="12" t="str">
        <x:v>SEDAC User Working Group</x:v>
      </x:c>
      <x:c r="H993" s="12" t="n">
        <x:v>2021</x:v>
      </x:c>
      <x:c r="I993" s="12" t="str">
        <x:v>Indigenous and underrepresented communities; Earth science researchers</x:v>
      </x:c>
      <x:c r="J993" s="12" t="str">
        <x:v>High</x:v>
      </x:c>
      <x:c r="K993" s="16" t="n">
        <x:v>0.75</x:v>
      </x:c>
      <x:c r="L993" s="12" t="str">
        <x:v>LSA similarity cluster; human review pending</x:v>
      </x:c>
      <x:c r="M993" s="12" t="str">
        <x:v>Section: 12.5 Key Findings</x:v>
      </x:c>
      <x:c r="N993" s="12" t="str"/>
      <x:c r="O993" s="12" t="str">
        <x:v>No</x:v>
      </x:c>
      <x:c r="P993" s="12" t="str">
        <x:v>No</x:v>
      </x:c>
      <x:c r="Q993" s="12"/>
      <x:c r="R993" s="12"/>
    </x:row>
    <x:row r="994">
      <x:c r="A994" s="12" t="str">
        <x:v>EVD-00993</x:v>
      </x:c>
      <x:c r="B994" s="12" t="str">
        <x:v>NEED-0037</x:v>
      </x:c>
      <x:c r="C994" s="12" t="str">
        <x:v>SRC-0001</x:v>
      </x:c>
      <x:c r="D994" s="12" t="str">
        <x:v>A priority is to make the data usable for addressing the community identified issues (e.g., water, food scarcity, supply chains). This may include translation of remote sensing data to GIS formats, which may be more accessible to a wider range of users. Partnerships with remote sensing scientists have also proven useful. There was agreement that a particular challenge is to focus on solutions and scalability, bringing teams together (e.g., BIPOC community representatives, social science teams and remote sensing teams) to collaborate. The public health community addressing health inequalities could be a good example of a community that needs assistance in using remote sensing and SEDAC data. Involving students and faculty from Historically Black Colleges and Universities (HBCUs) and</x:v>
      </x:c>
      <x:c r="E994" s="12" t="str">
        <x:v>A priority is to make the data usable for addressing the community identified issues (e.g., water, food scarcity, supply chains). This may include translation of remote sensing data to GIS formats, which may be more accessible to a wider range of users. Partnerships with remote sensing scientists have also proven useful. There was agreement that a particular challenge is to focus on solutions and scalability, bringing teams together (e.g., BIPOC community representatives, social science teams and remote sensing teams) to collaborate. The public health community addressing health inequalities could be a good example of a community that needs assistance in using remote sensing and SEDAC data. Involving students and faculty from Historically Black Colleges and Universities (HBCUs) and</x:v>
      </x:c>
      <x:c r="F994" s="12" t="str">
        <x:v>Issue/Concern</x:v>
      </x:c>
      <x:c r="G994" s="12" t="str">
        <x:v>SEDAC User Working Group</x:v>
      </x:c>
      <x:c r="H994" s="12" t="n">
        <x:v>2021</x:v>
      </x:c>
      <x:c r="I994" s="12" t="str">
        <x:v>GIS users; Educators and trainers; Earth science researchers</x:v>
      </x:c>
      <x:c r="J994" s="12" t="str">
        <x:v>Medium</x:v>
      </x:c>
      <x:c r="K994" s="16" t="n">
        <x:v>0.75</x:v>
      </x:c>
      <x:c r="L994" s="12" t="str">
        <x:v>LSA similarity cluster; human review pending</x:v>
      </x:c>
      <x:c r="M994" s="12" t="str">
        <x:v>Section: 12.5 Key Findings</x:v>
      </x:c>
      <x:c r="N994" s="12" t="str"/>
      <x:c r="O994" s="12" t="str">
        <x:v>No</x:v>
      </x:c>
      <x:c r="P994" s="12" t="str">
        <x:v>No</x:v>
      </x:c>
      <x:c r="Q994" s="12"/>
      <x:c r="R994" s="12"/>
    </x:row>
    <x:row r="995">
      <x:c r="A995" s="12" t="str">
        <x:v>EVD-00994</x:v>
      </x:c>
      <x:c r="B995" s="12" t="str">
        <x:v>NEED-0141</x:v>
      </x:c>
      <x:c r="C995" s="12" t="str">
        <x:v>SRC-0001</x:v>
      </x:c>
      <x:c r="D995" s="12" t="str">
        <x:v>Minority Serving Institutions (MSIs) is another promising approach, as evidenced by SEDAC’s initial work with Lehman College of the City University of New York, a MSI based in the Bronx.</x:v>
      </x:c>
      <x:c r="E995" s="12" t="str">
        <x:v>Minority Serving Institutions (MSIs) is another promising approach, as evidenced by SEDAC’s initial work with Lehman College of the City University of New York, a MSI based in the Bronx.</x:v>
      </x:c>
      <x:c r="F995" s="12" t="str">
        <x:v>Finding</x:v>
      </x:c>
      <x:c r="G995" s="12" t="str">
        <x:v>SEDAC User Working Group</x:v>
      </x:c>
      <x:c r="H995" s="12" t="n">
        <x:v>2021</x:v>
      </x:c>
      <x:c r="I995" s="12" t="str">
        <x:v>Earthdata users</x:v>
      </x:c>
      <x:c r="J995" s="12" t="str">
        <x:v>Medium</x:v>
      </x:c>
      <x:c r="K995" s="16" t="n">
        <x:v>0.75</x:v>
      </x:c>
      <x:c r="L995" s="12" t="str">
        <x:v>LSA similarity cluster; human review pending</x:v>
      </x:c>
      <x:c r="M995" s="12" t="str">
        <x:v>Section: 12.5 Key Findings</x:v>
      </x:c>
      <x:c r="N995" s="12" t="str"/>
      <x:c r="O995" s="12" t="str">
        <x:v>No</x:v>
      </x:c>
      <x:c r="P995" s="12" t="str">
        <x:v>No</x:v>
      </x:c>
      <x:c r="Q995" s="12"/>
      <x:c r="R995" s="12"/>
    </x:row>
    <x:row r="996">
      <x:c r="A996" s="12" t="str">
        <x:v>EVD-00995</x:v>
      </x:c>
      <x:c r="B996" s="12" t="str">
        <x:v>NEED-0132</x:v>
      </x:c>
      <x:c r="C996" s="12" t="str">
        <x:v>SRC-0001</x:v>
      </x:c>
      <x:c r="D996" s="12" t="str">
        <x:v>1 See https://www.whitehouse.gov/priorities/</x:v>
      </x:c>
      <x:c r="E996" s="12" t="str">
        <x:v>1 See https://www.whitehouse.gov/priorities/</x:v>
      </x:c>
      <x:c r="F996" s="12" t="str">
        <x:v>Finding</x:v>
      </x:c>
      <x:c r="G996" s="12" t="str">
        <x:v>SEDAC User Working Group</x:v>
      </x:c>
      <x:c r="H996" s="12" t="n">
        <x:v>2021</x:v>
      </x:c>
      <x:c r="I996" s="12" t="str">
        <x:v>Earthdata users</x:v>
      </x:c>
      <x:c r="J996" s="12" t="str">
        <x:v>Medium</x:v>
      </x:c>
      <x:c r="K996" s="16" t="n">
        <x:v>0.75</x:v>
      </x:c>
      <x:c r="L996" s="12" t="str">
        <x:v>LSA similarity cluster; human review pending</x:v>
      </x:c>
      <x:c r="M996" s="12" t="str">
        <x:v>Section: 12.5 Key Findings</x:v>
      </x:c>
      <x:c r="N996" s="12" t="str"/>
      <x:c r="O996" s="12" t="str">
        <x:v>No</x:v>
      </x:c>
      <x:c r="P996" s="12" t="str">
        <x:v>No</x:v>
      </x:c>
      <x:c r="Q996" s="12"/>
      <x:c r="R996" s="12"/>
    </x:row>
    <x:row r="997">
      <x:c r="A997" s="12" t="str">
        <x:v>EVD-00996</x:v>
      </x:c>
      <x:c r="B997" s="12" t="str">
        <x:v>NEED-0047</x:v>
      </x:c>
      <x:c r="C997" s="12" t="str">
        <x:v>SRC-0001</x:v>
      </x:c>
      <x:c r="D997" s="12" t="str">
        <x:v>Multi-stakeholder partnerships may be the way to go. Federal agencies with operations at State and local levels could be one vehicle for introducing NASA data for EJ applications – including the U.S. Department of Agriculture (USDA), U.S. Forest Service (USFS), the Environmental Protection Agency (EPA), and the National Institute of Environmental Health Science (NIEHS). In planning for EJ activities, EPA has the lead role for city-level interactions. Dave Jones suggested using the small business innovation research (SBIR) mechanism to pursue EJ ends. There are several challenges: inter-agency linkages, finding the right/key partners, not only at the community scale, but also reaching out to social scientists. Citizen science research communities, data science institutes and non-profits could be relevant partners for local communities.</x:v>
      </x:c>
      <x:c r="E997" s="12" t="str">
        <x:v>Multi-stakeholder partnerships may be the way to go. Federal agencies with operations at State and local levels could be one vehicle for introducing NASA data for EJ applications – including the U.S. Department of Agriculture (USDA), U.S. Forest Service (USFS), the Environmental Protection Agency (EPA), and the National Institute of Environmental Health Science (NIEHS). In planning for EJ activities, EPA has the lead role for city-level interactions. Dave Jones suggested using the small business innovation research (SBIR) mechanism to pursue EJ ends. There are several challenges: inter-agency linkages, finding the right/key partners, not only at the community scale, but also reaching out to social scientists. Citizen science research communities, data science institutes and non-profits could be relevant partners for local communities.</x:v>
      </x:c>
      <x:c r="F997" s="12" t="str">
        <x:v>Action</x:v>
      </x:c>
      <x:c r="G997" s="12" t="str">
        <x:v>SEDAC User Working Group</x:v>
      </x:c>
      <x:c r="H997" s="12" t="n">
        <x:v>2021</x:v>
      </x:c>
      <x:c r="I997" s="12" t="str">
        <x:v>Earth science researchers</x:v>
      </x:c>
      <x:c r="J997" s="12" t="str">
        <x:v>Medium</x:v>
      </x:c>
      <x:c r="K997" s="16" t="n">
        <x:v>0.75</x:v>
      </x:c>
      <x:c r="L997" s="12" t="str">
        <x:v>LSA similarity cluster; human review pending</x:v>
      </x:c>
      <x:c r="M997" s="12" t="str">
        <x:v>Section: 12.5 Key Findings</x:v>
      </x:c>
      <x:c r="N997" s="12" t="str"/>
      <x:c r="O997" s="12" t="str">
        <x:v>No</x:v>
      </x:c>
      <x:c r="P997" s="12" t="str">
        <x:v>No</x:v>
      </x:c>
      <x:c r="Q997" s="12"/>
      <x:c r="R997" s="12"/>
    </x:row>
    <x:row r="998">
      <x:c r="A998" s="12" t="str">
        <x:v>EVD-00997</x:v>
      </x:c>
      <x:c r="B998" s="12" t="str">
        <x:v>NEED-0122</x:v>
      </x:c>
      <x:c r="C998" s="12" t="str">
        <x:v>SRC-0001</x:v>
      </x:c>
      <x:c r="D998" s="12" t="str">
        <x:v>Next steps: NASA indicated an interest in holding a follow-up telecon in late August which would be used to plan a more in-depth virtual or face-to-face meeting for the fall. Key issues include determining what is the best return for the investment for SEDAC and NASA more broadly, and SEDAC’s potential role in facilitating contacts and interactions among stakeholders.</x:v>
      </x:c>
      <x:c r="E998" s="12" t="str">
        <x:v>Next steps: NASA indicated an interest in holding a follow-up telecon in late August which would be used to plan a more in-depth virtual or face-to-face meeting for the fall. Key issues include determining what is the best return for the investment for SEDAC and NASA more broadly, and SEDAC’s potential role in facilitating contacts and interactions among stakeholders.</x:v>
      </x:c>
      <x:c r="F998" s="12" t="str">
        <x:v>Action</x:v>
      </x:c>
      <x:c r="G998" s="12" t="str">
        <x:v>SEDAC User Working Group</x:v>
      </x:c>
      <x:c r="H998" s="12" t="n">
        <x:v>2021</x:v>
      </x:c>
      <x:c r="I998" s="12" t="str">
        <x:v>Earthdata users</x:v>
      </x:c>
      <x:c r="J998" s="12" t="str">
        <x:v>Medium</x:v>
      </x:c>
      <x:c r="K998" s="16" t="n">
        <x:v>0.75</x:v>
      </x:c>
      <x:c r="L998" s="12" t="str">
        <x:v>LSA similarity cluster; human review pending</x:v>
      </x:c>
      <x:c r="M998" s="12" t="str">
        <x:v>Section: 12.5 Key Findings</x:v>
      </x:c>
      <x:c r="N998" s="12" t="str"/>
      <x:c r="O998" s="12" t="str">
        <x:v>No</x:v>
      </x:c>
      <x:c r="P998" s="12" t="str">
        <x:v>No</x:v>
      </x:c>
      <x:c r="Q998" s="12"/>
      <x:c r="R998" s="12"/>
    </x:row>
    <x:row r="999">
      <x:c r="A999" s="12" t="str">
        <x:v>EVD-00998</x:v>
      </x:c>
      <x:c r="B999" s="12" t="str">
        <x:v>NEED-0096</x:v>
      </x:c>
      <x:c r="C999" s="12" t="str">
        <x:v>SRC-0001</x:v>
      </x:c>
      <x:c r="D999" s="12" t="str">
        <x:v>The NASA GIS Strategy</x:v>
      </x:c>
      <x:c r="E999" s="12" t="str">
        <x:v>The NASA GIS Strategy</x:v>
      </x:c>
      <x:c r="F999" s="12" t="str">
        <x:v>Finding</x:v>
      </x:c>
      <x:c r="G999" s="12" t="str">
        <x:v>SEDAC User Working Group</x:v>
      </x:c>
      <x:c r="H999" s="12" t="n">
        <x:v>2021</x:v>
      </x:c>
      <x:c r="I999" s="12" t="str">
        <x:v>GIS users</x:v>
      </x:c>
      <x:c r="J999" s="12" t="str">
        <x:v>Medium</x:v>
      </x:c>
      <x:c r="K999" s="16" t="n">
        <x:v>0.75</x:v>
      </x:c>
      <x:c r="L999" s="12" t="str">
        <x:v>LSA similarity cluster; human review pending</x:v>
      </x:c>
      <x:c r="M999" s="12" t="str">
        <x:v>Section: 12.5 Key Findings</x:v>
      </x:c>
      <x:c r="N999" s="12" t="str"/>
      <x:c r="O999" s="12" t="str">
        <x:v>No</x:v>
      </x:c>
      <x:c r="P999" s="12" t="str">
        <x:v>No</x:v>
      </x:c>
      <x:c r="Q999" s="12"/>
      <x:c r="R999" s="12"/>
    </x:row>
    <x:row r="1000">
      <x:c r="A1000" s="12" t="str">
        <x:v>EVD-00999</x:v>
      </x:c>
      <x:c r="B1000" s="12" t="str">
        <x:v>NEED-0096</x:v>
      </x:c>
      <x:c r="C1000" s="12" t="str">
        <x:v>SRC-0001</x:v>
      </x:c>
      <x:c r="D1000" s="12" t="str">
        <x:v>The NASA Earth Science Division has developed a GIS strategy with nine goals, and SEDAC’s presentation mapped its efforts onto those goals and objectives. The UWG was joined in this discussion by Kevin Murphy.</x:v>
      </x:c>
      <x:c r="E1000" s="12" t="str">
        <x:v>The NASA Earth Science Division has developed a GIS strategy with nine goals, and SEDAC’s presentation mapped its efforts onto those goals and objectives. The UWG was joined in this discussion by Kevin Murphy.</x:v>
      </x:c>
      <x:c r="F1000" s="12" t="str">
        <x:v>Finding</x:v>
      </x:c>
      <x:c r="G1000" s="12" t="str">
        <x:v>SEDAC User Working Group</x:v>
      </x:c>
      <x:c r="H1000" s="12" t="n">
        <x:v>2021</x:v>
      </x:c>
      <x:c r="I1000" s="12" t="str">
        <x:v>GIS users</x:v>
      </x:c>
      <x:c r="J1000" s="12" t="str">
        <x:v>Medium</x:v>
      </x:c>
      <x:c r="K1000" s="16" t="n">
        <x:v>0.75</x:v>
      </x:c>
      <x:c r="L1000" s="12" t="str">
        <x:v>LSA similarity cluster; human review pending</x:v>
      </x:c>
      <x:c r="M1000" s="12" t="str">
        <x:v>Section: 12.5 Key Findings</x:v>
      </x:c>
      <x:c r="N1000" s="12" t="str"/>
      <x:c r="O1000" s="12" t="str">
        <x:v>No</x:v>
      </x:c>
      <x:c r="P1000" s="12" t="str">
        <x:v>No</x:v>
      </x:c>
      <x:c r="Q1000" s="12"/>
      <x:c r="R1000" s="12"/>
    </x:row>
    <x:row r="1001">
      <x:c r="A1001" s="12" t="str">
        <x:v>EVD-01000</x:v>
      </x:c>
      <x:c r="B1001" s="12" t="str">
        <x:v>NEED-0079</x:v>
      </x:c>
      <x:c r="C1001" s="12" t="str">
        <x:v>SRC-0001</x:v>
      </x:c>
      <x:c r="D1001" s="12" t="str">
        <x:v>The GIS strategy discussion overlapped in part with the EJ discussion. Kevin Murphy posed the question of how NASA could provide dedicated support to EJ and Climate justice issues by identifying base layers support BIPOC communities. UWG members described a number of national efforts with which NASA and SEDAC may want to engage, including working with the National States Geographic Information Council (NSGIC) which has geospatial officers in every state, the National Geospatial Advisory Committee (NGAC), and the National Academies of Sciences, Engineering and Medicine (NASEM) Mapping Sciences Committee.2</x:v>
      </x:c>
      <x:c r="E1001" s="12" t="str">
        <x:v>The GIS strategy discussion overlapped in part with the EJ discussion. Kevin Murphy posed the question of how NASA could provide dedicated support to EJ and Climate justice issues by identifying base layers support BIPOC communities. UWG members described a number of national efforts with which NASA and SEDAC may want to engage, including working with the National States Geographic Information Council (NSGIC) which has geospatial officers in every state, the National Geospatial Advisory Committee (NGAC), and the National Academies of Sciences, Engineering and Medicine (NASEM) Mapping Sciences Committee.2</x:v>
      </x:c>
      <x:c r="F1001" s="12" t="str">
        <x:v>Issue/Concern</x:v>
      </x:c>
      <x:c r="G1001" s="12" t="str">
        <x:v>SEDAC User Working Group</x:v>
      </x:c>
      <x:c r="H1001" s="12" t="n">
        <x:v>2021</x:v>
      </x:c>
      <x:c r="I1001" s="12" t="str">
        <x:v>GIS users</x:v>
      </x:c>
      <x:c r="J1001" s="12" t="str">
        <x:v>High</x:v>
      </x:c>
      <x:c r="K1001" s="16" t="n">
        <x:v>0.75</x:v>
      </x:c>
      <x:c r="L1001" s="12" t="str">
        <x:v>LSA similarity cluster; human review pending</x:v>
      </x:c>
      <x:c r="M1001" s="12" t="str">
        <x:v>Section: 12.5 Key Findings</x:v>
      </x:c>
      <x:c r="N1001" s="12" t="str"/>
      <x:c r="O1001" s="12" t="str">
        <x:v>No</x:v>
      </x:c>
      <x:c r="P1001" s="12" t="str">
        <x:v>No</x:v>
      </x:c>
      <x:c r="Q1001" s="12"/>
      <x:c r="R1001" s="12"/>
    </x:row>
    <x:row r="1002">
      <x:c r="A1002" s="12" t="str">
        <x:v>EVD-01001</x:v>
      </x:c>
      <x:c r="B1002" s="12" t="str">
        <x:v>NEED-0059</x:v>
      </x:c>
      <x:c r="C1002" s="12" t="str">
        <x:v>SRC-0001</x:v>
      </x:c>
      <x:c r="D1002" s="12" t="str">
        <x:v>The UWG brought their diverse experiences to bear on the subject. Charlie Frye stated that most of his job at Esri is connecting users to data, and that tools such as the Living Atlas have made it easier for people to discover geospatial data. There is also quite a bit of work that goes into ingesting data, including remote sensing data from various DAACs. ArcGIS Online (AGOL) has sought to make services ready to use, but there is a difference between “analysis ready” and “visualization ready,” which implies two different data formats. SEDAC will be supporting more of these technologies, to facilitate map making and the like, in the near future.</x:v>
      </x:c>
      <x:c r="E1002" s="12" t="str">
        <x:v>The UWG brought their diverse experiences to bear on the subject. Charlie Frye stated that most of his job at Esri is connecting users to data, and that tools such as the Living Atlas have made it easier for people to discover geospatial data. There is also quite a bit of work that goes into ingesting data, including remote sensing data from various DAACs. ArcGIS Online (AGOL) has sought to make services ready to use, but there is a difference between “analysis ready” and “visualization ready,” which implies two different data formats. SEDAC will be supporting more of these technologies, to facilitate map making and the like, in the near future.</x:v>
      </x:c>
      <x:c r="F1002" s="12" t="str">
        <x:v>Finding</x:v>
      </x:c>
      <x:c r="G1002" s="12" t="str">
        <x:v>SEDAC User Working Group</x:v>
      </x:c>
      <x:c r="H1002" s="12" t="n">
        <x:v>2021</x:v>
      </x:c>
      <x:c r="I1002" s="12" t="str">
        <x:v>GIS users; Data producers and mission teams; Earth science researchers</x:v>
      </x:c>
      <x:c r="J1002" s="12" t="str">
        <x:v>Medium</x:v>
      </x:c>
      <x:c r="K1002" s="16" t="n">
        <x:v>0.75</x:v>
      </x:c>
      <x:c r="L1002" s="12" t="str">
        <x:v>LSA similarity cluster; human review pending</x:v>
      </x:c>
      <x:c r="M1002" s="12" t="str">
        <x:v>Section: 12.5 Key Findings</x:v>
      </x:c>
      <x:c r="N1002" s="12" t="str"/>
      <x:c r="O1002" s="12" t="str">
        <x:v>No</x:v>
      </x:c>
      <x:c r="P1002" s="12" t="str">
        <x:v>No</x:v>
      </x:c>
      <x:c r="Q1002" s="12"/>
      <x:c r="R1002" s="12"/>
    </x:row>
    <x:row r="1003">
      <x:c r="A1003" s="12" t="str">
        <x:v>EVD-01002</x:v>
      </x:c>
      <x:c r="B1003" s="12" t="str">
        <x:v>NEED-0075</x:v>
      </x:c>
      <x:c r="C1003" s="12" t="str">
        <x:v>SRC-0001</x:v>
      </x:c>
      <x:c r="D1003" s="12" t="str">
        <x:v>Navin Ramankutty pointed out that some social scientists, especially economists, want geospatial data to be translated into tabular formats.3 It could be relevant to engage with the geospatial technology community, and modeling efforts, to work on this “translation” function and reaching out to high-tech skill groups not versed in remote sensing data.</x:v>
      </x:c>
      <x:c r="E1003" s="12" t="str">
        <x:v>Navin Ramankutty pointed out that some social scientists, especially economists, want geospatial data to be translated into tabular formats.3 It could be relevant to engage with the geospatial technology community, and modeling efforts, to work on this “translation” function and reaching out to high-tech skill groups not versed in remote sensing data.</x:v>
      </x:c>
      <x:c r="F1003" s="12" t="str">
        <x:v>Finding</x:v>
      </x:c>
      <x:c r="G1003" s="12" t="str">
        <x:v>SEDAC User Working Group</x:v>
      </x:c>
      <x:c r="H1003" s="12" t="n">
        <x:v>2021</x:v>
      </x:c>
      <x:c r="I1003" s="12" t="str">
        <x:v>GIS users; Earth science researchers</x:v>
      </x:c>
      <x:c r="J1003" s="12" t="str">
        <x:v>Medium</x:v>
      </x:c>
      <x:c r="K1003" s="16" t="n">
        <x:v>0.75</x:v>
      </x:c>
      <x:c r="L1003" s="12" t="str">
        <x:v>LSA similarity cluster; human review pending</x:v>
      </x:c>
      <x:c r="M1003" s="12" t="str">
        <x:v>Section: 12.5 Key Findings</x:v>
      </x:c>
      <x:c r="N1003" s="12" t="str"/>
      <x:c r="O1003" s="12" t="str">
        <x:v>No</x:v>
      </x:c>
      <x:c r="P1003" s="12" t="str">
        <x:v>No</x:v>
      </x:c>
      <x:c r="Q1003" s="12"/>
      <x:c r="R1003" s="12"/>
    </x:row>
    <x:row r="1004">
      <x:c r="A1004" s="12" t="str">
        <x:v>EVD-01003</x:v>
      </x:c>
      <x:c r="B1004" s="12" t="str">
        <x:v>NEED-0059</x:v>
      </x:c>
      <x:c r="C1004" s="12" t="str">
        <x:v>SRC-0001</x:v>
      </x:c>
      <x:c r="D1004" s="12" t="str">
        <x:v>There was a general consensus that the NASA GIS strategy is useful to SEDAC, since it has the potential to engage more users and put NASA and other data to work, in addition to serving the research community.</x:v>
      </x:c>
      <x:c r="E1004" s="12" t="str">
        <x:v>There was a general consensus that the NASA GIS strategy is useful to SEDAC, since it has the potential to engage more users and put NASA and other data to work, in addition to serving the research community.</x:v>
      </x:c>
      <x:c r="F1004" s="12" t="str">
        <x:v>Finding</x:v>
      </x:c>
      <x:c r="G1004" s="12" t="str">
        <x:v>SEDAC User Working Group</x:v>
      </x:c>
      <x:c r="H1004" s="12" t="n">
        <x:v>2021</x:v>
      </x:c>
      <x:c r="I1004" s="12" t="str">
        <x:v>GIS users; Earth science researchers</x:v>
      </x:c>
      <x:c r="J1004" s="12" t="str">
        <x:v>Medium</x:v>
      </x:c>
      <x:c r="K1004" s="16" t="n">
        <x:v>0.75</x:v>
      </x:c>
      <x:c r="L1004" s="12" t="str">
        <x:v>LSA similarity cluster; human review pending</x:v>
      </x:c>
      <x:c r="M1004" s="12" t="str">
        <x:v>Section: 12.5 Key Findings</x:v>
      </x:c>
      <x:c r="N1004" s="12" t="str"/>
      <x:c r="O1004" s="12" t="str">
        <x:v>No</x:v>
      </x:c>
      <x:c r="P1004" s="12" t="str">
        <x:v>No</x:v>
      </x:c>
      <x:c r="Q1004" s="12"/>
      <x:c r="R1004" s="12"/>
    </x:row>
    <x:row r="1005">
      <x:c r="A1005" s="12" t="str">
        <x:v>EVD-01004</x:v>
      </x:c>
      <x:c r="B1005" s="12" t="str">
        <x:v>NEED-0132</x:v>
      </x:c>
      <x:c r="C1005" s="12" t="str">
        <x:v>SRC-0001</x:v>
      </x:c>
      <x:c r="D1005" s="12" t="str">
        <x:v>2 https://www.nsgic.org/states, https://www.fgdc.gov/ngac, and https://www.nationalacademies.org/our-work/mapping-science-committee, respectively.</x:v>
      </x:c>
      <x:c r="E1005" s="12" t="str">
        <x:v>2 https://www.nsgic.org/states, https://www.fgdc.gov/ngac, and https://www.nationalacademies.org/our-work/mapping-science-committee, respectively.</x:v>
      </x:c>
      <x:c r="F1005" s="12" t="str">
        <x:v>Finding</x:v>
      </x:c>
      <x:c r="G1005" s="12" t="str">
        <x:v>SEDAC User Working Group</x:v>
      </x:c>
      <x:c r="H1005" s="12" t="n">
        <x:v>2021</x:v>
      </x:c>
      <x:c r="I1005" s="12" t="str">
        <x:v>Earthdata users</x:v>
      </x:c>
      <x:c r="J1005" s="12" t="str">
        <x:v>Medium</x:v>
      </x:c>
      <x:c r="K1005" s="16" t="n">
        <x:v>0.75</x:v>
      </x:c>
      <x:c r="L1005" s="12" t="str">
        <x:v>LSA similarity cluster; human review pending</x:v>
      </x:c>
      <x:c r="M1005" s="12" t="str">
        <x:v>Section: 12.5 Key Findings</x:v>
      </x:c>
      <x:c r="N1005" s="12" t="str"/>
      <x:c r="O1005" s="12" t="str">
        <x:v>No</x:v>
      </x:c>
      <x:c r="P1005" s="12" t="str">
        <x:v>No</x:v>
      </x:c>
      <x:c r="Q1005" s="12"/>
      <x:c r="R1005" s="12"/>
    </x:row>
    <x:row r="1006">
      <x:c r="A1006" s="12" t="str">
        <x:v>EVD-01005</x:v>
      </x:c>
      <x:c r="B1006" s="12" t="str">
        <x:v>NEED-0125</x:v>
      </x:c>
      <x:c r="C1006" s="12" t="str">
        <x:v>SRC-0001</x:v>
      </x:c>
      <x:c r="D1006" s="12" t="str">
        <x:v>3 SEDAC has a number of tabular data sets that do this, including the Population, Climate and Landscape Estimates (PLACE) and Low Elevation Coastal Zone data sets, both of which have had multiple releases owing to their popularity.</x:v>
      </x:c>
      <x:c r="E1006" s="12" t="str">
        <x:v>3 SEDAC has a number of tabular data sets that do this, including the Population, Climate and Landscape Estimates (PLACE) and Low Elevation Coastal Zone data sets, both of which have had multiple releases owing to their popularity.</x:v>
      </x:c>
      <x:c r="F1006" s="12" t="str">
        <x:v>Finding</x:v>
      </x:c>
      <x:c r="G1006" s="12" t="str">
        <x:v>SEDAC User Working Group</x:v>
      </x:c>
      <x:c r="H1006" s="12" t="n">
        <x:v>2021</x:v>
      </x:c>
      <x:c r="I1006" s="12" t="str">
        <x:v>Earthdata users</x:v>
      </x:c>
      <x:c r="J1006" s="12" t="str">
        <x:v>Medium</x:v>
      </x:c>
      <x:c r="K1006" s="16" t="n">
        <x:v>0.75</x:v>
      </x:c>
      <x:c r="L1006" s="12" t="str">
        <x:v>LSA similarity cluster; human review pending</x:v>
      </x:c>
      <x:c r="M1006" s="12" t="str">
        <x:v>Section: 12.5 Key Findings</x:v>
      </x:c>
      <x:c r="N1006" s="12" t="str"/>
      <x:c r="O1006" s="12" t="str">
        <x:v>No</x:v>
      </x:c>
      <x:c r="P1006" s="12" t="str">
        <x:v>No</x:v>
      </x:c>
      <x:c r="Q1006" s="12"/>
      <x:c r="R1006" s="12"/>
    </x:row>
    <x:row r="1007">
      <x:c r="A1007" s="12" t="str">
        <x:v>EVD-01006</x:v>
      </x:c>
      <x:c r="B1007" s="12" t="str">
        <x:v>NEED-0106</x:v>
      </x:c>
      <x:c r="C1007" s="12" t="str">
        <x:v>SRC-0001</x:v>
      </x:c>
      <x:c r="D1007" s="12" t="str">
        <x:v>SEDAC Citations Analysis</x:v>
      </x:c>
      <x:c r="E1007" s="12" t="str">
        <x:v>SEDAC Citations Analysis</x:v>
      </x:c>
      <x:c r="F1007" s="12" t="str">
        <x:v>Finding</x:v>
      </x:c>
      <x:c r="G1007" s="12" t="str">
        <x:v>SEDAC User Working Group</x:v>
      </x:c>
      <x:c r="H1007" s="12" t="n">
        <x:v>2021</x:v>
      </x:c>
      <x:c r="I1007" s="12" t="str">
        <x:v>Earth science researchers</x:v>
      </x:c>
      <x:c r="J1007" s="12" t="str">
        <x:v>Medium</x:v>
      </x:c>
      <x:c r="K1007" s="16" t="n">
        <x:v>0.75</x:v>
      </x:c>
      <x:c r="L1007" s="12" t="str">
        <x:v>LSA similarity cluster; human review pending</x:v>
      </x:c>
      <x:c r="M1007" s="12" t="str">
        <x:v>Section: 12.5 Key Findings</x:v>
      </x:c>
      <x:c r="N1007" s="12" t="str"/>
      <x:c r="O1007" s="12" t="str">
        <x:v>No</x:v>
      </x:c>
      <x:c r="P1007" s="12" t="str">
        <x:v>No</x:v>
      </x:c>
      <x:c r="Q1007" s="12"/>
      <x:c r="R1007" s="12"/>
    </x:row>
    <x:row r="1008">
      <x:c r="A1008" s="12" t="str">
        <x:v>EVD-01007</x:v>
      </x:c>
      <x:c r="B1008" s="12" t="str">
        <x:v>NEED-0106</x:v>
      </x:c>
      <x:c r="C1008" s="12" t="str">
        <x:v>SRC-0001</x:v>
      </x:c>
      <x:c r="D1008" s="12" t="str">
        <x:v>SEDAC presented on further citation analysis, seeking to control for the growing number of journal articles as had been requested in prior UWG discussions.</x:v>
      </x:c>
      <x:c r="E1008" s="12" t="str">
        <x:v>SEDAC presented on further citation analysis, seeking to control for the growing number of journal articles as had been requested in prior UWG discussions.</x:v>
      </x:c>
      <x:c r="F1008" s="12" t="str">
        <x:v>Finding</x:v>
      </x:c>
      <x:c r="G1008" s="12" t="str">
        <x:v>SEDAC User Working Group</x:v>
      </x:c>
      <x:c r="H1008" s="12" t="n">
        <x:v>2021</x:v>
      </x:c>
      <x:c r="I1008" s="12" t="str">
        <x:v>Earth science researchers</x:v>
      </x:c>
      <x:c r="J1008" s="12" t="str">
        <x:v>Medium</x:v>
      </x:c>
      <x:c r="K1008" s="16" t="n">
        <x:v>0.75</x:v>
      </x:c>
      <x:c r="L1008" s="12" t="str">
        <x:v>LSA similarity cluster; human review pending</x:v>
      </x:c>
      <x:c r="M1008" s="12" t="str">
        <x:v>Section: 12.5 Key Findings</x:v>
      </x:c>
      <x:c r="N1008" s="12" t="str"/>
      <x:c r="O1008" s="12" t="str">
        <x:v>No</x:v>
      </x:c>
      <x:c r="P1008" s="12" t="str">
        <x:v>No</x:v>
      </x:c>
      <x:c r="Q1008" s="12"/>
      <x:c r="R1008" s="12"/>
    </x:row>
    <x:row r="1009">
      <x:c r="A1009" s="12" t="str">
        <x:v>EVD-01008</x:v>
      </x:c>
      <x:c r="B1009" s="12" t="str">
        <x:v>NEED-0106</x:v>
      </x:c>
      <x:c r="C1009" s="12" t="str">
        <x:v>SRC-0001</x:v>
      </x:c>
      <x:c r="D1009" s="12" t="str">
        <x:v>During the presentation of the SEDAC citation analysis, UWG members wondered how SEDAC data are actually cited, and if it is possible that citations are underestimated because authors are citing the original journal articles, or getting the data from other repositories (e.g., the Special Report on Emission Scenarios data). Members suggested following influential articles citing SEDAC data to get their citations.</x:v>
      </x:c>
      <x:c r="E1009" s="12" t="str">
        <x:v>During the presentation of the SEDAC citation analysis, UWG members wondered how SEDAC data are actually cited, and if it is possible that citations are underestimated because authors are citing the original journal articles, or getting the data from other repositories (e.g., the Special Report on Emission Scenarios data). Members suggested following influential articles citing SEDAC data to get their citations.</x:v>
      </x:c>
      <x:c r="F1009" s="12" t="str">
        <x:v>Suggestion</x:v>
      </x:c>
      <x:c r="G1009" s="12" t="str">
        <x:v>SEDAC User Working Group</x:v>
      </x:c>
      <x:c r="H1009" s="12" t="n">
        <x:v>2021</x:v>
      </x:c>
      <x:c r="I1009" s="12" t="str">
        <x:v>Data producers and mission teams; Earth science researchers</x:v>
      </x:c>
      <x:c r="J1009" s="12" t="str">
        <x:v>Medium</x:v>
      </x:c>
      <x:c r="K1009" s="16" t="n">
        <x:v>0.75</x:v>
      </x:c>
      <x:c r="L1009" s="12" t="str">
        <x:v>LSA similarity cluster; human review pending</x:v>
      </x:c>
      <x:c r="M1009" s="12" t="str">
        <x:v>Section: 12.5 Key Findings</x:v>
      </x:c>
      <x:c r="N1009" s="12" t="str"/>
      <x:c r="O1009" s="12" t="str">
        <x:v>No</x:v>
      </x:c>
      <x:c r="P1009" s="12" t="str">
        <x:v>No</x:v>
      </x:c>
      <x:c r="Q1009" s="12"/>
      <x:c r="R1009" s="12"/>
    </x:row>
    <x:row r="1010">
      <x:c r="A1010" s="12" t="str">
        <x:v>EVD-01009</x:v>
      </x:c>
      <x:c r="B1010" s="12" t="str">
        <x:v>NEED-0125</x:v>
      </x:c>
      <x:c r="C1010" s="12" t="str">
        <x:v>SRC-0001</x:v>
      </x:c>
      <x:c r="D1010" s="12" t="str">
        <x:v>Data nominations</x:v>
      </x:c>
      <x:c r="E1010" s="12" t="str">
        <x:v>Data nominations</x:v>
      </x:c>
      <x:c r="F1010" s="12" t="str">
        <x:v>Finding</x:v>
      </x:c>
      <x:c r="G1010" s="12" t="str">
        <x:v>SEDAC User Working Group</x:v>
      </x:c>
      <x:c r="H1010" s="12" t="n">
        <x:v>2021</x:v>
      </x:c>
      <x:c r="I1010" s="12" t="str">
        <x:v>Earthdata users</x:v>
      </x:c>
      <x:c r="J1010" s="12" t="str">
        <x:v>Medium</x:v>
      </x:c>
      <x:c r="K1010" s="16" t="n">
        <x:v>0.75</x:v>
      </x:c>
      <x:c r="L1010" s="12" t="str">
        <x:v>LSA similarity cluster; human review pending</x:v>
      </x:c>
      <x:c r="M1010" s="12" t="str">
        <x:v>Section: 12.5 Key Findings</x:v>
      </x:c>
      <x:c r="N1010" s="12" t="str"/>
      <x:c r="O1010" s="12" t="str">
        <x:v>No</x:v>
      </x:c>
      <x:c r="P1010" s="12" t="str">
        <x:v>No</x:v>
      </x:c>
      <x:c r="Q1010" s="12"/>
      <x:c r="R1010" s="12"/>
    </x:row>
    <x:row r="1011">
      <x:c r="A1011" s="12" t="str">
        <x:v>EVD-01010</x:v>
      </x:c>
      <x:c r="B1011" s="12" t="str">
        <x:v>NEED-0125</x:v>
      </x:c>
      <x:c r="C1011" s="12" t="str">
        <x:v>SRC-0001</x:v>
      </x:c>
      <x:c r="D1011" s="12" t="str">
        <x:v>The UWG reviewed six data nominations, one of which was Type 1 (SEDAC developed) and five of which were Type 3 (third party developed) data.</x:v>
      </x:c>
      <x:c r="E1011" s="12" t="str">
        <x:v>The UWG reviewed six data nominations, one of which was Type 1 (SEDAC developed) and five of which were Type 3 (third party developed) data.</x:v>
      </x:c>
      <x:c r="F1011" s="12" t="str">
        <x:v>Finding</x:v>
      </x:c>
      <x:c r="G1011" s="12" t="str">
        <x:v>SEDAC User Working Group</x:v>
      </x:c>
      <x:c r="H1011" s="12" t="n">
        <x:v>2021</x:v>
      </x:c>
      <x:c r="I1011" s="12" t="str">
        <x:v>Earthdata users</x:v>
      </x:c>
      <x:c r="J1011" s="12" t="str">
        <x:v>Medium</x:v>
      </x:c>
      <x:c r="K1011" s="16" t="n">
        <x:v>0.75</x:v>
      </x:c>
      <x:c r="L1011" s="12" t="str">
        <x:v>LSA similarity cluster; human review pending</x:v>
      </x:c>
      <x:c r="M1011" s="12" t="str">
        <x:v>Section: 12.5 Key Findings</x:v>
      </x:c>
      <x:c r="N1011" s="12" t="str"/>
      <x:c r="O1011" s="12" t="str">
        <x:v>No</x:v>
      </x:c>
      <x:c r="P1011" s="12" t="str">
        <x:v>No</x:v>
      </x:c>
      <x:c r="Q1011" s="12"/>
      <x:c r="R1011" s="12"/>
    </x:row>
    <x:row r="1012">
      <x:c r="A1012" s="12" t="str">
        <x:v>EVD-01011</x:v>
      </x:c>
      <x:c r="B1012" s="12" t="str">
        <x:v>NEED-0211</x:v>
      </x:c>
      <x:c r="C1012" s="12" t="str">
        <x:v>SRC-0001</x:v>
      </x:c>
      <x:c r="D1012" s="12" t="str">
        <x:v>UWG members were given additional time after the meeting to provide feedback on the proposed data sets, but no further comments were received. The list of approved data nominations from the March and July virtual meetings is provided.</x:v>
      </x:c>
      <x:c r="E1012" s="12" t="str">
        <x:v>UWG members were given additional time after the meeting to provide feedback on the proposed data sets, but no further comments were received. The list of approved data nominations from the March and July virtual meetings is provided.</x:v>
      </x:c>
      <x:c r="F1012" s="12" t="str">
        <x:v>Finding</x:v>
      </x:c>
      <x:c r="G1012" s="12" t="str">
        <x:v>SEDAC User Working Group</x:v>
      </x:c>
      <x:c r="H1012" s="12" t="n">
        <x:v>2021</x:v>
      </x:c>
      <x:c r="I1012" s="12" t="str">
        <x:v>Earthdata users</x:v>
      </x:c>
      <x:c r="J1012" s="12" t="str">
        <x:v>High</x:v>
      </x:c>
      <x:c r="K1012" s="16" t="n">
        <x:v>0.75</x:v>
      </x:c>
      <x:c r="L1012" s="12" t="str">
        <x:v>LSA similarity cluster; human review pending</x:v>
      </x:c>
      <x:c r="M1012" s="12" t="str">
        <x:v>Section: 12.5 Key Findings</x:v>
      </x:c>
      <x:c r="N1012" s="12" t="str"/>
      <x:c r="O1012" s="12" t="str">
        <x:v>No</x:v>
      </x:c>
      <x:c r="P1012" s="12" t="str">
        <x:v>No</x:v>
      </x:c>
      <x:c r="Q1012" s="12"/>
      <x:c r="R1012" s="12"/>
    </x:row>
    <x:row r="1013">
      <x:c r="A1013" s="12" t="str">
        <x:v>EVD-01012</x:v>
      </x:c>
      <x:c r="B1013" s="12" t="str">
        <x:v>NEED-0127</x:v>
      </x:c>
      <x:c r="C1013" s="12" t="str">
        <x:v>SRC-0001</x:v>
      </x:c>
      <x:c r="D1013" s="12" t="str">
        <x:v>There was a suggestion to make the code available to increase the usefulness of the data, and another to include a question on EJ issues in the data submission form, which could eventually be used as a metric of SEDAC holdings in the field of EJ.</x:v>
      </x:c>
      <x:c r="E1013" s="12" t="str">
        <x:v>There was a suggestion to make the code available to increase the usefulness of the data, and another to include a question on EJ issues in the data submission form, which could eventually be used as a metric of SEDAC holdings in the field of EJ.</x:v>
      </x:c>
      <x:c r="F1013" s="12" t="str">
        <x:v>Suggestion</x:v>
      </x:c>
      <x:c r="G1013" s="12" t="str">
        <x:v>SEDAC User Working Group</x:v>
      </x:c>
      <x:c r="H1013" s="12" t="n">
        <x:v>2021</x:v>
      </x:c>
      <x:c r="I1013" s="12" t="str">
        <x:v>Application developers; Data producers and mission teams</x:v>
      </x:c>
      <x:c r="J1013" s="12" t="str">
        <x:v>Medium</x:v>
      </x:c>
      <x:c r="K1013" s="16" t="n">
        <x:v>0.75</x:v>
      </x:c>
      <x:c r="L1013" s="12" t="str">
        <x:v>LSA similarity cluster; human review pending</x:v>
      </x:c>
      <x:c r="M1013" s="12" t="str">
        <x:v>Section: 12.5 Key Findings</x:v>
      </x:c>
      <x:c r="N1013" s="12" t="str"/>
      <x:c r="O1013" s="12" t="str">
        <x:v>No</x:v>
      </x:c>
      <x:c r="P1013" s="12" t="str">
        <x:v>No</x:v>
      </x:c>
      <x:c r="Q1013" s="12"/>
      <x:c r="R1013" s="12"/>
    </x:row>
    <x:row r="1014">
      <x:c r="A1014" s="12" t="str">
        <x:v>EVD-01013</x:v>
      </x:c>
      <x:c r="B1014" s="12" t="str">
        <x:v>NEED-0128</x:v>
      </x:c>
      <x:c r="C1014" s="12" t="str">
        <x:v>SRC-0001</x:v>
      </x:c>
      <x:c r="D1014" s="12" t="str">
        <x:v>Modalities of future UWG meetings</x:v>
      </x:c>
      <x:c r="E1014" s="12" t="str">
        <x:v>Modalities of future UWG meetings</x:v>
      </x:c>
      <x:c r="F1014" s="12" t="str">
        <x:v>Finding</x:v>
      </x:c>
      <x:c r="G1014" s="12" t="str">
        <x:v>SEDAC User Working Group</x:v>
      </x:c>
      <x:c r="H1014" s="12" t="n">
        <x:v>2021</x:v>
      </x:c>
      <x:c r="I1014" s="12" t="str">
        <x:v>Earthdata users</x:v>
      </x:c>
      <x:c r="J1014" s="12" t="str">
        <x:v>Medium</x:v>
      </x:c>
      <x:c r="K1014" s="16" t="n">
        <x:v>0.75</x:v>
      </x:c>
      <x:c r="L1014" s="12" t="str">
        <x:v>LSA similarity cluster; human review pending</x:v>
      </x:c>
      <x:c r="M1014" s="12" t="str">
        <x:v>Section: 12.5 Key Findings</x:v>
      </x:c>
      <x:c r="N1014" s="12" t="str"/>
      <x:c r="O1014" s="12" t="str">
        <x:v>No</x:v>
      </x:c>
      <x:c r="P1014" s="12" t="str">
        <x:v>No</x:v>
      </x:c>
      <x:c r="Q1014" s="12"/>
      <x:c r="R1014" s="12"/>
    </x:row>
    <x:row r="1015">
      <x:c r="A1015" s="12" t="str">
        <x:v>EVD-01014</x:v>
      </x:c>
      <x:c r="B1015" s="12" t="str">
        <x:v>NEED-0155</x:v>
      </x:c>
      <x:c r="C1015" s="12" t="str">
        <x:v>SRC-0001</x:v>
      </x:c>
      <x:c r="D1015" s="12" t="str">
        <x:v>The move to virtual meetings has had advantages and disadvantages. One advantage is that the two channels of communication (verbal and via the chat function) have enabled more feedback. There is also less of a time-commitment since travel is not required. But as time is generally more limited for virtual meetings, discussions are often rushed, and some UWG members felt they were drinking out of a fire hose. A possibility could be to create video of some of the presentations (e.g., the SEDAC update) in advance and go over the questions to the UWG during the actual meeting.</x:v>
      </x:c>
      <x:c r="E1015" s="12" t="str">
        <x:v>The move to virtual meetings has had advantages and disadvantages. One advantage is that the two channels of communication (verbal and via the chat function) have enabled more feedback. There is also less of a time-commitment since travel is not required. But as time is generally more limited for virtual meetings, discussions are often rushed, and some UWG members felt they were drinking out of a fire hose. A possibility could be to create video of some of the presentations (e.g., the SEDAC update) in advance and go over the questions to the UWG during the actual meeting.</x:v>
      </x:c>
      <x:c r="F1015" s="12" t="str">
        <x:v>Finding</x:v>
      </x:c>
      <x:c r="G1015" s="12" t="str">
        <x:v>SEDAC User Working Group</x:v>
      </x:c>
      <x:c r="H1015" s="12" t="n">
        <x:v>2021</x:v>
      </x:c>
      <x:c r="I1015" s="12" t="str">
        <x:v>Earthdata users</x:v>
      </x:c>
      <x:c r="J1015" s="12" t="str">
        <x:v>High</x:v>
      </x:c>
      <x:c r="K1015" s="16" t="n">
        <x:v>0.55</x:v>
      </x:c>
      <x:c r="L1015" s="12" t="str">
        <x:v>LSA similarity cluster; human review pending</x:v>
      </x:c>
      <x:c r="M1015" s="12" t="str">
        <x:v>Section: 12.5 Key Findings</x:v>
      </x:c>
      <x:c r="N1015" s="12" t="str"/>
      <x:c r="O1015" s="12" t="str">
        <x:v>No</x:v>
      </x:c>
      <x:c r="P1015" s="12" t="str">
        <x:v>No</x:v>
      </x:c>
      <x:c r="Q1015" s="12"/>
      <x:c r="R1015" s="12"/>
    </x:row>
    <x:row r="1016">
      <x:c r="A1016" s="12" t="str">
        <x:v>EVD-01015</x:v>
      </x:c>
      <x:c r="B1016" s="12" t="str">
        <x:v>NEED-0043</x:v>
      </x:c>
      <x:c r="C1016" s="12" t="str">
        <x:v>SRC-0001</x:v>
      </x:c>
      <x:c r="D1016" s="12" t="str">
        <x:v>There was a general sense that while virtual meetings are more accessible for some, including those who have family obligations, personal connections are not fostered as well, and some of the context for discussions is harder to convey in short virtual meetings. Hybrid formats were considered to be the least desirable approach, since those who are outside the room tend to be at a disadvantage. Yet there was recognition that if some are unable to travel, it is better than not participating at all. Shorter, more frequent and focused meetings could work as well. There was also a suggestion that interactive tools could be incorporated for more effective brainstorming.</x:v>
      </x:c>
      <x:c r="E1016" s="12" t="str">
        <x:v>There was a general sense that while virtual meetings are more accessible for some, including those who have family obligations, personal connections are not fostered as well, and some of the context for discussions is harder to convey in short virtual meetings. Hybrid formats were considered to be the least desirable approach, since those who are outside the room tend to be at a disadvantage. Yet there was recognition that if some are unable to travel, it is better than not participating at all. Shorter, more frequent and focused meetings could work as well. There was also a suggestion that interactive tools could be incorporated for more effective brainstorming.</x:v>
      </x:c>
      <x:c r="F1016" s="12" t="str">
        <x:v>Suggestion</x:v>
      </x:c>
      <x:c r="G1016" s="12" t="str">
        <x:v>SEDAC User Working Group</x:v>
      </x:c>
      <x:c r="H1016" s="12" t="n">
        <x:v>2021</x:v>
      </x:c>
      <x:c r="I1016" s="12" t="str">
        <x:v>Earthdata users</x:v>
      </x:c>
      <x:c r="J1016" s="12" t="str">
        <x:v>Medium</x:v>
      </x:c>
      <x:c r="K1016" s="16" t="n">
        <x:v>0.55</x:v>
      </x:c>
      <x:c r="L1016" s="12" t="str">
        <x:v>LSA similarity cluster; human review pending</x:v>
      </x:c>
      <x:c r="M1016" s="12" t="str">
        <x:v>Section: 12.5 Key Findings</x:v>
      </x:c>
      <x:c r="N1016" s="12" t="str"/>
      <x:c r="O1016" s="12" t="str">
        <x:v>No</x:v>
      </x:c>
      <x:c r="P1016" s="12" t="str">
        <x:v>No</x:v>
      </x:c>
      <x:c r="Q1016" s="12"/>
      <x:c r="R1016" s="12"/>
    </x:row>
    <x:row r="1017">
      <x:c r="A1017" s="12" t="str">
        <x:v>EVD-01016</x:v>
      </x:c>
      <x:c r="B1017" s="12" t="str">
        <x:v>NEED-0211</x:v>
      </x:c>
      <x:c r="C1017" s="12" t="str">
        <x:v>SRC-0001</x:v>
      </x:c>
      <x:c r="D1017" s="12" t="str">
        <x:v>Recent virtual meetings have felt too rushed, and it would be nice to have more time for discussion. For some issues, there is not enough time for providing feedback.</x:v>
      </x:c>
      <x:c r="E1017" s="12" t="str">
        <x:v>Recent virtual meetings have felt too rushed, and it would be nice to have more time for discussion. For some issues, there is not enough time for providing feedback.</x:v>
      </x:c>
      <x:c r="F1017" s="12" t="str">
        <x:v>Issue/Concern</x:v>
      </x:c>
      <x:c r="G1017" s="12" t="str">
        <x:v>SEDAC User Working Group</x:v>
      </x:c>
      <x:c r="H1017" s="12" t="n">
        <x:v>2021</x:v>
      </x:c>
      <x:c r="I1017" s="12" t="str">
        <x:v>Earthdata users</x:v>
      </x:c>
      <x:c r="J1017" s="12" t="str">
        <x:v>Medium</x:v>
      </x:c>
      <x:c r="K1017" s="16" t="n">
        <x:v>0.75</x:v>
      </x:c>
      <x:c r="L1017" s="12" t="str">
        <x:v>LSA similarity cluster; human review pending</x:v>
      </x:c>
      <x:c r="M1017" s="12" t="str">
        <x:v>Section: 12.6 Issues and Concerns</x:v>
      </x:c>
      <x:c r="N1017" s="12" t="str"/>
      <x:c r="O1017" s="12" t="str">
        <x:v>No</x:v>
      </x:c>
      <x:c r="P1017" s="12" t="str">
        <x:v>No</x:v>
      </x:c>
      <x:c r="Q1017" s="12"/>
      <x:c r="R1017" s="12"/>
    </x:row>
    <x:row r="1018">
      <x:c r="A1018" s="12" t="str">
        <x:v>EVD-01017</x:v>
      </x:c>
      <x:c r="B1018" s="12" t="str">
        <x:v>NEED-0083</x:v>
      </x:c>
      <x:c r="C1018" s="12" t="str">
        <x:v>SRC-0001</x:v>
      </x:c>
      <x:c r="D1018" s="12" t="str">
        <x:v>There is not enough information to represent the larger SEDAC user community. Who are the users SEDAC is trying to reach? What level of sophistication do they have?</x:v>
      </x:c>
      <x:c r="E1018" s="12" t="str">
        <x:v>There is not enough information to represent the larger SEDAC user community. Who are the users SEDAC is trying to reach? What level of sophistication do they have?</x:v>
      </x:c>
      <x:c r="F1018" s="12" t="str">
        <x:v>Issue/Concern</x:v>
      </x:c>
      <x:c r="G1018" s="12" t="str">
        <x:v>SEDAC User Working Group</x:v>
      </x:c>
      <x:c r="H1018" s="12" t="n">
        <x:v>2021</x:v>
      </x:c>
      <x:c r="I1018" s="12" t="str">
        <x:v>Earthdata users</x:v>
      </x:c>
      <x:c r="J1018" s="12" t="str">
        <x:v>Medium</x:v>
      </x:c>
      <x:c r="K1018" s="16" t="n">
        <x:v>0.75</x:v>
      </x:c>
      <x:c r="L1018" s="12" t="str">
        <x:v>LSA similarity cluster; human review pending</x:v>
      </x:c>
      <x:c r="M1018" s="12" t="str">
        <x:v>Section: 12.6 Issues and Concerns</x:v>
      </x:c>
      <x:c r="N1018" s="12" t="str"/>
      <x:c r="O1018" s="12" t="str">
        <x:v>No</x:v>
      </x:c>
      <x:c r="P1018" s="12" t="str">
        <x:v>No</x:v>
      </x:c>
      <x:c r="Q1018" s="12"/>
      <x:c r="R1018" s="12"/>
    </x:row>
    <x:row r="1019">
      <x:c r="A1019" s="12" t="str">
        <x:v>EVD-01018</x:v>
      </x:c>
      <x:c r="B1019" s="12" t="str">
        <x:v>NEED-0096</x:v>
      </x:c>
      <x:c r="C1019" s="12" t="str">
        <x:v>SRC-0001</x:v>
      </x:c>
      <x:c r="D1019" s="12" t="str">
        <x:v>Regarding the GIS strategy discussion, it was not entirely clear what the objective was, since the strategy is a NASA and not a SEDAC strategy.</x:v>
      </x:c>
      <x:c r="E1019" s="12" t="str">
        <x:v>Regarding the GIS strategy discussion, it was not entirely clear what the objective was, since the strategy is a NASA and not a SEDAC strategy.</x:v>
      </x:c>
      <x:c r="F1019" s="12" t="str">
        <x:v>Issue/Concern</x:v>
      </x:c>
      <x:c r="G1019" s="12" t="str">
        <x:v>SEDAC User Working Group</x:v>
      </x:c>
      <x:c r="H1019" s="12" t="n">
        <x:v>2021</x:v>
      </x:c>
      <x:c r="I1019" s="12" t="str">
        <x:v>GIS users</x:v>
      </x:c>
      <x:c r="J1019" s="12" t="str">
        <x:v>Medium</x:v>
      </x:c>
      <x:c r="K1019" s="16" t="n">
        <x:v>0.75</x:v>
      </x:c>
      <x:c r="L1019" s="12" t="str">
        <x:v>LSA similarity cluster; human review pending</x:v>
      </x:c>
      <x:c r="M1019" s="12" t="str">
        <x:v>Section: 12.6 Issues and Concerns</x:v>
      </x:c>
      <x:c r="N1019" s="12" t="str"/>
      <x:c r="O1019" s="12" t="str">
        <x:v>No</x:v>
      </x:c>
      <x:c r="P1019" s="12" t="str">
        <x:v>No</x:v>
      </x:c>
      <x:c r="Q1019" s="12"/>
      <x:c r="R1019" s="12"/>
    </x:row>
    <x:row r="1020">
      <x:c r="A1020" s="12" t="str">
        <x:v>EVD-01019</x:v>
      </x:c>
      <x:c r="B1020" s="12" t="str">
        <x:v>NEED-0165</x:v>
      </x:c>
      <x:c r="C1020" s="12" t="str">
        <x:v>SRC-0001</x:v>
      </x:c>
      <x:c r="D1020" s="12" t="str">
        <x:v>Plan a follow up conversation on EJ-related data and services during August or September 2021.</x:v>
      </x:c>
      <x:c r="E1020" s="12" t="str">
        <x:v>Plan a follow up conversation on EJ-related data and services during August or September 2021.</x:v>
      </x:c>
      <x:c r="F1020" s="12" t="str">
        <x:v>Suggestion</x:v>
      </x:c>
      <x:c r="G1020" s="12" t="str">
        <x:v>SEDAC User Working Group</x:v>
      </x:c>
      <x:c r="H1020" s="12" t="n">
        <x:v>2021</x:v>
      </x:c>
      <x:c r="I1020" s="12" t="str">
        <x:v>Earthdata users</x:v>
      </x:c>
      <x:c r="J1020" s="12" t="str">
        <x:v>Medium</x:v>
      </x:c>
      <x:c r="K1020" s="16" t="n">
        <x:v>0.75</x:v>
      </x:c>
      <x:c r="L1020" s="12" t="str">
        <x:v>LSA similarity cluster; human review pending</x:v>
      </x:c>
      <x:c r="M1020" s="12" t="str">
        <x:v>Section: 12.7 Suggestions</x:v>
      </x:c>
      <x:c r="N1020" s="12" t="str"/>
      <x:c r="O1020" s="12" t="str">
        <x:v>No</x:v>
      </x:c>
      <x:c r="P1020" s="12" t="str">
        <x:v>No</x:v>
      </x:c>
      <x:c r="Q1020" s="12"/>
      <x:c r="R1020" s="12"/>
    </x:row>
    <x:row r="1021">
      <x:c r="A1021" s="12" t="str">
        <x:v>EVD-01020</x:v>
      </x:c>
      <x:c r="B1021" s="12" t="str">
        <x:v>NEED-0096</x:v>
      </x:c>
      <x:c r="C1021" s="12" t="str">
        <x:v>SRC-0001</x:v>
      </x:c>
      <x:c r="D1021" s="12" t="str">
        <x:v>Plan a follow up virtual meeting (or session of a longer meeting) on SEDAC’s GIS strategy.</x:v>
      </x:c>
      <x:c r="E1021" s="12" t="str">
        <x:v>Plan a follow up virtual meeting (or session of a longer meeting) on SEDAC’s GIS strategy.</x:v>
      </x:c>
      <x:c r="F1021" s="12" t="str">
        <x:v>Suggestion</x:v>
      </x:c>
      <x:c r="G1021" s="12" t="str">
        <x:v>SEDAC User Working Group</x:v>
      </x:c>
      <x:c r="H1021" s="12" t="n">
        <x:v>2021</x:v>
      </x:c>
      <x:c r="I1021" s="12" t="str">
        <x:v>GIS users</x:v>
      </x:c>
      <x:c r="J1021" s="12" t="str">
        <x:v>Medium</x:v>
      </x:c>
      <x:c r="K1021" s="16" t="n">
        <x:v>0.75</x:v>
      </x:c>
      <x:c r="L1021" s="12" t="str">
        <x:v>LSA similarity cluster; human review pending</x:v>
      </x:c>
      <x:c r="M1021" s="12" t="str">
        <x:v>Section: 12.7 Suggestions</x:v>
      </x:c>
      <x:c r="N1021" s="12" t="str"/>
      <x:c r="O1021" s="12" t="str">
        <x:v>No</x:v>
      </x:c>
      <x:c r="P1021" s="12" t="str">
        <x:v>No</x:v>
      </x:c>
      <x:c r="Q1021" s="12"/>
      <x:c r="R1021" s="12"/>
    </x:row>
    <x:row r="1022">
      <x:c r="A1022" s="12" t="str">
        <x:v>EVD-01021</x:v>
      </x:c>
      <x:c r="B1022" s="12" t="str">
        <x:v>NEED-0125</x:v>
      </x:c>
      <x:c r="C1022" s="12" t="str">
        <x:v>SRC-0001</x:v>
      </x:c>
      <x:c r="D1022" s="12" t="str">
        <x:v>Increase the visibility of SEDAC data for EJ by having a section on the SEDAC web site on success stories describing end users who are using the data.</x:v>
      </x:c>
      <x:c r="E1022" s="12" t="str">
        <x:v>Increase the visibility of SEDAC data for EJ by having a section on the SEDAC web site on success stories describing end users who are using the data.</x:v>
      </x:c>
      <x:c r="F1022" s="12" t="str">
        <x:v>Suggestion</x:v>
      </x:c>
      <x:c r="G1022" s="12" t="str">
        <x:v>SEDAC User Working Group</x:v>
      </x:c>
      <x:c r="H1022" s="12" t="n">
        <x:v>2021</x:v>
      </x:c>
      <x:c r="I1022" s="12" t="str">
        <x:v>Earthdata users</x:v>
      </x:c>
      <x:c r="J1022" s="12" t="str">
        <x:v>Medium</x:v>
      </x:c>
      <x:c r="K1022" s="16" t="n">
        <x:v>0.75</x:v>
      </x:c>
      <x:c r="L1022" s="12" t="str">
        <x:v>LSA similarity cluster; human review pending</x:v>
      </x:c>
      <x:c r="M1022" s="12" t="str">
        <x:v>Section: 12.7 Suggestions</x:v>
      </x:c>
      <x:c r="N1022" s="12" t="str"/>
      <x:c r="O1022" s="12" t="str">
        <x:v>No</x:v>
      </x:c>
      <x:c r="P1022" s="12" t="str">
        <x:v>No</x:v>
      </x:c>
      <x:c r="Q1022" s="12"/>
      <x:c r="R1022" s="12"/>
    </x:row>
    <x:row r="1023">
      <x:c r="A1023" s="12" t="str">
        <x:v>EVD-01022</x:v>
      </x:c>
      <x:c r="B1023" s="12" t="str">
        <x:v>NEED-0127</x:v>
      </x:c>
      <x:c r="C1023" s="12" t="str">
        <x:v>SRC-0001</x:v>
      </x:c>
      <x:c r="D1023" s="12" t="str">
        <x:v>Package the code along with the data when possible.</x:v>
      </x:c>
      <x:c r="E1023" s="12" t="str">
        <x:v>Package the code along with the data when possible.</x:v>
      </x:c>
      <x:c r="F1023" s="12" t="str">
        <x:v>Suggestion</x:v>
      </x:c>
      <x:c r="G1023" s="12" t="str">
        <x:v>SEDAC User Working Group</x:v>
      </x:c>
      <x:c r="H1023" s="12" t="n">
        <x:v>2021</x:v>
      </x:c>
      <x:c r="I1023" s="12" t="str">
        <x:v>Application developers</x:v>
      </x:c>
      <x:c r="J1023" s="12" t="str">
        <x:v>Medium</x:v>
      </x:c>
      <x:c r="K1023" s="16" t="n">
        <x:v>0.75</x:v>
      </x:c>
      <x:c r="L1023" s="12" t="str">
        <x:v>LSA similarity cluster; human review pending</x:v>
      </x:c>
      <x:c r="M1023" s="12" t="str">
        <x:v>Section: 12.7 Suggestions</x:v>
      </x:c>
      <x:c r="N1023" s="12" t="str"/>
      <x:c r="O1023" s="12" t="str">
        <x:v>No</x:v>
      </x:c>
      <x:c r="P1023" s="12" t="str">
        <x:v>No</x:v>
      </x:c>
      <x:c r="Q1023" s="12"/>
      <x:c r="R1023" s="12"/>
    </x:row>
    <x:row r="1024">
      <x:c r="A1024" s="12" t="str">
        <x:v>EVD-01023</x:v>
      </x:c>
      <x:c r="B1024" s="12" t="str">
        <x:v>NEED-0211</x:v>
      </x:c>
      <x:c r="C1024" s="12" t="str">
        <x:v>SRC-0001</x:v>
      </x:c>
      <x:c r="D1024" s="12" t="str">
        <x:v>It would be good to be able to have a round of feedback on the agenda before the meeting, that would allow the group to set the agenda better. It would be good to add a preamble to the meetings specifying the pressing issues (“we need inputs on sections 12.2, 12.5, 12.6”) and the strategic, longer term issues.</x:v>
      </x:c>
      <x:c r="E1024" s="12" t="str">
        <x:v>It would be good to be able to have a round of feedback on the agenda before the meeting, that would allow the group to set the agenda better. It would be good to add a preamble to the meetings specifying the pressing issues (“we need inputs on sections 12.2, 12.5, 12.6”) and the strategic, longer term issues.</x:v>
      </x:c>
      <x:c r="F1024" s="12" t="str">
        <x:v>Suggestion</x:v>
      </x:c>
      <x:c r="G1024" s="12" t="str">
        <x:v>SEDAC User Working Group</x:v>
      </x:c>
      <x:c r="H1024" s="12" t="n">
        <x:v>2021</x:v>
      </x:c>
      <x:c r="I1024" s="12" t="str">
        <x:v>Earthdata users</x:v>
      </x:c>
      <x:c r="J1024" s="12" t="str">
        <x:v>High</x:v>
      </x:c>
      <x:c r="K1024" s="16" t="n">
        <x:v>0.75</x:v>
      </x:c>
      <x:c r="L1024" s="12" t="str">
        <x:v>LSA similarity cluster; human review pending</x:v>
      </x:c>
      <x:c r="M1024" s="12" t="str">
        <x:v>Section: 12.7 Suggestions</x:v>
      </x:c>
      <x:c r="N1024" s="12" t="str"/>
      <x:c r="O1024" s="12" t="str">
        <x:v>No</x:v>
      </x:c>
      <x:c r="P1024" s="12" t="str">
        <x:v>No</x:v>
      </x:c>
      <x:c r="Q1024" s="12"/>
      <x:c r="R1024" s="12"/>
    </x:row>
    <x:row r="1025">
      <x:c r="A1025" s="12" t="str">
        <x:v>EVD-01024</x:v>
      </x:c>
      <x:c r="B1025" s="12" t="str">
        <x:v>NEED-0185</x:v>
      </x:c>
      <x:c r="C1025" s="12" t="str">
        <x:v>SRC-0001</x:v>
      </x:c>
      <x:c r="D1025" s="12" t="str">
        <x:v>In relation to modalities of future meetings, having one face-to-face meeting per year is very important (with provisions for those who cannot attend in person to join remotely), with the remaining meetings being virtual. Suggest adding quarterly meetings on specific topics (e.g., EJ and GIS strategies) with breakout rooms and possibly interactive tools.</x:v>
      </x:c>
      <x:c r="E1025" s="12" t="str">
        <x:v>In relation to modalities of future meetings, having one face-to-face meeting per year is very important (with provisions for those who cannot attend in person to join remotely), with the remaining meetings being virtual. Suggest adding quarterly meetings on specific topics (e.g., EJ and GIS strategies) with breakout rooms and possibly interactive tools.</x:v>
      </x:c>
      <x:c r="F1025" s="12" t="str">
        <x:v>Suggestion</x:v>
      </x:c>
      <x:c r="G1025" s="12" t="str">
        <x:v>SEDAC User Working Group</x:v>
      </x:c>
      <x:c r="H1025" s="12" t="n">
        <x:v>2021</x:v>
      </x:c>
      <x:c r="I1025" s="12" t="str">
        <x:v>GIS users</x:v>
      </x:c>
      <x:c r="J1025" s="12" t="str">
        <x:v>High</x:v>
      </x:c>
      <x:c r="K1025" s="16" t="n">
        <x:v>0.55</x:v>
      </x:c>
      <x:c r="L1025" s="12" t="str">
        <x:v>LSA similarity cluster; human review pending</x:v>
      </x:c>
      <x:c r="M1025" s="12" t="str">
        <x:v>Section: 12.7 Suggestions</x:v>
      </x:c>
      <x:c r="N1025" s="12" t="str"/>
      <x:c r="O1025" s="12" t="str">
        <x:v>No</x:v>
      </x:c>
      <x:c r="P1025" s="12" t="str">
        <x:v>No</x:v>
      </x:c>
      <x:c r="Q1025" s="12"/>
      <x:c r="R1025" s="12"/>
    </x:row>
    <x:row r="1026">
      <x:c r="A1026" s="12" t="str">
        <x:v>EVD-01025</x:v>
      </x:c>
      <x:c r="B1026" s="12" t="str">
        <x:v>NEED-0119</x:v>
      </x:c>
      <x:c r="C1026" s="12" t="str">
        <x:v>SRC-0001</x:v>
      </x:c>
      <x:c r="D1026" s="12" t="str">
        <x:v>Slide decks are more useful than long memos.</x:v>
      </x:c>
      <x:c r="E1026" s="12" t="str">
        <x:v>Slide decks are more useful than long memos.</x:v>
      </x:c>
      <x:c r="F1026" s="12" t="str">
        <x:v>Suggestion</x:v>
      </x:c>
      <x:c r="G1026" s="12" t="str">
        <x:v>SEDAC User Working Group</x:v>
      </x:c>
      <x:c r="H1026" s="12" t="n">
        <x:v>2021</x:v>
      </x:c>
      <x:c r="I1026" s="12" t="str">
        <x:v>Earthdata users</x:v>
      </x:c>
      <x:c r="J1026" s="12" t="str">
        <x:v>Medium</x:v>
      </x:c>
      <x:c r="K1026" s="16" t="n">
        <x:v>0.75</x:v>
      </x:c>
      <x:c r="L1026" s="12" t="str">
        <x:v>LSA similarity cluster; human review pending</x:v>
      </x:c>
      <x:c r="M1026" s="12" t="str">
        <x:v>Section: 12.7 Suggestions</x:v>
      </x:c>
      <x:c r="N1026" s="12" t="str"/>
      <x:c r="O1026" s="12" t="str">
        <x:v>No</x:v>
      </x:c>
      <x:c r="P1026" s="12" t="str">
        <x:v>No</x:v>
      </x:c>
      <x:c r="Q1026" s="12"/>
      <x:c r="R1026" s="12"/>
    </x:row>
  </x:sheetData>
  <x:dataValidations count="2">
    <x:dataValidation type="list" sqref="J2:J1026">
      <x:formula1>Lists!$D$2:$D$4</x:formula1>
    </x:dataValidation>
    <x:dataValidation type="list" sqref="O2:O1026">
      <x:formula1>Lists!$C$2:$C$3</x:formula1>
    </x:dataValidation>
  </x:dataValidations>
  <x:pageMargins left="0.7" right="0.7" top="0.75" bottom="0.75" header="0.3" footer="0.3"/>
  <x:tableParts count="1">
    <x:tablePart xmlns:r="http://schemas.openxmlformats.org/officeDocument/2006/relationships" r:id="R2824fa1d1c3e4312"/>
  </x:tableParts>
</x:worksheet>
</file>

<file path=xl/worksheets/sheet4.xml><?xml version="1.0" encoding="utf-8"?>
<x:worksheet xmlns:x="http://schemas.openxmlformats.org/spreadsheetml/2006/main">
  <x:sheetFormatPr defaultRowHeight="15"/>
  <x:cols>
    <x:col min="1" max="1" width="14" hidden="0" customWidth="1"/>
    <x:col min="2" max="2" width="55" hidden="0" customWidth="1"/>
    <x:col min="3" max="3" width="20" hidden="0" customWidth="1"/>
    <x:col min="4" max="4" width="12" hidden="0" customWidth="1"/>
    <x:col min="5" max="5" width="24" hidden="0" customWidth="1"/>
    <x:col min="6" max="6" width="38" hidden="0" customWidth="1"/>
    <x:col min="7" max="7" width="16" hidden="0" customWidth="1"/>
    <x:col min="8" max="8" width="55" hidden="0" customWidth="1"/>
    <x:col min="9" max="9" width="22" hidden="0" customWidth="1"/>
    <x:col min="10" max="10" width="18" hidden="0" customWidth="1"/>
    <x:col min="11" max="11" width="38" hidden="0" customWidth="1"/>
  </x:cols>
  <x:sheetData>
    <x:row r="1">
      <x:c r="A1" s="6" t="str">
        <x:v>Source ID</x:v>
      </x:c>
      <x:c r="B1" s="6" t="str">
        <x:v>Source Title</x:v>
      </x:c>
      <x:c r="C1" s="6" t="str">
        <x:v>Source Type</x:v>
      </x:c>
      <x:c r="D1" s="6" t="str">
        <x:v>Source Year</x:v>
      </x:c>
      <x:c r="E1" s="6" t="str">
        <x:v>Organization</x:v>
      </x:c>
      <x:c r="F1" s="6" t="str">
        <x:v>Meeting / Event</x:v>
      </x:c>
      <x:c r="G1" s="6" t="str">
        <x:v>Publication Date</x:v>
      </x:c>
      <x:c r="H1" s="6" t="str">
        <x:v>File Name</x:v>
      </x:c>
      <x:c r="I1" s="6" t="str">
        <x:v>Collection Method</x:v>
      </x:c>
      <x:c r="J1" s="6" t="str">
        <x:v>Source Reliability</x:v>
      </x:c>
      <x:c r="K1" s="6" t="str">
        <x:v>Notes</x:v>
      </x:c>
    </x:row>
    <x:row r="2">
      <x:c r="A2" s="12" t="str">
        <x:v>SRC-0001</x:v>
      </x:c>
      <x:c r="B2" s="12" t="str">
        <x:v>2021 UWG Annual Report-Rev.02.18.22 - FINAL</x:v>
      </x:c>
      <x:c r="C2" s="12" t="str">
        <x:v>UWG Annual Report</x:v>
      </x:c>
      <x:c r="D2" s="12" t="n">
        <x:v>2021</x:v>
      </x:c>
      <x:c r="E2" s="12" t="str">
        <x:v>NASA ESDIS/EOSDIS</x:v>
      </x:c>
      <x:c r="F2" s="12" t="str">
        <x:v>2021 DAAC User Working Group meetings</x:v>
      </x:c>
      <x:c r="G2" s="12" t="str"/>
      <x:c r="H2" s="12" t="str">
        <x:v>2021 UWG Annual Report-Rev.02.18.22 - FINAL.docx</x:v>
      </x:c>
      <x:c r="I2" s="12" t="str">
        <x:v>Document extraction</x:v>
      </x:c>
      <x:c r="J2" s="12" t="str">
        <x:v>High</x:v>
      </x:c>
      <x:c r="K2" s="12" t="str">
        <x:v>Official annual UWG compilation report.</x:v>
      </x:c>
    </x:row>
    <x:row r="3">
      <x:c r="A3" s="12" t="str">
        <x:v>SRC-0002</x:v>
      </x:c>
      <x:c r="B3" s="12" t="str">
        <x:v>2022 UWG Annual Report-Rev.02.10.23 - FINAL</x:v>
      </x:c>
      <x:c r="C3" s="12" t="str">
        <x:v>UWG Annual Report</x:v>
      </x:c>
      <x:c r="D3" s="12" t="n">
        <x:v>2022</x:v>
      </x:c>
      <x:c r="E3" s="12" t="str">
        <x:v>NASA ESDIS/EOSDIS</x:v>
      </x:c>
      <x:c r="F3" s="12" t="str">
        <x:v>2022 DAAC User Working Group meetings</x:v>
      </x:c>
      <x:c r="G3" s="12" t="str"/>
      <x:c r="H3" s="12" t="str">
        <x:v>2022 UWG Annual Report-Rev.02.10.23 - FINAL.docx</x:v>
      </x:c>
      <x:c r="I3" s="12" t="str">
        <x:v>Document extraction</x:v>
      </x:c>
      <x:c r="J3" s="12" t="str">
        <x:v>High</x:v>
      </x:c>
      <x:c r="K3" s="12" t="str">
        <x:v>Official annual UWG compilation report.</x:v>
      </x:c>
    </x:row>
    <x:row r="4">
      <x:c r="A4" s="12" t="str">
        <x:v>SRC-0003</x:v>
      </x:c>
      <x:c r="B4" s="12" t="str">
        <x:v>2023 UWG Annual Report_Rev2.2.24_2_6_FINAL </x:v>
      </x:c>
      <x:c r="C4" s="12" t="str">
        <x:v>UWG Annual Report</x:v>
      </x:c>
      <x:c r="D4" s="12" t="n">
        <x:v>2023</x:v>
      </x:c>
      <x:c r="E4" s="12" t="str">
        <x:v>NASA ESDIS/EOSDIS</x:v>
      </x:c>
      <x:c r="F4" s="12" t="str">
        <x:v>2023 DAAC User Working Group meetings</x:v>
      </x:c>
      <x:c r="G4" s="12" t="str"/>
      <x:c r="H4" s="12" t="str">
        <x:v>2023 UWG Annual Report_Rev2.2.24_2_6_FINAL .docx</x:v>
      </x:c>
      <x:c r="I4" s="12" t="str">
        <x:v>Document extraction</x:v>
      </x:c>
      <x:c r="J4" s="12" t="str">
        <x:v>High</x:v>
      </x:c>
      <x:c r="K4" s="12" t="str">
        <x:v>Official annual UWG compilation report.</x:v>
      </x:c>
    </x:row>
    <x:row r="5">
      <x:c r="A5" s="12" t="str">
        <x:v>SRC-0004</x:v>
      </x:c>
      <x:c r="B5" s="12" t="str">
        <x:v>2024 ESDIS UWG Annual Report - FINAL_Rev.4.25.25</x:v>
      </x:c>
      <x:c r="C5" s="12" t="str">
        <x:v>UWG Annual Report</x:v>
      </x:c>
      <x:c r="D5" s="12" t="n">
        <x:v>2024</x:v>
      </x:c>
      <x:c r="E5" s="12" t="str">
        <x:v>NASA ESDIS/EOSDIS</x:v>
      </x:c>
      <x:c r="F5" s="12" t="str">
        <x:v>2024 DAAC User Working Group meetings</x:v>
      </x:c>
      <x:c r="G5" s="12" t="str"/>
      <x:c r="H5" s="12" t="str">
        <x:v>2024 ESDIS UWG Annual Report - FINAL_Rev.4.25.25.docx</x:v>
      </x:c>
      <x:c r="I5" s="12" t="str">
        <x:v>Document extraction</x:v>
      </x:c>
      <x:c r="J5" s="12" t="str">
        <x:v>High</x:v>
      </x:c>
      <x:c r="K5" s="12" t="str">
        <x:v>Official annual UWG compilation report.</x:v>
      </x:c>
    </x:row>
  </x:sheetData>
  <x:pageMargins left="0.7" right="0.7" top="0.75" bottom="0.75" header="0.3" footer="0.3"/>
  <x:tableParts count="1">
    <x:tablePart xmlns:r="http://schemas.openxmlformats.org/officeDocument/2006/relationships" r:id="Rf9e712f5c3b74c41"/>
  </x:tableParts>
</x:worksheet>
</file>

<file path=xl/worksheets/sheet5.xml><?xml version="1.0" encoding="utf-8"?>
<x:worksheet xmlns:x="http://schemas.openxmlformats.org/spreadsheetml/2006/main">
  <x:sheetFormatPr defaultRowHeight="15"/>
  <x:cols>
    <x:col min="1" max="1" width="14" hidden="0" customWidth="1"/>
    <x:col min="2" max="2" width="36" hidden="0" customWidth="1"/>
    <x:col min="3" max="3" width="24" hidden="0" customWidth="1"/>
    <x:col min="4" max="4" width="28" hidden="0" customWidth="1"/>
    <x:col min="5" max="5" width="55" hidden="0" customWidth="1"/>
    <x:col min="6" max="6" width="10" hidden="0" customWidth="1"/>
  </x:cols>
  <x:sheetData>
    <x:row r="1">
      <x:c r="A1" s="6" t="str">
        <x:v>Community ID</x:v>
      </x:c>
      <x:c r="B1" s="6" t="str">
        <x:v>Community Name</x:v>
      </x:c>
      <x:c r="C1" s="6" t="str">
        <x:v>Community Type</x:v>
      </x:c>
      <x:c r="D1" s="6" t="str">
        <x:v>Parent Community</x:v>
      </x:c>
      <x:c r="E1" s="6" t="str">
        <x:v>Description</x:v>
      </x:c>
      <x:c r="F1" s="6" t="str">
        <x:v>Active</x:v>
      </x:c>
    </x:row>
    <x:row r="2">
      <x:c r="A2" s="12" t="str">
        <x:v>COM-0001</x:v>
      </x:c>
      <x:c r="B2" s="12" t="str">
        <x:v>Application developers</x:v>
      </x:c>
      <x:c r="C2" s="12" t="str">
        <x:v>Technical role</x:v>
      </x:c>
      <x:c r="D2" s="12" t="str">
        <x:v>Earthdata users</x:v>
      </x:c>
      <x:c r="E2" s="12" t="str"/>
      <x:c r="F2" s="12" t="str">
        <x:v>Yes</x:v>
      </x:c>
    </x:row>
    <x:row r="3">
      <x:c r="A3" s="12" t="str">
        <x:v>COM-0002</x:v>
      </x:c>
      <x:c r="B3" s="12" t="str">
        <x:v>Cloud-native researchers</x:v>
      </x:c>
      <x:c r="C3" s="12" t="str">
        <x:v>Technical role</x:v>
      </x:c>
      <x:c r="D3" s="12" t="str">
        <x:v>Earthdata users</x:v>
      </x:c>
      <x:c r="E3" s="12" t="str"/>
      <x:c r="F3" s="12" t="str">
        <x:v>Yes</x:v>
      </x:c>
    </x:row>
    <x:row r="4">
      <x:c r="A4" s="12" t="str">
        <x:v>COM-0003</x:v>
      </x:c>
      <x:c r="B4" s="12" t="str">
        <x:v>Data producers and mission teams</x:v>
      </x:c>
      <x:c r="C4" s="12" t="str">
        <x:v>Science/application community</x:v>
      </x:c>
      <x:c r="D4" s="12" t="str">
        <x:v>Earthdata users</x:v>
      </x:c>
      <x:c r="E4" s="12" t="str"/>
      <x:c r="F4" s="12" t="str">
        <x:v>Yes</x:v>
      </x:c>
    </x:row>
    <x:row r="5">
      <x:c r="A5" s="12" t="str">
        <x:v>COM-0004</x:v>
      </x:c>
      <x:c r="B5" s="12" t="str">
        <x:v>Earth science researchers</x:v>
      </x:c>
      <x:c r="C5" s="12" t="str">
        <x:v>Science/application community</x:v>
      </x:c>
      <x:c r="D5" s="12" t="str">
        <x:v>Earthdata users</x:v>
      </x:c>
      <x:c r="E5" s="12" t="str"/>
      <x:c r="F5" s="12" t="str">
        <x:v>Yes</x:v>
      </x:c>
    </x:row>
    <x:row r="6">
      <x:c r="A6" s="12" t="str">
        <x:v>COM-0005</x:v>
      </x:c>
      <x:c r="B6" s="12" t="str">
        <x:v>Earthdata users</x:v>
      </x:c>
      <x:c r="C6" s="12" t="str">
        <x:v>User segment</x:v>
      </x:c>
      <x:c r="D6" s="12" t="str"/>
      <x:c r="E6" s="12" t="str"/>
      <x:c r="F6" s="12" t="str">
        <x:v>Yes</x:v>
      </x:c>
    </x:row>
    <x:row r="7">
      <x:c r="A7" s="12" t="str">
        <x:v>COM-0006</x:v>
      </x:c>
      <x:c r="B7" s="12" t="str">
        <x:v>Educators and trainers</x:v>
      </x:c>
      <x:c r="C7" s="12" t="str">
        <x:v>Science/application community</x:v>
      </x:c>
      <x:c r="D7" s="12" t="str">
        <x:v>Earthdata users</x:v>
      </x:c>
      <x:c r="E7" s="12" t="str"/>
      <x:c r="F7" s="12" t="str">
        <x:v>Yes</x:v>
      </x:c>
    </x:row>
    <x:row r="8">
      <x:c r="A8" s="12" t="str">
        <x:v>COM-0007</x:v>
      </x:c>
      <x:c r="B8" s="12" t="str">
        <x:v>GIS users</x:v>
      </x:c>
      <x:c r="C8" s="12" t="str">
        <x:v>Technical role</x:v>
      </x:c>
      <x:c r="D8" s="12" t="str">
        <x:v>Earthdata users</x:v>
      </x:c>
      <x:c r="E8" s="12" t="str"/>
      <x:c r="F8" s="12" t="str">
        <x:v>Yes</x:v>
      </x:c>
    </x:row>
    <x:row r="9">
      <x:c r="A9" s="12" t="str">
        <x:v>COM-0008</x:v>
      </x:c>
      <x:c r="B9" s="12" t="str">
        <x:v>Indigenous and underrepresented communities</x:v>
      </x:c>
      <x:c r="C9" s="12" t="str">
        <x:v>Science/application community</x:v>
      </x:c>
      <x:c r="D9" s="12" t="str">
        <x:v>Earthdata users</x:v>
      </x:c>
      <x:c r="E9" s="12" t="str"/>
      <x:c r="F9" s="12" t="str">
        <x:v>Yes</x:v>
      </x:c>
    </x:row>
    <x:row r="10">
      <x:c r="A10" s="12" t="str">
        <x:v>COM-0009</x:v>
      </x:c>
      <x:c r="B10" s="12" t="str">
        <x:v>International users</x:v>
      </x:c>
      <x:c r="C10" s="12" t="str">
        <x:v>Science/application community</x:v>
      </x:c>
      <x:c r="D10" s="12" t="str">
        <x:v>Earthdata users</x:v>
      </x:c>
      <x:c r="E10" s="12" t="str"/>
      <x:c r="F10" s="12" t="str">
        <x:v>Yes</x:v>
      </x:c>
    </x:row>
    <x:row r="11">
      <x:c r="A11" s="12" t="str">
        <x:v>COM-0010</x:v>
      </x:c>
      <x:c r="B11" s="12" t="str">
        <x:v>New and occasional users</x:v>
      </x:c>
      <x:c r="C11" s="12" t="str">
        <x:v>User segment</x:v>
      </x:c>
      <x:c r="D11" s="12" t="str">
        <x:v>Earthdata users</x:v>
      </x:c>
      <x:c r="E11" s="12" t="str"/>
      <x:c r="F11" s="12" t="str">
        <x:v>Yes</x:v>
      </x:c>
    </x:row>
    <x:row r="12">
      <x:c r="A12" s="12" t="str">
        <x:v>COM-0011</x:v>
      </x:c>
      <x:c r="B12" s="12" t="str">
        <x:v>Operational and near-real-time users</x:v>
      </x:c>
      <x:c r="C12" s="12" t="str">
        <x:v>Science/application community</x:v>
      </x:c>
      <x:c r="D12" s="12" t="str">
        <x:v>Earthdata users</x:v>
      </x:c>
      <x:c r="E12" s="12" t="str"/>
      <x:c r="F12" s="12" t="str">
        <x:v>Yes</x:v>
      </x:c>
    </x:row>
  </x:sheetData>
  <x:pageMargins left="0.7" right="0.7" top="0.75" bottom="0.75" header="0.3" footer="0.3"/>
  <x:tableParts count="1">
    <x:tablePart xmlns:r="http://schemas.openxmlformats.org/officeDocument/2006/relationships" r:id="Rfdeb122984e24091"/>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28" hidden="0" customWidth="1"/>
    <x:col min="4" max="4" width="16" hidden="0" customWidth="1"/>
  </x:cols>
  <x:sheetData>
    <x:row r="1">
      <x:c r="A1" s="6" t="str">
        <x:v>Need ID</x:v>
      </x:c>
      <x:c r="B1" s="6" t="str">
        <x:v>Community ID</x:v>
      </x:c>
      <x:c r="C1" s="6" t="str">
        <x:v>Relationship</x:v>
      </x:c>
      <x:c r="D1" s="6" t="str">
        <x:v>Evidence Count</x:v>
      </x:c>
    </x:row>
    <x:row r="2">
      <x:c r="A2" s="12" t="str">
        <x:v>NEED-0001</x:v>
      </x:c>
      <x:c r="B2" s="12" t="str">
        <x:v>COM-0002</x:v>
      </x:c>
      <x:c r="C2" s="12" t="str">
        <x:v>Expressed by / affects</x:v>
      </x:c>
      <x:c r="D2" s="12" t="n">
        <x:v>6</x:v>
      </x:c>
    </x:row>
    <x:row r="3">
      <x:c r="A3" s="12" t="str">
        <x:v>NEED-0001</x:v>
      </x:c>
      <x:c r="B3" s="12" t="str">
        <x:v>COM-0006</x:v>
      </x:c>
      <x:c r="C3" s="12" t="str">
        <x:v>Expressed by / affects</x:v>
      </x:c>
      <x:c r="D3" s="12" t="n">
        <x:v>2</x:v>
      </x:c>
    </x:row>
    <x:row r="4">
      <x:c r="A4" s="12" t="str">
        <x:v>NEED-0001</x:v>
      </x:c>
      <x:c r="B4" s="12" t="str">
        <x:v>COM-0011</x:v>
      </x:c>
      <x:c r="C4" s="12" t="str">
        <x:v>Expressed by / affects</x:v>
      </x:c>
      <x:c r="D4" s="12" t="n">
        <x:v>2</x:v>
      </x:c>
    </x:row>
    <x:row r="5">
      <x:c r="A5" s="12" t="str">
        <x:v>NEED-0002</x:v>
      </x:c>
      <x:c r="B5" s="12" t="str">
        <x:v>COM-0002</x:v>
      </x:c>
      <x:c r="C5" s="12" t="str">
        <x:v>Expressed by / affects</x:v>
      </x:c>
      <x:c r="D5" s="12" t="n">
        <x:v>7</x:v>
      </x:c>
    </x:row>
    <x:row r="6">
      <x:c r="A6" s="12" t="str">
        <x:v>NEED-0002</x:v>
      </x:c>
      <x:c r="B6" s="12" t="str">
        <x:v>COM-0003</x:v>
      </x:c>
      <x:c r="C6" s="12" t="str">
        <x:v>Expressed by / affects</x:v>
      </x:c>
      <x:c r="D6" s="12" t="n">
        <x:v>2</x:v>
      </x:c>
    </x:row>
    <x:row r="7">
      <x:c r="A7" s="12" t="str">
        <x:v>NEED-0003</x:v>
      </x:c>
      <x:c r="B7" s="12" t="str">
        <x:v>COM-0001</x:v>
      </x:c>
      <x:c r="C7" s="12" t="str">
        <x:v>Expressed by / affects</x:v>
      </x:c>
      <x:c r="D7" s="12" t="n">
        <x:v>1</x:v>
      </x:c>
    </x:row>
    <x:row r="8">
      <x:c r="A8" s="12" t="str">
        <x:v>NEED-0003</x:v>
      </x:c>
      <x:c r="B8" s="12" t="str">
        <x:v>COM-0002</x:v>
      </x:c>
      <x:c r="C8" s="12" t="str">
        <x:v>Expressed by / affects</x:v>
      </x:c>
      <x:c r="D8" s="12" t="n">
        <x:v>15</x:v>
      </x:c>
    </x:row>
    <x:row r="9">
      <x:c r="A9" s="12" t="str">
        <x:v>NEED-0003</x:v>
      </x:c>
      <x:c r="B9" s="12" t="str">
        <x:v>COM-0003</x:v>
      </x:c>
      <x:c r="C9" s="12" t="str">
        <x:v>Expressed by / affects</x:v>
      </x:c>
      <x:c r="D9" s="12" t="n">
        <x:v>1</x:v>
      </x:c>
    </x:row>
    <x:row r="10">
      <x:c r="A10" s="12" t="str">
        <x:v>NEED-0003</x:v>
      </x:c>
      <x:c r="B10" s="12" t="str">
        <x:v>COM-0004</x:v>
      </x:c>
      <x:c r="C10" s="12" t="str">
        <x:v>Expressed by / affects</x:v>
      </x:c>
      <x:c r="D10" s="12" t="n">
        <x:v>6</x:v>
      </x:c>
    </x:row>
    <x:row r="11">
      <x:c r="A11" s="12" t="str">
        <x:v>NEED-0003</x:v>
      </x:c>
      <x:c r="B11" s="12" t="str">
        <x:v>COM-0006</x:v>
      </x:c>
      <x:c r="C11" s="12" t="str">
        <x:v>Expressed by / affects</x:v>
      </x:c>
      <x:c r="D11" s="12" t="n">
        <x:v>3</x:v>
      </x:c>
    </x:row>
    <x:row r="12">
      <x:c r="A12" s="12" t="str">
        <x:v>NEED-0003</x:v>
      </x:c>
      <x:c r="B12" s="12" t="str">
        <x:v>COM-0007</x:v>
      </x:c>
      <x:c r="C12" s="12" t="str">
        <x:v>Expressed by / affects</x:v>
      </x:c>
      <x:c r="D12" s="12" t="n">
        <x:v>1</x:v>
      </x:c>
    </x:row>
    <x:row r="13">
      <x:c r="A13" s="12" t="str">
        <x:v>NEED-0004</x:v>
      </x:c>
      <x:c r="B13" s="12" t="str">
        <x:v>COM-0002</x:v>
      </x:c>
      <x:c r="C13" s="12" t="str">
        <x:v>Expressed by / affects</x:v>
      </x:c>
      <x:c r="D13" s="12" t="n">
        <x:v>3</x:v>
      </x:c>
    </x:row>
    <x:row r="14">
      <x:c r="A14" s="12" t="str">
        <x:v>NEED-0005</x:v>
      </x:c>
      <x:c r="B14" s="12" t="str">
        <x:v>COM-0001</x:v>
      </x:c>
      <x:c r="C14" s="12" t="str">
        <x:v>Expressed by / affects</x:v>
      </x:c>
      <x:c r="D14" s="12" t="n">
        <x:v>2</x:v>
      </x:c>
    </x:row>
    <x:row r="15">
      <x:c r="A15" s="12" t="str">
        <x:v>NEED-0005</x:v>
      </x:c>
      <x:c r="B15" s="12" t="str">
        <x:v>COM-0002</x:v>
      </x:c>
      <x:c r="C15" s="12" t="str">
        <x:v>Expressed by / affects</x:v>
      </x:c>
      <x:c r="D15" s="12" t="n">
        <x:v>11</x:v>
      </x:c>
    </x:row>
    <x:row r="16">
      <x:c r="A16" s="12" t="str">
        <x:v>NEED-0005</x:v>
      </x:c>
      <x:c r="B16" s="12" t="str">
        <x:v>COM-0004</x:v>
      </x:c>
      <x:c r="C16" s="12" t="str">
        <x:v>Expressed by / affects</x:v>
      </x:c>
      <x:c r="D16" s="12" t="n">
        <x:v>1</x:v>
      </x:c>
    </x:row>
    <x:row r="17">
      <x:c r="A17" s="12" t="str">
        <x:v>NEED-0005</x:v>
      </x:c>
      <x:c r="B17" s="12" t="str">
        <x:v>COM-0006</x:v>
      </x:c>
      <x:c r="C17" s="12" t="str">
        <x:v>Expressed by / affects</x:v>
      </x:c>
      <x:c r="D17" s="12" t="n">
        <x:v>1</x:v>
      </x:c>
    </x:row>
    <x:row r="18">
      <x:c r="A18" s="12" t="str">
        <x:v>NEED-0006</x:v>
      </x:c>
      <x:c r="B18" s="12" t="str">
        <x:v>COM-0001</x:v>
      </x:c>
      <x:c r="C18" s="12" t="str">
        <x:v>Expressed by / affects</x:v>
      </x:c>
      <x:c r="D18" s="12" t="n">
        <x:v>1</x:v>
      </x:c>
    </x:row>
    <x:row r="19">
      <x:c r="A19" s="12" t="str">
        <x:v>NEED-0006</x:v>
      </x:c>
      <x:c r="B19" s="12" t="str">
        <x:v>COM-0002</x:v>
      </x:c>
      <x:c r="C19" s="12" t="str">
        <x:v>Expressed by / affects</x:v>
      </x:c>
      <x:c r="D19" s="12" t="n">
        <x:v>4</x:v>
      </x:c>
    </x:row>
    <x:row r="20">
      <x:c r="A20" s="12" t="str">
        <x:v>NEED-0006</x:v>
      </x:c>
      <x:c r="B20" s="12" t="str">
        <x:v>COM-0004</x:v>
      </x:c>
      <x:c r="C20" s="12" t="str">
        <x:v>Expressed by / affects</x:v>
      </x:c>
      <x:c r="D20" s="12" t="n">
        <x:v>1</x:v>
      </x:c>
    </x:row>
    <x:row r="21">
      <x:c r="A21" s="12" t="str">
        <x:v>NEED-0007</x:v>
      </x:c>
      <x:c r="B21" s="12" t="str">
        <x:v>COM-0002</x:v>
      </x:c>
      <x:c r="C21" s="12" t="str">
        <x:v>Expressed by / affects</x:v>
      </x:c>
      <x:c r="D21" s="12" t="n">
        <x:v>12</x:v>
      </x:c>
    </x:row>
    <x:row r="22">
      <x:c r="A22" s="12" t="str">
        <x:v>NEED-0007</x:v>
      </x:c>
      <x:c r="B22" s="12" t="str">
        <x:v>COM-0003</x:v>
      </x:c>
      <x:c r="C22" s="12" t="str">
        <x:v>Expressed by / affects</x:v>
      </x:c>
      <x:c r="D22" s="12" t="n">
        <x:v>1</x:v>
      </x:c>
    </x:row>
    <x:row r="23">
      <x:c r="A23" s="12" t="str">
        <x:v>NEED-0007</x:v>
      </x:c>
      <x:c r="B23" s="12" t="str">
        <x:v>COM-0004</x:v>
      </x:c>
      <x:c r="C23" s="12" t="str">
        <x:v>Expressed by / affects</x:v>
      </x:c>
      <x:c r="D23" s="12" t="n">
        <x:v>4</x:v>
      </x:c>
    </x:row>
    <x:row r="24">
      <x:c r="A24" s="12" t="str">
        <x:v>NEED-0008</x:v>
      </x:c>
      <x:c r="B24" s="12" t="str">
        <x:v>COM-0001</x:v>
      </x:c>
      <x:c r="C24" s="12" t="str">
        <x:v>Expressed by / affects</x:v>
      </x:c>
      <x:c r="D24" s="12" t="n">
        <x:v>2</x:v>
      </x:c>
    </x:row>
    <x:row r="25">
      <x:c r="A25" s="12" t="str">
        <x:v>NEED-0008</x:v>
      </x:c>
      <x:c r="B25" s="12" t="str">
        <x:v>COM-0002</x:v>
      </x:c>
      <x:c r="C25" s="12" t="str">
        <x:v>Expressed by / affects</x:v>
      </x:c>
      <x:c r="D25" s="12" t="n">
        <x:v>4</x:v>
      </x:c>
    </x:row>
    <x:row r="26">
      <x:c r="A26" s="12" t="str">
        <x:v>NEED-0009</x:v>
      </x:c>
      <x:c r="B26" s="12" t="str">
        <x:v>COM-0001</x:v>
      </x:c>
      <x:c r="C26" s="12" t="str">
        <x:v>Expressed by / affects</x:v>
      </x:c>
      <x:c r="D26" s="12" t="n">
        <x:v>1</x:v>
      </x:c>
    </x:row>
    <x:row r="27">
      <x:c r="A27" s="12" t="str">
        <x:v>NEED-0009</x:v>
      </x:c>
      <x:c r="B27" s="12" t="str">
        <x:v>COM-0002</x:v>
      </x:c>
      <x:c r="C27" s="12" t="str">
        <x:v>Expressed by / affects</x:v>
      </x:c>
      <x:c r="D27" s="12" t="n">
        <x:v>9</x:v>
      </x:c>
    </x:row>
    <x:row r="28">
      <x:c r="A28" s="12" t="str">
        <x:v>NEED-0009</x:v>
      </x:c>
      <x:c r="B28" s="12" t="str">
        <x:v>COM-0003</x:v>
      </x:c>
      <x:c r="C28" s="12" t="str">
        <x:v>Expressed by / affects</x:v>
      </x:c>
      <x:c r="D28" s="12" t="n">
        <x:v>3</x:v>
      </x:c>
    </x:row>
    <x:row r="29">
      <x:c r="A29" s="12" t="str">
        <x:v>NEED-0009</x:v>
      </x:c>
      <x:c r="B29" s="12" t="str">
        <x:v>COM-0004</x:v>
      </x:c>
      <x:c r="C29" s="12" t="str">
        <x:v>Expressed by / affects</x:v>
      </x:c>
      <x:c r="D29" s="12" t="n">
        <x:v>3</x:v>
      </x:c>
    </x:row>
    <x:row r="30">
      <x:c r="A30" s="12" t="str">
        <x:v>NEED-0009</x:v>
      </x:c>
      <x:c r="B30" s="12" t="str">
        <x:v>COM-0006</x:v>
      </x:c>
      <x:c r="C30" s="12" t="str">
        <x:v>Expressed by / affects</x:v>
      </x:c>
      <x:c r="D30" s="12" t="n">
        <x:v>3</x:v>
      </x:c>
    </x:row>
    <x:row r="31">
      <x:c r="A31" s="12" t="str">
        <x:v>NEED-0009</x:v>
      </x:c>
      <x:c r="B31" s="12" t="str">
        <x:v>COM-0007</x:v>
      </x:c>
      <x:c r="C31" s="12" t="str">
        <x:v>Expressed by / affects</x:v>
      </x:c>
      <x:c r="D31" s="12" t="n">
        <x:v>2</x:v>
      </x:c>
    </x:row>
    <x:row r="32">
      <x:c r="A32" s="12" t="str">
        <x:v>NEED-0010</x:v>
      </x:c>
      <x:c r="B32" s="12" t="str">
        <x:v>COM-0002</x:v>
      </x:c>
      <x:c r="C32" s="12" t="str">
        <x:v>Expressed by / affects</x:v>
      </x:c>
      <x:c r="D32" s="12" t="n">
        <x:v>13</x:v>
      </x:c>
    </x:row>
    <x:row r="33">
      <x:c r="A33" s="12" t="str">
        <x:v>NEED-0010</x:v>
      </x:c>
      <x:c r="B33" s="12" t="str">
        <x:v>COM-0004</x:v>
      </x:c>
      <x:c r="C33" s="12" t="str">
        <x:v>Expressed by / affects</x:v>
      </x:c>
      <x:c r="D33" s="12" t="n">
        <x:v>1</x:v>
      </x:c>
    </x:row>
    <x:row r="34">
      <x:c r="A34" s="12" t="str">
        <x:v>NEED-0010</x:v>
      </x:c>
      <x:c r="B34" s="12" t="str">
        <x:v>COM-0006</x:v>
      </x:c>
      <x:c r="C34" s="12" t="str">
        <x:v>Expressed by / affects</x:v>
      </x:c>
      <x:c r="D34" s="12" t="n">
        <x:v>1</x:v>
      </x:c>
    </x:row>
    <x:row r="35">
      <x:c r="A35" s="12" t="str">
        <x:v>NEED-0010</x:v>
      </x:c>
      <x:c r="B35" s="12" t="str">
        <x:v>COM-0010</x:v>
      </x:c>
      <x:c r="C35" s="12" t="str">
        <x:v>Expressed by / affects</x:v>
      </x:c>
      <x:c r="D35" s="12" t="n">
        <x:v>2</x:v>
      </x:c>
    </x:row>
    <x:row r="36">
      <x:c r="A36" s="12" t="str">
        <x:v>NEED-0011</x:v>
      </x:c>
      <x:c r="B36" s="12" t="str">
        <x:v>COM-0001</x:v>
      </x:c>
      <x:c r="C36" s="12" t="str">
        <x:v>Expressed by / affects</x:v>
      </x:c>
      <x:c r="D36" s="12" t="n">
        <x:v>1</x:v>
      </x:c>
    </x:row>
    <x:row r="37">
      <x:c r="A37" s="12" t="str">
        <x:v>NEED-0011</x:v>
      </x:c>
      <x:c r="B37" s="12" t="str">
        <x:v>COM-0002</x:v>
      </x:c>
      <x:c r="C37" s="12" t="str">
        <x:v>Expressed by / affects</x:v>
      </x:c>
      <x:c r="D37" s="12" t="n">
        <x:v>7</x:v>
      </x:c>
    </x:row>
    <x:row r="38">
      <x:c r="A38" s="12" t="str">
        <x:v>NEED-0011</x:v>
      </x:c>
      <x:c r="B38" s="12" t="str">
        <x:v>COM-0004</x:v>
      </x:c>
      <x:c r="C38" s="12" t="str">
        <x:v>Expressed by / affects</x:v>
      </x:c>
      <x:c r="D38" s="12" t="n">
        <x:v>2</x:v>
      </x:c>
    </x:row>
    <x:row r="39">
      <x:c r="A39" s="12" t="str">
        <x:v>NEED-0011</x:v>
      </x:c>
      <x:c r="B39" s="12" t="str">
        <x:v>COM-0010</x:v>
      </x:c>
      <x:c r="C39" s="12" t="str">
        <x:v>Expressed by / affects</x:v>
      </x:c>
      <x:c r="D39" s="12" t="n">
        <x:v>1</x:v>
      </x:c>
    </x:row>
    <x:row r="40">
      <x:c r="A40" s="12" t="str">
        <x:v>NEED-0012</x:v>
      </x:c>
      <x:c r="B40" s="12" t="str">
        <x:v>COM-0002</x:v>
      </x:c>
      <x:c r="C40" s="12" t="str">
        <x:v>Expressed by / affects</x:v>
      </x:c>
      <x:c r="D40" s="12" t="n">
        <x:v>5</x:v>
      </x:c>
    </x:row>
    <x:row r="41">
      <x:c r="A41" s="12" t="str">
        <x:v>NEED-0012</x:v>
      </x:c>
      <x:c r="B41" s="12" t="str">
        <x:v>COM-0003</x:v>
      </x:c>
      <x:c r="C41" s="12" t="str">
        <x:v>Expressed by / affects</x:v>
      </x:c>
      <x:c r="D41" s="12" t="n">
        <x:v>2</x:v>
      </x:c>
    </x:row>
    <x:row r="42">
      <x:c r="A42" s="12" t="str">
        <x:v>NEED-0012</x:v>
      </x:c>
      <x:c r="B42" s="12" t="str">
        <x:v>COM-0004</x:v>
      </x:c>
      <x:c r="C42" s="12" t="str">
        <x:v>Expressed by / affects</x:v>
      </x:c>
      <x:c r="D42" s="12" t="n">
        <x:v>2</x:v>
      </x:c>
    </x:row>
    <x:row r="43">
      <x:c r="A43" s="12" t="str">
        <x:v>NEED-0013</x:v>
      </x:c>
      <x:c r="B43" s="12" t="str">
        <x:v>COM-0002</x:v>
      </x:c>
      <x:c r="C43" s="12" t="str">
        <x:v>Expressed by / affects</x:v>
      </x:c>
      <x:c r="D43" s="12" t="n">
        <x:v>5</x:v>
      </x:c>
    </x:row>
    <x:row r="44">
      <x:c r="A44" s="12" t="str">
        <x:v>NEED-0014</x:v>
      </x:c>
      <x:c r="B44" s="12" t="str">
        <x:v>COM-0002</x:v>
      </x:c>
      <x:c r="C44" s="12" t="str">
        <x:v>Expressed by / affects</x:v>
      </x:c>
      <x:c r="D44" s="12" t="n">
        <x:v>4</x:v>
      </x:c>
    </x:row>
    <x:row r="45">
      <x:c r="A45" s="12" t="str">
        <x:v>NEED-0014</x:v>
      </x:c>
      <x:c r="B45" s="12" t="str">
        <x:v>COM-0003</x:v>
      </x:c>
      <x:c r="C45" s="12" t="str">
        <x:v>Expressed by / affects</x:v>
      </x:c>
      <x:c r="D45" s="12" t="n">
        <x:v>1</x:v>
      </x:c>
    </x:row>
    <x:row r="46">
      <x:c r="A46" s="12" t="str">
        <x:v>NEED-0014</x:v>
      </x:c>
      <x:c r="B46" s="12" t="str">
        <x:v>COM-0004</x:v>
      </x:c>
      <x:c r="C46" s="12" t="str">
        <x:v>Expressed by / affects</x:v>
      </x:c>
      <x:c r="D46" s="12" t="n">
        <x:v>2</x:v>
      </x:c>
    </x:row>
    <x:row r="47">
      <x:c r="A47" s="12" t="str">
        <x:v>NEED-0015</x:v>
      </x:c>
      <x:c r="B47" s="12" t="str">
        <x:v>COM-0002</x:v>
      </x:c>
      <x:c r="C47" s="12" t="str">
        <x:v>Expressed by / affects</x:v>
      </x:c>
      <x:c r="D47" s="12" t="n">
        <x:v>4</x:v>
      </x:c>
    </x:row>
    <x:row r="48">
      <x:c r="A48" s="12" t="str">
        <x:v>NEED-0016</x:v>
      </x:c>
      <x:c r="B48" s="12" t="str">
        <x:v>COM-0002</x:v>
      </x:c>
      <x:c r="C48" s="12" t="str">
        <x:v>Expressed by / affects</x:v>
      </x:c>
      <x:c r="D48" s="12" t="n">
        <x:v>1</x:v>
      </x:c>
    </x:row>
    <x:row r="49">
      <x:c r="A49" s="12" t="str">
        <x:v>NEED-0017</x:v>
      </x:c>
      <x:c r="B49" s="12" t="str">
        <x:v>COM-0001</x:v>
      </x:c>
      <x:c r="C49" s="12" t="str">
        <x:v>Expressed by / affects</x:v>
      </x:c>
      <x:c r="D49" s="12" t="n">
        <x:v>1</x:v>
      </x:c>
    </x:row>
    <x:row r="50">
      <x:c r="A50" s="12" t="str">
        <x:v>NEED-0017</x:v>
      </x:c>
      <x:c r="B50" s="12" t="str">
        <x:v>COM-0002</x:v>
      </x:c>
      <x:c r="C50" s="12" t="str">
        <x:v>Expressed by / affects</x:v>
      </x:c>
      <x:c r="D50" s="12" t="n">
        <x:v>10</x:v>
      </x:c>
    </x:row>
    <x:row r="51">
      <x:c r="A51" s="12" t="str">
        <x:v>NEED-0017</x:v>
      </x:c>
      <x:c r="B51" s="12" t="str">
        <x:v>COM-0004</x:v>
      </x:c>
      <x:c r="C51" s="12" t="str">
        <x:v>Expressed by / affects</x:v>
      </x:c>
      <x:c r="D51" s="12" t="n">
        <x:v>2</x:v>
      </x:c>
    </x:row>
    <x:row r="52">
      <x:c r="A52" s="12" t="str">
        <x:v>NEED-0017</x:v>
      </x:c>
      <x:c r="B52" s="12" t="str">
        <x:v>COM-0006</x:v>
      </x:c>
      <x:c r="C52" s="12" t="str">
        <x:v>Expressed by / affects</x:v>
      </x:c>
      <x:c r="D52" s="12" t="n">
        <x:v>2</x:v>
      </x:c>
    </x:row>
    <x:row r="53">
      <x:c r="A53" s="12" t="str">
        <x:v>NEED-0018</x:v>
      </x:c>
      <x:c r="B53" s="12" t="str">
        <x:v>COM-0002</x:v>
      </x:c>
      <x:c r="C53" s="12" t="str">
        <x:v>Expressed by / affects</x:v>
      </x:c>
      <x:c r="D53" s="12" t="n">
        <x:v>3</x:v>
      </x:c>
    </x:row>
    <x:row r="54">
      <x:c r="A54" s="12" t="str">
        <x:v>NEED-0019</x:v>
      </x:c>
      <x:c r="B54" s="12" t="str">
        <x:v>COM-0002</x:v>
      </x:c>
      <x:c r="C54" s="12" t="str">
        <x:v>Expressed by / affects</x:v>
      </x:c>
      <x:c r="D54" s="12" t="n">
        <x:v>10</x:v>
      </x:c>
    </x:row>
    <x:row r="55">
      <x:c r="A55" s="12" t="str">
        <x:v>NEED-0019</x:v>
      </x:c>
      <x:c r="B55" s="12" t="str">
        <x:v>COM-0003</x:v>
      </x:c>
      <x:c r="C55" s="12" t="str">
        <x:v>Expressed by / affects</x:v>
      </x:c>
      <x:c r="D55" s="12" t="n">
        <x:v>2</x:v>
      </x:c>
    </x:row>
    <x:row r="56">
      <x:c r="A56" s="12" t="str">
        <x:v>NEED-0020</x:v>
      </x:c>
      <x:c r="B56" s="12" t="str">
        <x:v>COM-0001</x:v>
      </x:c>
      <x:c r="C56" s="12" t="str">
        <x:v>Expressed by / affects</x:v>
      </x:c>
      <x:c r="D56" s="12" t="n">
        <x:v>2</x:v>
      </x:c>
    </x:row>
    <x:row r="57">
      <x:c r="A57" s="12" t="str">
        <x:v>NEED-0020</x:v>
      </x:c>
      <x:c r="B57" s="12" t="str">
        <x:v>COM-0003</x:v>
      </x:c>
      <x:c r="C57" s="12" t="str">
        <x:v>Expressed by / affects</x:v>
      </x:c>
      <x:c r="D57" s="12" t="n">
        <x:v>1</x:v>
      </x:c>
    </x:row>
    <x:row r="58">
      <x:c r="A58" s="12" t="str">
        <x:v>NEED-0020</x:v>
      </x:c>
      <x:c r="B58" s="12" t="str">
        <x:v>COM-0004</x:v>
      </x:c>
      <x:c r="C58" s="12" t="str">
        <x:v>Expressed by / affects</x:v>
      </x:c>
      <x:c r="D58" s="12" t="n">
        <x:v>1</x:v>
      </x:c>
    </x:row>
    <x:row r="59">
      <x:c r="A59" s="12" t="str">
        <x:v>NEED-0020</x:v>
      </x:c>
      <x:c r="B59" s="12" t="str">
        <x:v>COM-0005</x:v>
      </x:c>
      <x:c r="C59" s="12" t="str">
        <x:v>Expressed by / affects</x:v>
      </x:c>
      <x:c r="D59" s="12" t="n">
        <x:v>2</x:v>
      </x:c>
    </x:row>
    <x:row r="60">
      <x:c r="A60" s="12" t="str">
        <x:v>NEED-0021</x:v>
      </x:c>
      <x:c r="B60" s="12" t="str">
        <x:v>COM-0001</x:v>
      </x:c>
      <x:c r="C60" s="12" t="str">
        <x:v>Expressed by / affects</x:v>
      </x:c>
      <x:c r="D60" s="12" t="n">
        <x:v>3</x:v>
      </x:c>
    </x:row>
    <x:row r="61">
      <x:c r="A61" s="12" t="str">
        <x:v>NEED-0021</x:v>
      </x:c>
      <x:c r="B61" s="12" t="str">
        <x:v>COM-0005</x:v>
      </x:c>
      <x:c r="C61" s="12" t="str">
        <x:v>Expressed by / affects</x:v>
      </x:c>
      <x:c r="D61" s="12" t="n">
        <x:v>2</x:v>
      </x:c>
    </x:row>
    <x:row r="62">
      <x:c r="A62" s="12" t="str">
        <x:v>NEED-0022</x:v>
      </x:c>
      <x:c r="B62" s="12" t="str">
        <x:v>COM-0004</x:v>
      </x:c>
      <x:c r="C62" s="12" t="str">
        <x:v>Expressed by / affects</x:v>
      </x:c>
      <x:c r="D62" s="12" t="n">
        <x:v>2</x:v>
      </x:c>
    </x:row>
    <x:row r="63">
      <x:c r="A63" s="12" t="str">
        <x:v>NEED-0022</x:v>
      </x:c>
      <x:c r="B63" s="12" t="str">
        <x:v>COM-0005</x:v>
      </x:c>
      <x:c r="C63" s="12" t="str">
        <x:v>Expressed by / affects</x:v>
      </x:c>
      <x:c r="D63" s="12" t="n">
        <x:v>3</x:v>
      </x:c>
    </x:row>
    <x:row r="64">
      <x:c r="A64" s="12" t="str">
        <x:v>NEED-0022</x:v>
      </x:c>
      <x:c r="B64" s="12" t="str">
        <x:v>COM-0009</x:v>
      </x:c>
      <x:c r="C64" s="12" t="str">
        <x:v>Expressed by / affects</x:v>
      </x:c>
      <x:c r="D64" s="12" t="n">
        <x:v>2</x:v>
      </x:c>
    </x:row>
    <x:row r="65">
      <x:c r="A65" s="12" t="str">
        <x:v>NEED-0023</x:v>
      </x:c>
      <x:c r="B65" s="12" t="str">
        <x:v>COM-0005</x:v>
      </x:c>
      <x:c r="C65" s="12" t="str">
        <x:v>Expressed by / affects</x:v>
      </x:c>
      <x:c r="D65" s="12" t="n">
        <x:v>5</x:v>
      </x:c>
    </x:row>
    <x:row r="66">
      <x:c r="A66" s="12" t="str">
        <x:v>NEED-0024</x:v>
      </x:c>
      <x:c r="B66" s="12" t="str">
        <x:v>COM-0001</x:v>
      </x:c>
      <x:c r="C66" s="12" t="str">
        <x:v>Expressed by / affects</x:v>
      </x:c>
      <x:c r="D66" s="12" t="n">
        <x:v>1</x:v>
      </x:c>
    </x:row>
    <x:row r="67">
      <x:c r="A67" s="12" t="str">
        <x:v>NEED-0024</x:v>
      </x:c>
      <x:c r="B67" s="12" t="str">
        <x:v>COM-0004</x:v>
      </x:c>
      <x:c r="C67" s="12" t="str">
        <x:v>Expressed by / affects</x:v>
      </x:c>
      <x:c r="D67" s="12" t="n">
        <x:v>1</x:v>
      </x:c>
    </x:row>
    <x:row r="68">
      <x:c r="A68" s="12" t="str">
        <x:v>NEED-0024</x:v>
      </x:c>
      <x:c r="B68" s="12" t="str">
        <x:v>COM-0009</x:v>
      </x:c>
      <x:c r="C68" s="12" t="str">
        <x:v>Expressed by / affects</x:v>
      </x:c>
      <x:c r="D68" s="12" t="n">
        <x:v>1</x:v>
      </x:c>
    </x:row>
    <x:row r="69">
      <x:c r="A69" s="12" t="str">
        <x:v>NEED-0025</x:v>
      </x:c>
      <x:c r="B69" s="12" t="str">
        <x:v>COM-0001</x:v>
      </x:c>
      <x:c r="C69" s="12" t="str">
        <x:v>Expressed by / affects</x:v>
      </x:c>
      <x:c r="D69" s="12" t="n">
        <x:v>1</x:v>
      </x:c>
    </x:row>
    <x:row r="70">
      <x:c r="A70" s="12" t="str">
        <x:v>NEED-0025</x:v>
      </x:c>
      <x:c r="B70" s="12" t="str">
        <x:v>COM-0005</x:v>
      </x:c>
      <x:c r="C70" s="12" t="str">
        <x:v>Expressed by / affects</x:v>
      </x:c>
      <x:c r="D70" s="12" t="n">
        <x:v>3</x:v>
      </x:c>
    </x:row>
    <x:row r="71">
      <x:c r="A71" s="12" t="str">
        <x:v>NEED-0026</x:v>
      </x:c>
      <x:c r="B71" s="12" t="str">
        <x:v>COM-0003</x:v>
      </x:c>
      <x:c r="C71" s="12" t="str">
        <x:v>Expressed by / affects</x:v>
      </x:c>
      <x:c r="D71" s="12" t="n">
        <x:v>3</x:v>
      </x:c>
    </x:row>
    <x:row r="72">
      <x:c r="A72" s="12" t="str">
        <x:v>NEED-0026</x:v>
      </x:c>
      <x:c r="B72" s="12" t="str">
        <x:v>COM-0005</x:v>
      </x:c>
      <x:c r="C72" s="12" t="str">
        <x:v>Expressed by / affects</x:v>
      </x:c>
      <x:c r="D72" s="12" t="n">
        <x:v>4</x:v>
      </x:c>
    </x:row>
    <x:row r="73">
      <x:c r="A73" s="12" t="str">
        <x:v>NEED-0027</x:v>
      </x:c>
      <x:c r="B73" s="12" t="str">
        <x:v>COM-0001</x:v>
      </x:c>
      <x:c r="C73" s="12" t="str">
        <x:v>Expressed by / affects</x:v>
      </x:c>
      <x:c r="D73" s="12" t="n">
        <x:v>1</x:v>
      </x:c>
    </x:row>
    <x:row r="74">
      <x:c r="A74" s="12" t="str">
        <x:v>NEED-0027</x:v>
      </x:c>
      <x:c r="B74" s="12" t="str">
        <x:v>COM-0005</x:v>
      </x:c>
      <x:c r="C74" s="12" t="str">
        <x:v>Expressed by / affects</x:v>
      </x:c>
      <x:c r="D74" s="12" t="n">
        <x:v>6</x:v>
      </x:c>
    </x:row>
    <x:row r="75">
      <x:c r="A75" s="12" t="str">
        <x:v>NEED-0028</x:v>
      </x:c>
      <x:c r="B75" s="12" t="str">
        <x:v>COM-0005</x:v>
      </x:c>
      <x:c r="C75" s="12" t="str">
        <x:v>Expressed by / affects</x:v>
      </x:c>
      <x:c r="D75" s="12" t="n">
        <x:v>1</x:v>
      </x:c>
    </x:row>
    <x:row r="76">
      <x:c r="A76" s="12" t="str">
        <x:v>NEED-0028</x:v>
      </x:c>
      <x:c r="B76" s="12" t="str">
        <x:v>COM-0010</x:v>
      </x:c>
      <x:c r="C76" s="12" t="str">
        <x:v>Expressed by / affects</x:v>
      </x:c>
      <x:c r="D76" s="12" t="n">
        <x:v>1</x:v>
      </x:c>
    </x:row>
    <x:row r="77">
      <x:c r="A77" s="12" t="str">
        <x:v>NEED-0028</x:v>
      </x:c>
      <x:c r="B77" s="12" t="str">
        <x:v>COM-0011</x:v>
      </x:c>
      <x:c r="C77" s="12" t="str">
        <x:v>Expressed by / affects</x:v>
      </x:c>
      <x:c r="D77" s="12" t="n">
        <x:v>1</x:v>
      </x:c>
    </x:row>
    <x:row r="78">
      <x:c r="A78" s="12" t="str">
        <x:v>NEED-0029</x:v>
      </x:c>
      <x:c r="B78" s="12" t="str">
        <x:v>COM-0003</x:v>
      </x:c>
      <x:c r="C78" s="12" t="str">
        <x:v>Expressed by / affects</x:v>
      </x:c>
      <x:c r="D78" s="12" t="n">
        <x:v>1</x:v>
      </x:c>
    </x:row>
    <x:row r="79">
      <x:c r="A79" s="12" t="str">
        <x:v>NEED-0029</x:v>
      </x:c>
      <x:c r="B79" s="12" t="str">
        <x:v>COM-0004</x:v>
      </x:c>
      <x:c r="C79" s="12" t="str">
        <x:v>Expressed by / affects</x:v>
      </x:c>
      <x:c r="D79" s="12" t="n">
        <x:v>1</x:v>
      </x:c>
    </x:row>
    <x:row r="80">
      <x:c r="A80" s="12" t="str">
        <x:v>NEED-0029</x:v>
      </x:c>
      <x:c r="B80" s="12" t="str">
        <x:v>COM-0005</x:v>
      </x:c>
      <x:c r="C80" s="12" t="str">
        <x:v>Expressed by / affects</x:v>
      </x:c>
      <x:c r="D80" s="12" t="n">
        <x:v>2</x:v>
      </x:c>
    </x:row>
    <x:row r="81">
      <x:c r="A81" s="12" t="str">
        <x:v>NEED-0029</x:v>
      </x:c>
      <x:c r="B81" s="12" t="str">
        <x:v>COM-0011</x:v>
      </x:c>
      <x:c r="C81" s="12" t="str">
        <x:v>Expressed by / affects</x:v>
      </x:c>
      <x:c r="D81" s="12" t="n">
        <x:v>1</x:v>
      </x:c>
    </x:row>
    <x:row r="82">
      <x:c r="A82" s="12" t="str">
        <x:v>NEED-0030</x:v>
      </x:c>
      <x:c r="B82" s="12" t="str">
        <x:v>COM-0005</x:v>
      </x:c>
      <x:c r="C82" s="12" t="str">
        <x:v>Expressed by / affects</x:v>
      </x:c>
      <x:c r="D82" s="12" t="n">
        <x:v>5</x:v>
      </x:c>
    </x:row>
    <x:row r="83">
      <x:c r="A83" s="12" t="str">
        <x:v>NEED-0031</x:v>
      </x:c>
      <x:c r="B83" s="12" t="str">
        <x:v>COM-0005</x:v>
      </x:c>
      <x:c r="C83" s="12" t="str">
        <x:v>Expressed by / affects</x:v>
      </x:c>
      <x:c r="D83" s="12" t="n">
        <x:v>2</x:v>
      </x:c>
    </x:row>
    <x:row r="84">
      <x:c r="A84" s="12" t="str">
        <x:v>NEED-0032</x:v>
      </x:c>
      <x:c r="B84" s="12" t="str">
        <x:v>COM-0001</x:v>
      </x:c>
      <x:c r="C84" s="12" t="str">
        <x:v>Expressed by / affects</x:v>
      </x:c>
      <x:c r="D84" s="12" t="n">
        <x:v>3</x:v>
      </x:c>
    </x:row>
    <x:row r="85">
      <x:c r="A85" s="12" t="str">
        <x:v>NEED-0032</x:v>
      </x:c>
      <x:c r="B85" s="12" t="str">
        <x:v>COM-0006</x:v>
      </x:c>
      <x:c r="C85" s="12" t="str">
        <x:v>Expressed by / affects</x:v>
      </x:c>
      <x:c r="D85" s="12" t="n">
        <x:v>1</x:v>
      </x:c>
    </x:row>
    <x:row r="86">
      <x:c r="A86" s="12" t="str">
        <x:v>NEED-0033</x:v>
      </x:c>
      <x:c r="B86" s="12" t="str">
        <x:v>COM-0003</x:v>
      </x:c>
      <x:c r="C86" s="12" t="str">
        <x:v>Expressed by / affects</x:v>
      </x:c>
      <x:c r="D86" s="12" t="n">
        <x:v>2</x:v>
      </x:c>
    </x:row>
    <x:row r="87">
      <x:c r="A87" s="12" t="str">
        <x:v>NEED-0033</x:v>
      </x:c>
      <x:c r="B87" s="12" t="str">
        <x:v>COM-0006</x:v>
      </x:c>
      <x:c r="C87" s="12" t="str">
        <x:v>Expressed by / affects</x:v>
      </x:c>
      <x:c r="D87" s="12" t="n">
        <x:v>1</x:v>
      </x:c>
    </x:row>
    <x:row r="88">
      <x:c r="A88" s="12" t="str">
        <x:v>NEED-0034</x:v>
      </x:c>
      <x:c r="B88" s="12" t="str">
        <x:v>COM-0005</x:v>
      </x:c>
      <x:c r="C88" s="12" t="str">
        <x:v>Expressed by / affects</x:v>
      </x:c>
      <x:c r="D88" s="12" t="n">
        <x:v>2</x:v>
      </x:c>
    </x:row>
    <x:row r="89">
      <x:c r="A89" s="12" t="str">
        <x:v>NEED-0035</x:v>
      </x:c>
      <x:c r="B89" s="12" t="str">
        <x:v>COM-0003</x:v>
      </x:c>
      <x:c r="C89" s="12" t="str">
        <x:v>Expressed by / affects</x:v>
      </x:c>
      <x:c r="D89" s="12" t="n">
        <x:v>1</x:v>
      </x:c>
    </x:row>
    <x:row r="90">
      <x:c r="A90" s="12" t="str">
        <x:v>NEED-0035</x:v>
      </x:c>
      <x:c r="B90" s="12" t="str">
        <x:v>COM-0005</x:v>
      </x:c>
      <x:c r="C90" s="12" t="str">
        <x:v>Expressed by / affects</x:v>
      </x:c>
      <x:c r="D90" s="12" t="n">
        <x:v>1</x:v>
      </x:c>
    </x:row>
    <x:row r="91">
      <x:c r="A91" s="12" t="str">
        <x:v>NEED-0036</x:v>
      </x:c>
      <x:c r="B91" s="12" t="str">
        <x:v>COM-0005</x:v>
      </x:c>
      <x:c r="C91" s="12" t="str">
        <x:v>Expressed by / affects</x:v>
      </x:c>
      <x:c r="D91" s="12" t="n">
        <x:v>2</x:v>
      </x:c>
    </x:row>
    <x:row r="92">
      <x:c r="A92" s="12" t="str">
        <x:v>NEED-0037</x:v>
      </x:c>
      <x:c r="B92" s="12" t="str">
        <x:v>COM-0004</x:v>
      </x:c>
      <x:c r="C92" s="12" t="str">
        <x:v>Expressed by / affects</x:v>
      </x:c>
      <x:c r="D92" s="12" t="n">
        <x:v>1</x:v>
      </x:c>
    </x:row>
    <x:row r="93">
      <x:c r="A93" s="12" t="str">
        <x:v>NEED-0037</x:v>
      </x:c>
      <x:c r="B93" s="12" t="str">
        <x:v>COM-0006</x:v>
      </x:c>
      <x:c r="C93" s="12" t="str">
        <x:v>Expressed by / affects</x:v>
      </x:c>
      <x:c r="D93" s="12" t="n">
        <x:v>2</x:v>
      </x:c>
    </x:row>
    <x:row r="94">
      <x:c r="A94" s="12" t="str">
        <x:v>NEED-0037</x:v>
      </x:c>
      <x:c r="B94" s="12" t="str">
        <x:v>COM-0007</x:v>
      </x:c>
      <x:c r="C94" s="12" t="str">
        <x:v>Expressed by / affects</x:v>
      </x:c>
      <x:c r="D94" s="12" t="n">
        <x:v>1</x:v>
      </x:c>
    </x:row>
    <x:row r="95">
      <x:c r="A95" s="12" t="str">
        <x:v>NEED-0038</x:v>
      </x:c>
      <x:c r="B95" s="12" t="str">
        <x:v>COM-0003</x:v>
      </x:c>
      <x:c r="C95" s="12" t="str">
        <x:v>Expressed by / affects</x:v>
      </x:c>
      <x:c r="D95" s="12" t="n">
        <x:v>1</x:v>
      </x:c>
    </x:row>
    <x:row r="96">
      <x:c r="A96" s="12" t="str">
        <x:v>NEED-0038</x:v>
      </x:c>
      <x:c r="B96" s="12" t="str">
        <x:v>COM-0005</x:v>
      </x:c>
      <x:c r="C96" s="12" t="str">
        <x:v>Expressed by / affects</x:v>
      </x:c>
      <x:c r="D96" s="12" t="n">
        <x:v>1</x:v>
      </x:c>
    </x:row>
    <x:row r="97">
      <x:c r="A97" s="12" t="str">
        <x:v>NEED-0039</x:v>
      </x:c>
      <x:c r="B97" s="12" t="str">
        <x:v>COM-0005</x:v>
      </x:c>
      <x:c r="C97" s="12" t="str">
        <x:v>Expressed by / affects</x:v>
      </x:c>
      <x:c r="D97" s="12" t="n">
        <x:v>2</x:v>
      </x:c>
    </x:row>
    <x:row r="98">
      <x:c r="A98" s="12" t="str">
        <x:v>NEED-0040</x:v>
      </x:c>
      <x:c r="B98" s="12" t="str">
        <x:v>COM-0004</x:v>
      </x:c>
      <x:c r="C98" s="12" t="str">
        <x:v>Expressed by / affects</x:v>
      </x:c>
      <x:c r="D98" s="12" t="n">
        <x:v>1</x:v>
      </x:c>
    </x:row>
    <x:row r="99">
      <x:c r="A99" s="12" t="str">
        <x:v>NEED-0040</x:v>
      </x:c>
      <x:c r="B99" s="12" t="str">
        <x:v>COM-0005</x:v>
      </x:c>
      <x:c r="C99" s="12" t="str">
        <x:v>Expressed by / affects</x:v>
      </x:c>
      <x:c r="D99" s="12" t="n">
        <x:v>1</x:v>
      </x:c>
    </x:row>
    <x:row r="100">
      <x:c r="A100" s="12" t="str">
        <x:v>NEED-0041</x:v>
      </x:c>
      <x:c r="B100" s="12" t="str">
        <x:v>COM-0001</x:v>
      </x:c>
      <x:c r="C100" s="12" t="str">
        <x:v>Expressed by / affects</x:v>
      </x:c>
      <x:c r="D100" s="12" t="n">
        <x:v>1</x:v>
      </x:c>
    </x:row>
    <x:row r="101">
      <x:c r="A101" s="12" t="str">
        <x:v>NEED-0041</x:v>
      </x:c>
      <x:c r="B101" s="12" t="str">
        <x:v>COM-0004</x:v>
      </x:c>
      <x:c r="C101" s="12" t="str">
        <x:v>Expressed by / affects</x:v>
      </x:c>
      <x:c r="D101" s="12" t="n">
        <x:v>1</x:v>
      </x:c>
    </x:row>
    <x:row r="102">
      <x:c r="A102" s="12" t="str">
        <x:v>NEED-0041</x:v>
      </x:c>
      <x:c r="B102" s="12" t="str">
        <x:v>COM-0005</x:v>
      </x:c>
      <x:c r="C102" s="12" t="str">
        <x:v>Expressed by / affects</x:v>
      </x:c>
      <x:c r="D102" s="12" t="n">
        <x:v>1</x:v>
      </x:c>
    </x:row>
    <x:row r="103">
      <x:c r="A103" s="12" t="str">
        <x:v>NEED-0042</x:v>
      </x:c>
      <x:c r="B103" s="12" t="str">
        <x:v>COM-0001</x:v>
      </x:c>
      <x:c r="C103" s="12" t="str">
        <x:v>Expressed by / affects</x:v>
      </x:c>
      <x:c r="D103" s="12" t="n">
        <x:v>2</x:v>
      </x:c>
    </x:row>
    <x:row r="104">
      <x:c r="A104" s="12" t="str">
        <x:v>NEED-0042</x:v>
      </x:c>
      <x:c r="B104" s="12" t="str">
        <x:v>COM-0005</x:v>
      </x:c>
      <x:c r="C104" s="12" t="str">
        <x:v>Expressed by / affects</x:v>
      </x:c>
      <x:c r="D104" s="12" t="n">
        <x:v>1</x:v>
      </x:c>
    </x:row>
    <x:row r="105">
      <x:c r="A105" s="12" t="str">
        <x:v>NEED-0042</x:v>
      </x:c>
      <x:c r="B105" s="12" t="str">
        <x:v>COM-0006</x:v>
      </x:c>
      <x:c r="C105" s="12" t="str">
        <x:v>Expressed by / affects</x:v>
      </x:c>
      <x:c r="D105" s="12" t="n">
        <x:v>1</x:v>
      </x:c>
    </x:row>
    <x:row r="106">
      <x:c r="A106" s="12" t="str">
        <x:v>NEED-0043</x:v>
      </x:c>
      <x:c r="B106" s="12" t="str">
        <x:v>COM-0005</x:v>
      </x:c>
      <x:c r="C106" s="12" t="str">
        <x:v>Expressed by / affects</x:v>
      </x:c>
      <x:c r="D106" s="12" t="n">
        <x:v>1</x:v>
      </x:c>
    </x:row>
    <x:row r="107">
      <x:c r="A107" s="12" t="str">
        <x:v>NEED-0044</x:v>
      </x:c>
      <x:c r="B107" s="12" t="str">
        <x:v>COM-0005</x:v>
      </x:c>
      <x:c r="C107" s="12" t="str">
        <x:v>Expressed by / affects</x:v>
      </x:c>
      <x:c r="D107" s="12" t="n">
        <x:v>1</x:v>
      </x:c>
    </x:row>
    <x:row r="108">
      <x:c r="A108" s="12" t="str">
        <x:v>NEED-0045</x:v>
      </x:c>
      <x:c r="B108" s="12" t="str">
        <x:v>COM-0005</x:v>
      </x:c>
      <x:c r="C108" s="12" t="str">
        <x:v>Expressed by / affects</x:v>
      </x:c>
      <x:c r="D108" s="12" t="n">
        <x:v>2</x:v>
      </x:c>
    </x:row>
    <x:row r="109">
      <x:c r="A109" s="12" t="str">
        <x:v>NEED-0046</x:v>
      </x:c>
      <x:c r="B109" s="12" t="str">
        <x:v>COM-0005</x:v>
      </x:c>
      <x:c r="C109" s="12" t="str">
        <x:v>Expressed by / affects</x:v>
      </x:c>
      <x:c r="D109" s="12" t="n">
        <x:v>1</x:v>
      </x:c>
    </x:row>
    <x:row r="110">
      <x:c r="A110" s="12" t="str">
        <x:v>NEED-0047</x:v>
      </x:c>
      <x:c r="B110" s="12" t="str">
        <x:v>COM-0003</x:v>
      </x:c>
      <x:c r="C110" s="12" t="str">
        <x:v>Expressed by / affects</x:v>
      </x:c>
      <x:c r="D110" s="12" t="n">
        <x:v>1</x:v>
      </x:c>
    </x:row>
    <x:row r="111">
      <x:c r="A111" s="12" t="str">
        <x:v>NEED-0047</x:v>
      </x:c>
      <x:c r="B111" s="12" t="str">
        <x:v>COM-0004</x:v>
      </x:c>
      <x:c r="C111" s="12" t="str">
        <x:v>Expressed by / affects</x:v>
      </x:c>
      <x:c r="D111" s="12" t="n">
        <x:v>6</x:v>
      </x:c>
    </x:row>
    <x:row r="112">
      <x:c r="A112" s="12" t="str">
        <x:v>NEED-0047</x:v>
      </x:c>
      <x:c r="B112" s="12" t="str">
        <x:v>COM-0006</x:v>
      </x:c>
      <x:c r="C112" s="12" t="str">
        <x:v>Expressed by / affects</x:v>
      </x:c>
      <x:c r="D112" s="12" t="n">
        <x:v>1</x:v>
      </x:c>
    </x:row>
    <x:row r="113">
      <x:c r="A113" s="12" t="str">
        <x:v>NEED-0047</x:v>
      </x:c>
      <x:c r="B113" s="12" t="str">
        <x:v>COM-0007</x:v>
      </x:c>
      <x:c r="C113" s="12" t="str">
        <x:v>Expressed by / affects</x:v>
      </x:c>
      <x:c r="D113" s="12" t="n">
        <x:v>1</x:v>
      </x:c>
    </x:row>
    <x:row r="114">
      <x:c r="A114" s="12" t="str">
        <x:v>NEED-0048</x:v>
      </x:c>
      <x:c r="B114" s="12" t="str">
        <x:v>COM-0001</x:v>
      </x:c>
      <x:c r="C114" s="12" t="str">
        <x:v>Expressed by / affects</x:v>
      </x:c>
      <x:c r="D114" s="12" t="n">
        <x:v>1</x:v>
      </x:c>
    </x:row>
    <x:row r="115">
      <x:c r="A115" s="12" t="str">
        <x:v>NEED-0048</x:v>
      </x:c>
      <x:c r="B115" s="12" t="str">
        <x:v>COM-0005</x:v>
      </x:c>
      <x:c r="C115" s="12" t="str">
        <x:v>Expressed by / affects</x:v>
      </x:c>
      <x:c r="D115" s="12" t="n">
        <x:v>2</x:v>
      </x:c>
    </x:row>
    <x:row r="116">
      <x:c r="A116" s="12" t="str">
        <x:v>NEED-0048</x:v>
      </x:c>
      <x:c r="B116" s="12" t="str">
        <x:v>COM-0006</x:v>
      </x:c>
      <x:c r="C116" s="12" t="str">
        <x:v>Expressed by / affects</x:v>
      </x:c>
      <x:c r="D116" s="12" t="n">
        <x:v>1</x:v>
      </x:c>
    </x:row>
    <x:row r="117">
      <x:c r="A117" s="12" t="str">
        <x:v>NEED-0048</x:v>
      </x:c>
      <x:c r="B117" s="12" t="str">
        <x:v>COM-0007</x:v>
      </x:c>
      <x:c r="C117" s="12" t="str">
        <x:v>Expressed by / affects</x:v>
      </x:c>
      <x:c r="D117" s="12" t="n">
        <x:v>1</x:v>
      </x:c>
    </x:row>
    <x:row r="118">
      <x:c r="A118" s="12" t="str">
        <x:v>NEED-0049</x:v>
      </x:c>
      <x:c r="B118" s="12" t="str">
        <x:v>COM-0001</x:v>
      </x:c>
      <x:c r="C118" s="12" t="str">
        <x:v>Expressed by / affects</x:v>
      </x:c>
      <x:c r="D118" s="12" t="n">
        <x:v>1</x:v>
      </x:c>
    </x:row>
    <x:row r="119">
      <x:c r="A119" s="12" t="str">
        <x:v>NEED-0049</x:v>
      </x:c>
      <x:c r="B119" s="12" t="str">
        <x:v>COM-0003</x:v>
      </x:c>
      <x:c r="C119" s="12" t="str">
        <x:v>Expressed by / affects</x:v>
      </x:c>
      <x:c r="D119" s="12" t="n">
        <x:v>3</x:v>
      </x:c>
    </x:row>
    <x:row r="120">
      <x:c r="A120" s="12" t="str">
        <x:v>NEED-0049</x:v>
      </x:c>
      <x:c r="B120" s="12" t="str">
        <x:v>COM-0005</x:v>
      </x:c>
      <x:c r="C120" s="12" t="str">
        <x:v>Expressed by / affects</x:v>
      </x:c>
      <x:c r="D120" s="12" t="n">
        <x:v>7</x:v>
      </x:c>
    </x:row>
    <x:row r="121">
      <x:c r="A121" s="12" t="str">
        <x:v>NEED-0049</x:v>
      </x:c>
      <x:c r="B121" s="12" t="str">
        <x:v>COM-0006</x:v>
      </x:c>
      <x:c r="C121" s="12" t="str">
        <x:v>Expressed by / affects</x:v>
      </x:c>
      <x:c r="D121" s="12" t="n">
        <x:v>2</x:v>
      </x:c>
    </x:row>
    <x:row r="122">
      <x:c r="A122" s="12" t="str">
        <x:v>NEED-0050</x:v>
      </x:c>
      <x:c r="B122" s="12" t="str">
        <x:v>COM-0001</x:v>
      </x:c>
      <x:c r="C122" s="12" t="str">
        <x:v>Expressed by / affects</x:v>
      </x:c>
      <x:c r="D122" s="12" t="n">
        <x:v>1</x:v>
      </x:c>
    </x:row>
    <x:row r="123">
      <x:c r="A123" s="12" t="str">
        <x:v>NEED-0050</x:v>
      </x:c>
      <x:c r="B123" s="12" t="str">
        <x:v>COM-0003</x:v>
      </x:c>
      <x:c r="C123" s="12" t="str">
        <x:v>Expressed by / affects</x:v>
      </x:c>
      <x:c r="D123" s="12" t="n">
        <x:v>2</x:v>
      </x:c>
    </x:row>
    <x:row r="124">
      <x:c r="A124" s="12" t="str">
        <x:v>NEED-0050</x:v>
      </x:c>
      <x:c r="B124" s="12" t="str">
        <x:v>COM-0004</x:v>
      </x:c>
      <x:c r="C124" s="12" t="str">
        <x:v>Expressed by / affects</x:v>
      </x:c>
      <x:c r="D124" s="12" t="n">
        <x:v>4</x:v>
      </x:c>
    </x:row>
    <x:row r="125">
      <x:c r="A125" s="12" t="str">
        <x:v>NEED-0050</x:v>
      </x:c>
      <x:c r="B125" s="12" t="str">
        <x:v>COM-0005</x:v>
      </x:c>
      <x:c r="C125" s="12" t="str">
        <x:v>Expressed by / affects</x:v>
      </x:c>
      <x:c r="D125" s="12" t="n">
        <x:v>1</x:v>
      </x:c>
    </x:row>
    <x:row r="126">
      <x:c r="A126" s="12" t="str">
        <x:v>NEED-0050</x:v>
      </x:c>
      <x:c r="B126" s="12" t="str">
        <x:v>COM-0006</x:v>
      </x:c>
      <x:c r="C126" s="12" t="str">
        <x:v>Expressed by / affects</x:v>
      </x:c>
      <x:c r="D126" s="12" t="n">
        <x:v>2</x:v>
      </x:c>
    </x:row>
    <x:row r="127">
      <x:c r="A127" s="12" t="str">
        <x:v>NEED-0050</x:v>
      </x:c>
      <x:c r="B127" s="12" t="str">
        <x:v>COM-0008</x:v>
      </x:c>
      <x:c r="C127" s="12" t="str">
        <x:v>Expressed by / affects</x:v>
      </x:c>
      <x:c r="D127" s="12" t="n">
        <x:v>1</x:v>
      </x:c>
    </x:row>
    <x:row r="128">
      <x:c r="A128" s="12" t="str">
        <x:v>NEED-0050</x:v>
      </x:c>
      <x:c r="B128" s="12" t="str">
        <x:v>COM-0009</x:v>
      </x:c>
      <x:c r="C128" s="12" t="str">
        <x:v>Expressed by / affects</x:v>
      </x:c>
      <x:c r="D128" s="12" t="n">
        <x:v>1</x:v>
      </x:c>
    </x:row>
    <x:row r="129">
      <x:c r="A129" s="12" t="str">
        <x:v>NEED-0051</x:v>
      </x:c>
      <x:c r="B129" s="12" t="str">
        <x:v>COM-0003</x:v>
      </x:c>
      <x:c r="C129" s="12" t="str">
        <x:v>Expressed by / affects</x:v>
      </x:c>
      <x:c r="D129" s="12" t="n">
        <x:v>2</x:v>
      </x:c>
    </x:row>
    <x:row r="130">
      <x:c r="A130" s="12" t="str">
        <x:v>NEED-0051</x:v>
      </x:c>
      <x:c r="B130" s="12" t="str">
        <x:v>COM-0004</x:v>
      </x:c>
      <x:c r="C130" s="12" t="str">
        <x:v>Expressed by / affects</x:v>
      </x:c>
      <x:c r="D130" s="12" t="n">
        <x:v>1</x:v>
      </x:c>
    </x:row>
    <x:row r="131">
      <x:c r="A131" s="12" t="str">
        <x:v>NEED-0051</x:v>
      </x:c>
      <x:c r="B131" s="12" t="str">
        <x:v>COM-0005</x:v>
      </x:c>
      <x:c r="C131" s="12" t="str">
        <x:v>Expressed by / affects</x:v>
      </x:c>
      <x:c r="D131" s="12" t="n">
        <x:v>1</x:v>
      </x:c>
    </x:row>
    <x:row r="132">
      <x:c r="A132" s="12" t="str">
        <x:v>NEED-0051</x:v>
      </x:c>
      <x:c r="B132" s="12" t="str">
        <x:v>COM-0006</x:v>
      </x:c>
      <x:c r="C132" s="12" t="str">
        <x:v>Expressed by / affects</x:v>
      </x:c>
      <x:c r="D132" s="12" t="n">
        <x:v>1</x:v>
      </x:c>
    </x:row>
    <x:row r="133">
      <x:c r="A133" s="12" t="str">
        <x:v>NEED-0052</x:v>
      </x:c>
      <x:c r="B133" s="12" t="str">
        <x:v>COM-0004</x:v>
      </x:c>
      <x:c r="C133" s="12" t="str">
        <x:v>Expressed by / affects</x:v>
      </x:c>
      <x:c r="D133" s="12" t="n">
        <x:v>1</x:v>
      </x:c>
    </x:row>
    <x:row r="134">
      <x:c r="A134" s="12" t="str">
        <x:v>NEED-0052</x:v>
      </x:c>
      <x:c r="B134" s="12" t="str">
        <x:v>COM-0005</x:v>
      </x:c>
      <x:c r="C134" s="12" t="str">
        <x:v>Expressed by / affects</x:v>
      </x:c>
      <x:c r="D134" s="12" t="n">
        <x:v>6</x:v>
      </x:c>
    </x:row>
    <x:row r="135">
      <x:c r="A135" s="12" t="str">
        <x:v>NEED-0053</x:v>
      </x:c>
      <x:c r="B135" s="12" t="str">
        <x:v>COM-0001</x:v>
      </x:c>
      <x:c r="C135" s="12" t="str">
        <x:v>Expressed by / affects</x:v>
      </x:c>
      <x:c r="D135" s="12" t="n">
        <x:v>1</x:v>
      </x:c>
    </x:row>
    <x:row r="136">
      <x:c r="A136" s="12" t="str">
        <x:v>NEED-0053</x:v>
      </x:c>
      <x:c r="B136" s="12" t="str">
        <x:v>COM-0003</x:v>
      </x:c>
      <x:c r="C136" s="12" t="str">
        <x:v>Expressed by / affects</x:v>
      </x:c>
      <x:c r="D136" s="12" t="n">
        <x:v>1</x:v>
      </x:c>
    </x:row>
    <x:row r="137">
      <x:c r="A137" s="12" t="str">
        <x:v>NEED-0053</x:v>
      </x:c>
      <x:c r="B137" s="12" t="str">
        <x:v>COM-0006</x:v>
      </x:c>
      <x:c r="C137" s="12" t="str">
        <x:v>Expressed by / affects</x:v>
      </x:c>
      <x:c r="D137" s="12" t="n">
        <x:v>1</x:v>
      </x:c>
    </x:row>
    <x:row r="138">
      <x:c r="A138" s="12" t="str">
        <x:v>NEED-0054</x:v>
      </x:c>
      <x:c r="B138" s="12" t="str">
        <x:v>COM-0001</x:v>
      </x:c>
      <x:c r="C138" s="12" t="str">
        <x:v>Expressed by / affects</x:v>
      </x:c>
      <x:c r="D138" s="12" t="n">
        <x:v>1</x:v>
      </x:c>
    </x:row>
    <x:row r="139">
      <x:c r="A139" s="12" t="str">
        <x:v>NEED-0054</x:v>
      </x:c>
      <x:c r="B139" s="12" t="str">
        <x:v>COM-0005</x:v>
      </x:c>
      <x:c r="C139" s="12" t="str">
        <x:v>Expressed by / affects</x:v>
      </x:c>
      <x:c r="D139" s="12" t="n">
        <x:v>1</x:v>
      </x:c>
    </x:row>
    <x:row r="140">
      <x:c r="A140" s="12" t="str">
        <x:v>NEED-0055</x:v>
      </x:c>
      <x:c r="B140" s="12" t="str">
        <x:v>COM-0004</x:v>
      </x:c>
      <x:c r="C140" s="12" t="str">
        <x:v>Expressed by / affects</x:v>
      </x:c>
      <x:c r="D140" s="12" t="n">
        <x:v>1</x:v>
      </x:c>
    </x:row>
    <x:row r="141">
      <x:c r="A141" s="12" t="str">
        <x:v>NEED-0055</x:v>
      </x:c>
      <x:c r="B141" s="12" t="str">
        <x:v>COM-0005</x:v>
      </x:c>
      <x:c r="C141" s="12" t="str">
        <x:v>Expressed by / affects</x:v>
      </x:c>
      <x:c r="D141" s="12" t="n">
        <x:v>4</x:v>
      </x:c>
    </x:row>
    <x:row r="142">
      <x:c r="A142" s="12" t="str">
        <x:v>NEED-0056</x:v>
      </x:c>
      <x:c r="B142" s="12" t="str">
        <x:v>COM-0003</x:v>
      </x:c>
      <x:c r="C142" s="12" t="str">
        <x:v>Expressed by / affects</x:v>
      </x:c>
      <x:c r="D142" s="12" t="n">
        <x:v>1</x:v>
      </x:c>
    </x:row>
    <x:row r="143">
      <x:c r="A143" s="12" t="str">
        <x:v>NEED-0056</x:v>
      </x:c>
      <x:c r="B143" s="12" t="str">
        <x:v>COM-0004</x:v>
      </x:c>
      <x:c r="C143" s="12" t="str">
        <x:v>Expressed by / affects</x:v>
      </x:c>
      <x:c r="D143" s="12" t="n">
        <x:v>3</x:v>
      </x:c>
    </x:row>
    <x:row r="144">
      <x:c r="A144" s="12" t="str">
        <x:v>NEED-0056</x:v>
      </x:c>
      <x:c r="B144" s="12" t="str">
        <x:v>COM-0010</x:v>
      </x:c>
      <x:c r="C144" s="12" t="str">
        <x:v>Expressed by / affects</x:v>
      </x:c>
      <x:c r="D144" s="12" t="n">
        <x:v>1</x:v>
      </x:c>
    </x:row>
    <x:row r="145">
      <x:c r="A145" s="12" t="str">
        <x:v>NEED-0057</x:v>
      </x:c>
      <x:c r="B145" s="12" t="str">
        <x:v>COM-0001</x:v>
      </x:c>
      <x:c r="C145" s="12" t="str">
        <x:v>Expressed by / affects</x:v>
      </x:c>
      <x:c r="D145" s="12" t="n">
        <x:v>1</x:v>
      </x:c>
    </x:row>
    <x:row r="146">
      <x:c r="A146" s="12" t="str">
        <x:v>NEED-0057</x:v>
      </x:c>
      <x:c r="B146" s="12" t="str">
        <x:v>COM-0005</x:v>
      </x:c>
      <x:c r="C146" s="12" t="str">
        <x:v>Expressed by / affects</x:v>
      </x:c>
      <x:c r="D146" s="12" t="n">
        <x:v>2</x:v>
      </x:c>
    </x:row>
    <x:row r="147">
      <x:c r="A147" s="12" t="str">
        <x:v>NEED-0058</x:v>
      </x:c>
      <x:c r="B147" s="12" t="str">
        <x:v>COM-0005</x:v>
      </x:c>
      <x:c r="C147" s="12" t="str">
        <x:v>Expressed by / affects</x:v>
      </x:c>
      <x:c r="D147" s="12" t="n">
        <x:v>3</x:v>
      </x:c>
    </x:row>
    <x:row r="148">
      <x:c r="A148" s="12" t="str">
        <x:v>NEED-0059</x:v>
      </x:c>
      <x:c r="B148" s="12" t="str">
        <x:v>COM-0003</x:v>
      </x:c>
      <x:c r="C148" s="12" t="str">
        <x:v>Expressed by / affects</x:v>
      </x:c>
      <x:c r="D148" s="12" t="n">
        <x:v>1</x:v>
      </x:c>
    </x:row>
    <x:row r="149">
      <x:c r="A149" s="12" t="str">
        <x:v>NEED-0059</x:v>
      </x:c>
      <x:c r="B149" s="12" t="str">
        <x:v>COM-0004</x:v>
      </x:c>
      <x:c r="C149" s="12" t="str">
        <x:v>Expressed by / affects</x:v>
      </x:c>
      <x:c r="D149" s="12" t="n">
        <x:v>3</x:v>
      </x:c>
    </x:row>
    <x:row r="150">
      <x:c r="A150" s="12" t="str">
        <x:v>NEED-0059</x:v>
      </x:c>
      <x:c r="B150" s="12" t="str">
        <x:v>COM-0007</x:v>
      </x:c>
      <x:c r="C150" s="12" t="str">
        <x:v>Expressed by / affects</x:v>
      </x:c>
      <x:c r="D150" s="12" t="n">
        <x:v>2</x:v>
      </x:c>
    </x:row>
    <x:row r="151">
      <x:c r="A151" s="12" t="str">
        <x:v>NEED-0059</x:v>
      </x:c>
      <x:c r="B151" s="12" t="str">
        <x:v>COM-0008</x:v>
      </x:c>
      <x:c r="C151" s="12" t="str">
        <x:v>Expressed by / affects</x:v>
      </x:c>
      <x:c r="D151" s="12" t="n">
        <x:v>1</x:v>
      </x:c>
    </x:row>
    <x:row r="152">
      <x:c r="A152" s="12" t="str">
        <x:v>NEED-0060</x:v>
      </x:c>
      <x:c r="B152" s="12" t="str">
        <x:v>COM-0001</x:v>
      </x:c>
      <x:c r="C152" s="12" t="str">
        <x:v>Expressed by / affects</x:v>
      </x:c>
      <x:c r="D152" s="12" t="n">
        <x:v>1</x:v>
      </x:c>
    </x:row>
    <x:row r="153">
      <x:c r="A153" s="12" t="str">
        <x:v>NEED-0060</x:v>
      </x:c>
      <x:c r="B153" s="12" t="str">
        <x:v>COM-0003</x:v>
      </x:c>
      <x:c r="C153" s="12" t="str">
        <x:v>Expressed by / affects</x:v>
      </x:c>
      <x:c r="D153" s="12" t="n">
        <x:v>1</x:v>
      </x:c>
    </x:row>
    <x:row r="154">
      <x:c r="A154" s="12" t="str">
        <x:v>NEED-0060</x:v>
      </x:c>
      <x:c r="B154" s="12" t="str">
        <x:v>COM-0004</x:v>
      </x:c>
      <x:c r="C154" s="12" t="str">
        <x:v>Expressed by / affects</x:v>
      </x:c>
      <x:c r="D154" s="12" t="n">
        <x:v>3</x:v>
      </x:c>
    </x:row>
    <x:row r="155">
      <x:c r="A155" s="12" t="str">
        <x:v>NEED-0060</x:v>
      </x:c>
      <x:c r="B155" s="12" t="str">
        <x:v>COM-0005</x:v>
      </x:c>
      <x:c r="C155" s="12" t="str">
        <x:v>Expressed by / affects</x:v>
      </x:c>
      <x:c r="D155" s="12" t="n">
        <x:v>1</x:v>
      </x:c>
    </x:row>
    <x:row r="156">
      <x:c r="A156" s="12" t="str">
        <x:v>NEED-0061</x:v>
      </x:c>
      <x:c r="B156" s="12" t="str">
        <x:v>COM-0005</x:v>
      </x:c>
      <x:c r="C156" s="12" t="str">
        <x:v>Expressed by / affects</x:v>
      </x:c>
      <x:c r="D156" s="12" t="n">
        <x:v>2</x:v>
      </x:c>
    </x:row>
    <x:row r="157">
      <x:c r="A157" s="12" t="str">
        <x:v>NEED-0062</x:v>
      </x:c>
      <x:c r="B157" s="12" t="str">
        <x:v>COM-0005</x:v>
      </x:c>
      <x:c r="C157" s="12" t="str">
        <x:v>Expressed by / affects</x:v>
      </x:c>
      <x:c r="D157" s="12" t="n">
        <x:v>1</x:v>
      </x:c>
    </x:row>
    <x:row r="158">
      <x:c r="A158" s="12" t="str">
        <x:v>NEED-0063</x:v>
      </x:c>
      <x:c r="B158" s="12" t="str">
        <x:v>COM-0003</x:v>
      </x:c>
      <x:c r="C158" s="12" t="str">
        <x:v>Expressed by / affects</x:v>
      </x:c>
      <x:c r="D158" s="12" t="n">
        <x:v>2</x:v>
      </x:c>
    </x:row>
    <x:row r="159">
      <x:c r="A159" s="12" t="str">
        <x:v>NEED-0064</x:v>
      </x:c>
      <x:c r="B159" s="12" t="str">
        <x:v>COM-0005</x:v>
      </x:c>
      <x:c r="C159" s="12" t="str">
        <x:v>Expressed by / affects</x:v>
      </x:c>
      <x:c r="D159" s="12" t="n">
        <x:v>2</x:v>
      </x:c>
    </x:row>
    <x:row r="160">
      <x:c r="A160" s="12" t="str">
        <x:v>NEED-0065</x:v>
      </x:c>
      <x:c r="B160" s="12" t="str">
        <x:v>COM-0005</x:v>
      </x:c>
      <x:c r="C160" s="12" t="str">
        <x:v>Expressed by / affects</x:v>
      </x:c>
      <x:c r="D160" s="12" t="n">
        <x:v>2</x:v>
      </x:c>
    </x:row>
    <x:row r="161">
      <x:c r="A161" s="12" t="str">
        <x:v>NEED-0066</x:v>
      </x:c>
      <x:c r="B161" s="12" t="str">
        <x:v>COM-0003</x:v>
      </x:c>
      <x:c r="C161" s="12" t="str">
        <x:v>Expressed by / affects</x:v>
      </x:c>
      <x:c r="D161" s="12" t="n">
        <x:v>1</x:v>
      </x:c>
    </x:row>
    <x:row r="162">
      <x:c r="A162" s="12" t="str">
        <x:v>NEED-0066</x:v>
      </x:c>
      <x:c r="B162" s="12" t="str">
        <x:v>COM-0004</x:v>
      </x:c>
      <x:c r="C162" s="12" t="str">
        <x:v>Expressed by / affects</x:v>
      </x:c>
      <x:c r="D162" s="12" t="n">
        <x:v>1</x:v>
      </x:c>
    </x:row>
    <x:row r="163">
      <x:c r="A163" s="12" t="str">
        <x:v>NEED-0067</x:v>
      </x:c>
      <x:c r="B163" s="12" t="str">
        <x:v>COM-0004</x:v>
      </x:c>
      <x:c r="C163" s="12" t="str">
        <x:v>Expressed by / affects</x:v>
      </x:c>
      <x:c r="D163" s="12" t="n">
        <x:v>1</x:v>
      </x:c>
    </x:row>
    <x:row r="164">
      <x:c r="A164" s="12" t="str">
        <x:v>NEED-0068</x:v>
      </x:c>
      <x:c r="B164" s="12" t="str">
        <x:v>COM-0005</x:v>
      </x:c>
      <x:c r="C164" s="12" t="str">
        <x:v>Expressed by / affects</x:v>
      </x:c>
      <x:c r="D164" s="12" t="n">
        <x:v>3</x:v>
      </x:c>
    </x:row>
    <x:row r="165">
      <x:c r="A165" s="12" t="str">
        <x:v>NEED-0069</x:v>
      </x:c>
      <x:c r="B165" s="12" t="str">
        <x:v>COM-0004</x:v>
      </x:c>
      <x:c r="C165" s="12" t="str">
        <x:v>Expressed by / affects</x:v>
      </x:c>
      <x:c r="D165" s="12" t="n">
        <x:v>2</x:v>
      </x:c>
    </x:row>
    <x:row r="166">
      <x:c r="A166" s="12" t="str">
        <x:v>NEED-0070</x:v>
      </x:c>
      <x:c r="B166" s="12" t="str">
        <x:v>COM-0003</x:v>
      </x:c>
      <x:c r="C166" s="12" t="str">
        <x:v>Expressed by / affects</x:v>
      </x:c>
      <x:c r="D166" s="12" t="n">
        <x:v>1</x:v>
      </x:c>
    </x:row>
    <x:row r="167">
      <x:c r="A167" s="12" t="str">
        <x:v>NEED-0070</x:v>
      </x:c>
      <x:c r="B167" s="12" t="str">
        <x:v>COM-0005</x:v>
      </x:c>
      <x:c r="C167" s="12" t="str">
        <x:v>Expressed by / affects</x:v>
      </x:c>
      <x:c r="D167" s="12" t="n">
        <x:v>1</x:v>
      </x:c>
    </x:row>
    <x:row r="168">
      <x:c r="A168" s="12" t="str">
        <x:v>NEED-0071</x:v>
      </x:c>
      <x:c r="B168" s="12" t="str">
        <x:v>COM-0005</x:v>
      </x:c>
      <x:c r="C168" s="12" t="str">
        <x:v>Expressed by / affects</x:v>
      </x:c>
      <x:c r="D168" s="12" t="n">
        <x:v>6</x:v>
      </x:c>
    </x:row>
    <x:row r="169">
      <x:c r="A169" s="12" t="str">
        <x:v>NEED-0072</x:v>
      </x:c>
      <x:c r="B169" s="12" t="str">
        <x:v>COM-0003</x:v>
      </x:c>
      <x:c r="C169" s="12" t="str">
        <x:v>Expressed by / affects</x:v>
      </x:c>
      <x:c r="D169" s="12" t="n">
        <x:v>1</x:v>
      </x:c>
    </x:row>
    <x:row r="170">
      <x:c r="A170" s="12" t="str">
        <x:v>NEED-0072</x:v>
      </x:c>
      <x:c r="B170" s="12" t="str">
        <x:v>COM-0005</x:v>
      </x:c>
      <x:c r="C170" s="12" t="str">
        <x:v>Expressed by / affects</x:v>
      </x:c>
      <x:c r="D170" s="12" t="n">
        <x:v>7</x:v>
      </x:c>
    </x:row>
    <x:row r="171">
      <x:c r="A171" s="12" t="str">
        <x:v>NEED-0072</x:v>
      </x:c>
      <x:c r="B171" s="12" t="str">
        <x:v>COM-0011</x:v>
      </x:c>
      <x:c r="C171" s="12" t="str">
        <x:v>Expressed by / affects</x:v>
      </x:c>
      <x:c r="D171" s="12" t="n">
        <x:v>1</x:v>
      </x:c>
    </x:row>
    <x:row r="172">
      <x:c r="A172" s="12" t="str">
        <x:v>NEED-0073</x:v>
      </x:c>
      <x:c r="B172" s="12" t="str">
        <x:v>COM-0005</x:v>
      </x:c>
      <x:c r="C172" s="12" t="str">
        <x:v>Expressed by / affects</x:v>
      </x:c>
      <x:c r="D172" s="12" t="n">
        <x:v>2</x:v>
      </x:c>
    </x:row>
    <x:row r="173">
      <x:c r="A173" s="12" t="str">
        <x:v>NEED-0074</x:v>
      </x:c>
      <x:c r="B173" s="12" t="str">
        <x:v>COM-0001</x:v>
      </x:c>
      <x:c r="C173" s="12" t="str">
        <x:v>Expressed by / affects</x:v>
      </x:c>
      <x:c r="D173" s="12" t="n">
        <x:v>1</x:v>
      </x:c>
    </x:row>
    <x:row r="174">
      <x:c r="A174" s="12" t="str">
        <x:v>NEED-0074</x:v>
      </x:c>
      <x:c r="B174" s="12" t="str">
        <x:v>COM-0003</x:v>
      </x:c>
      <x:c r="C174" s="12" t="str">
        <x:v>Expressed by / affects</x:v>
      </x:c>
      <x:c r="D174" s="12" t="n">
        <x:v>4</x:v>
      </x:c>
    </x:row>
    <x:row r="175">
      <x:c r="A175" s="12" t="str">
        <x:v>NEED-0074</x:v>
      </x:c>
      <x:c r="B175" s="12" t="str">
        <x:v>COM-0004</x:v>
      </x:c>
      <x:c r="C175" s="12" t="str">
        <x:v>Expressed by / affects</x:v>
      </x:c>
      <x:c r="D175" s="12" t="n">
        <x:v>4</x:v>
      </x:c>
    </x:row>
    <x:row r="176">
      <x:c r="A176" s="12" t="str">
        <x:v>NEED-0074</x:v>
      </x:c>
      <x:c r="B176" s="12" t="str">
        <x:v>COM-0005</x:v>
      </x:c>
      <x:c r="C176" s="12" t="str">
        <x:v>Expressed by / affects</x:v>
      </x:c>
      <x:c r="D176" s="12" t="n">
        <x:v>9</x:v>
      </x:c>
    </x:row>
    <x:row r="177">
      <x:c r="A177" s="12" t="str">
        <x:v>NEED-0074</x:v>
      </x:c>
      <x:c r="B177" s="12" t="str">
        <x:v>COM-0007</x:v>
      </x:c>
      <x:c r="C177" s="12" t="str">
        <x:v>Expressed by / affects</x:v>
      </x:c>
      <x:c r="D177" s="12" t="n">
        <x:v>1</x:v>
      </x:c>
    </x:row>
    <x:row r="178">
      <x:c r="A178" s="12" t="str">
        <x:v>NEED-0075</x:v>
      </x:c>
      <x:c r="B178" s="12" t="str">
        <x:v>COM-0004</x:v>
      </x:c>
      <x:c r="C178" s="12" t="str">
        <x:v>Expressed by / affects</x:v>
      </x:c>
      <x:c r="D178" s="12" t="n">
        <x:v>2</x:v>
      </x:c>
    </x:row>
    <x:row r="179">
      <x:c r="A179" s="12" t="str">
        <x:v>NEED-0075</x:v>
      </x:c>
      <x:c r="B179" s="12" t="str">
        <x:v>COM-0005</x:v>
      </x:c>
      <x:c r="C179" s="12" t="str">
        <x:v>Expressed by / affects</x:v>
      </x:c>
      <x:c r="D179" s="12" t="n">
        <x:v>2</x:v>
      </x:c>
    </x:row>
    <x:row r="180">
      <x:c r="A180" s="12" t="str">
        <x:v>NEED-0075</x:v>
      </x:c>
      <x:c r="B180" s="12" t="str">
        <x:v>COM-0007</x:v>
      </x:c>
      <x:c r="C180" s="12" t="str">
        <x:v>Expressed by / affects</x:v>
      </x:c>
      <x:c r="D180" s="12" t="n">
        <x:v>1</x:v>
      </x:c>
    </x:row>
    <x:row r="181">
      <x:c r="A181" s="12" t="str">
        <x:v>NEED-0076</x:v>
      </x:c>
      <x:c r="B181" s="12" t="str">
        <x:v>COM-0003</x:v>
      </x:c>
      <x:c r="C181" s="12" t="str">
        <x:v>Expressed by / affects</x:v>
      </x:c>
      <x:c r="D181" s="12" t="n">
        <x:v>1</x:v>
      </x:c>
    </x:row>
    <x:row r="182">
      <x:c r="A182" s="12" t="str">
        <x:v>NEED-0076</x:v>
      </x:c>
      <x:c r="B182" s="12" t="str">
        <x:v>COM-0005</x:v>
      </x:c>
      <x:c r="C182" s="12" t="str">
        <x:v>Expressed by / affects</x:v>
      </x:c>
      <x:c r="D182" s="12" t="n">
        <x:v>4</x:v>
      </x:c>
    </x:row>
    <x:row r="183">
      <x:c r="A183" s="12" t="str">
        <x:v>NEED-0076</x:v>
      </x:c>
      <x:c r="B183" s="12" t="str">
        <x:v>COM-0006</x:v>
      </x:c>
      <x:c r="C183" s="12" t="str">
        <x:v>Expressed by / affects</x:v>
      </x:c>
      <x:c r="D183" s="12" t="n">
        <x:v>1</x:v>
      </x:c>
    </x:row>
    <x:row r="184">
      <x:c r="A184" s="12" t="str">
        <x:v>NEED-0077</x:v>
      </x:c>
      <x:c r="B184" s="12" t="str">
        <x:v>COM-0005</x:v>
      </x:c>
      <x:c r="C184" s="12" t="str">
        <x:v>Expressed by / affects</x:v>
      </x:c>
      <x:c r="D184" s="12" t="n">
        <x:v>4</x:v>
      </x:c>
    </x:row>
    <x:row r="185">
      <x:c r="A185" s="12" t="str">
        <x:v>NEED-0078</x:v>
      </x:c>
      <x:c r="B185" s="12" t="str">
        <x:v>COM-0005</x:v>
      </x:c>
      <x:c r="C185" s="12" t="str">
        <x:v>Expressed by / affects</x:v>
      </x:c>
      <x:c r="D185" s="12" t="n">
        <x:v>5</x:v>
      </x:c>
    </x:row>
    <x:row r="186">
      <x:c r="A186" s="12" t="str">
        <x:v>NEED-0078</x:v>
      </x:c>
      <x:c r="B186" s="12" t="str">
        <x:v>COM-0011</x:v>
      </x:c>
      <x:c r="C186" s="12" t="str">
        <x:v>Expressed by / affects</x:v>
      </x:c>
      <x:c r="D186" s="12" t="n">
        <x:v>1</x:v>
      </x:c>
    </x:row>
    <x:row r="187">
      <x:c r="A187" s="12" t="str">
        <x:v>NEED-0079</x:v>
      </x:c>
      <x:c r="B187" s="12" t="str">
        <x:v>COM-0005</x:v>
      </x:c>
      <x:c r="C187" s="12" t="str">
        <x:v>Expressed by / affects</x:v>
      </x:c>
      <x:c r="D187" s="12" t="n">
        <x:v>3</x:v>
      </x:c>
    </x:row>
    <x:row r="188">
      <x:c r="A188" s="12" t="str">
        <x:v>NEED-0079</x:v>
      </x:c>
      <x:c r="B188" s="12" t="str">
        <x:v>COM-0006</x:v>
      </x:c>
      <x:c r="C188" s="12" t="str">
        <x:v>Expressed by / affects</x:v>
      </x:c>
      <x:c r="D188" s="12" t="n">
        <x:v>1</x:v>
      </x:c>
    </x:row>
    <x:row r="189">
      <x:c r="A189" s="12" t="str">
        <x:v>NEED-0079</x:v>
      </x:c>
      <x:c r="B189" s="12" t="str">
        <x:v>COM-0007</x:v>
      </x:c>
      <x:c r="C189" s="12" t="str">
        <x:v>Expressed by / affects</x:v>
      </x:c>
      <x:c r="D189" s="12" t="n">
        <x:v>1</x:v>
      </x:c>
    </x:row>
    <x:row r="190">
      <x:c r="A190" s="12" t="str">
        <x:v>NEED-0080</x:v>
      </x:c>
      <x:c r="B190" s="12" t="str">
        <x:v>COM-0003</x:v>
      </x:c>
      <x:c r="C190" s="12" t="str">
        <x:v>Expressed by / affects</x:v>
      </x:c>
      <x:c r="D190" s="12" t="n">
        <x:v>1</x:v>
      </x:c>
    </x:row>
    <x:row r="191">
      <x:c r="A191" s="12" t="str">
        <x:v>NEED-0080</x:v>
      </x:c>
      <x:c r="B191" s="12" t="str">
        <x:v>COM-0005</x:v>
      </x:c>
      <x:c r="C191" s="12" t="str">
        <x:v>Expressed by / affects</x:v>
      </x:c>
      <x:c r="D191" s="12" t="n">
        <x:v>7</x:v>
      </x:c>
    </x:row>
    <x:row r="192">
      <x:c r="A192" s="12" t="str">
        <x:v>NEED-0080</x:v>
      </x:c>
      <x:c r="B192" s="12" t="str">
        <x:v>COM-0011</x:v>
      </x:c>
      <x:c r="C192" s="12" t="str">
        <x:v>Expressed by / affects</x:v>
      </x:c>
      <x:c r="D192" s="12" t="n">
        <x:v>2</x:v>
      </x:c>
    </x:row>
    <x:row r="193">
      <x:c r="A193" s="12" t="str">
        <x:v>NEED-0081</x:v>
      </x:c>
      <x:c r="B193" s="12" t="str">
        <x:v>COM-0003</x:v>
      </x:c>
      <x:c r="C193" s="12" t="str">
        <x:v>Expressed by / affects</x:v>
      </x:c>
      <x:c r="D193" s="12" t="n">
        <x:v>2</x:v>
      </x:c>
    </x:row>
    <x:row r="194">
      <x:c r="A194" s="12" t="str">
        <x:v>NEED-0081</x:v>
      </x:c>
      <x:c r="B194" s="12" t="str">
        <x:v>COM-0005</x:v>
      </x:c>
      <x:c r="C194" s="12" t="str">
        <x:v>Expressed by / affects</x:v>
      </x:c>
      <x:c r="D194" s="12" t="n">
        <x:v>3</x:v>
      </x:c>
    </x:row>
    <x:row r="195">
      <x:c r="A195" s="12" t="str">
        <x:v>NEED-0082</x:v>
      </x:c>
      <x:c r="B195" s="12" t="str">
        <x:v>COM-0003</x:v>
      </x:c>
      <x:c r="C195" s="12" t="str">
        <x:v>Expressed by / affects</x:v>
      </x:c>
      <x:c r="D195" s="12" t="n">
        <x:v>1</x:v>
      </x:c>
    </x:row>
    <x:row r="196">
      <x:c r="A196" s="12" t="str">
        <x:v>NEED-0082</x:v>
      </x:c>
      <x:c r="B196" s="12" t="str">
        <x:v>COM-0005</x:v>
      </x:c>
      <x:c r="C196" s="12" t="str">
        <x:v>Expressed by / affects</x:v>
      </x:c>
      <x:c r="D196" s="12" t="n">
        <x:v>4</x:v>
      </x:c>
    </x:row>
    <x:row r="197">
      <x:c r="A197" s="12" t="str">
        <x:v>NEED-0082</x:v>
      </x:c>
      <x:c r="B197" s="12" t="str">
        <x:v>COM-0007</x:v>
      </x:c>
      <x:c r="C197" s="12" t="str">
        <x:v>Expressed by / affects</x:v>
      </x:c>
      <x:c r="D197" s="12" t="n">
        <x:v>1</x:v>
      </x:c>
    </x:row>
    <x:row r="198">
      <x:c r="A198" s="12" t="str">
        <x:v>NEED-0083</x:v>
      </x:c>
      <x:c r="B198" s="12" t="str">
        <x:v>COM-0003</x:v>
      </x:c>
      <x:c r="C198" s="12" t="str">
        <x:v>Expressed by / affects</x:v>
      </x:c>
      <x:c r="D198" s="12" t="n">
        <x:v>1</x:v>
      </x:c>
    </x:row>
    <x:row r="199">
      <x:c r="A199" s="12" t="str">
        <x:v>NEED-0083</x:v>
      </x:c>
      <x:c r="B199" s="12" t="str">
        <x:v>COM-0005</x:v>
      </x:c>
      <x:c r="C199" s="12" t="str">
        <x:v>Expressed by / affects</x:v>
      </x:c>
      <x:c r="D199" s="12" t="n">
        <x:v>4</x:v>
      </x:c>
    </x:row>
    <x:row r="200">
      <x:c r="A200" s="12" t="str">
        <x:v>NEED-0084</x:v>
      </x:c>
      <x:c r="B200" s="12" t="str">
        <x:v>COM-0005</x:v>
      </x:c>
      <x:c r="C200" s="12" t="str">
        <x:v>Expressed by / affects</x:v>
      </x:c>
      <x:c r="D200" s="12" t="n">
        <x:v>4</x:v>
      </x:c>
    </x:row>
    <x:row r="201">
      <x:c r="A201" s="12" t="str">
        <x:v>NEED-0085</x:v>
      </x:c>
      <x:c r="B201" s="12" t="str">
        <x:v>COM-0005</x:v>
      </x:c>
      <x:c r="C201" s="12" t="str">
        <x:v>Expressed by / affects</x:v>
      </x:c>
      <x:c r="D201" s="12" t="n">
        <x:v>4</x:v>
      </x:c>
    </x:row>
    <x:row r="202">
      <x:c r="A202" s="12" t="str">
        <x:v>NEED-0086</x:v>
      </x:c>
      <x:c r="B202" s="12" t="str">
        <x:v>COM-0003</x:v>
      </x:c>
      <x:c r="C202" s="12" t="str">
        <x:v>Expressed by / affects</x:v>
      </x:c>
      <x:c r="D202" s="12" t="n">
        <x:v>2</x:v>
      </x:c>
    </x:row>
    <x:row r="203">
      <x:c r="A203" s="12" t="str">
        <x:v>NEED-0086</x:v>
      </x:c>
      <x:c r="B203" s="12" t="str">
        <x:v>COM-0005</x:v>
      </x:c>
      <x:c r="C203" s="12" t="str">
        <x:v>Expressed by / affects</x:v>
      </x:c>
      <x:c r="D203" s="12" t="n">
        <x:v>3</x:v>
      </x:c>
    </x:row>
    <x:row r="204">
      <x:c r="A204" s="12" t="str">
        <x:v>NEED-0086</x:v>
      </x:c>
      <x:c r="B204" s="12" t="str">
        <x:v>COM-0011</x:v>
      </x:c>
      <x:c r="C204" s="12" t="str">
        <x:v>Expressed by / affects</x:v>
      </x:c>
      <x:c r="D204" s="12" t="n">
        <x:v>2</x:v>
      </x:c>
    </x:row>
    <x:row r="205">
      <x:c r="A205" s="12" t="str">
        <x:v>NEED-0087</x:v>
      </x:c>
      <x:c r="B205" s="12" t="str">
        <x:v>COM-0005</x:v>
      </x:c>
      <x:c r="C205" s="12" t="str">
        <x:v>Expressed by / affects</x:v>
      </x:c>
      <x:c r="D205" s="12" t="n">
        <x:v>1</x:v>
      </x:c>
    </x:row>
    <x:row r="206">
      <x:c r="A206" s="12" t="str">
        <x:v>NEED-0087</x:v>
      </x:c>
      <x:c r="B206" s="12" t="str">
        <x:v>COM-0011</x:v>
      </x:c>
      <x:c r="C206" s="12" t="str">
        <x:v>Expressed by / affects</x:v>
      </x:c>
      <x:c r="D206" s="12" t="n">
        <x:v>1</x:v>
      </x:c>
    </x:row>
    <x:row r="207">
      <x:c r="A207" s="12" t="str">
        <x:v>NEED-0088</x:v>
      </x:c>
      <x:c r="B207" s="12" t="str">
        <x:v>COM-0003</x:v>
      </x:c>
      <x:c r="C207" s="12" t="str">
        <x:v>Expressed by / affects</x:v>
      </x:c>
      <x:c r="D207" s="12" t="n">
        <x:v>2</x:v>
      </x:c>
    </x:row>
    <x:row r="208">
      <x:c r="A208" s="12" t="str">
        <x:v>NEED-0088</x:v>
      </x:c>
      <x:c r="B208" s="12" t="str">
        <x:v>COM-0005</x:v>
      </x:c>
      <x:c r="C208" s="12" t="str">
        <x:v>Expressed by / affects</x:v>
      </x:c>
      <x:c r="D208" s="12" t="n">
        <x:v>1</x:v>
      </x:c>
    </x:row>
    <x:row r="209">
      <x:c r="A209" s="12" t="str">
        <x:v>NEED-0089</x:v>
      </x:c>
      <x:c r="B209" s="12" t="str">
        <x:v>COM-0004</x:v>
      </x:c>
      <x:c r="C209" s="12" t="str">
        <x:v>Expressed by / affects</x:v>
      </x:c>
      <x:c r="D209" s="12" t="n">
        <x:v>1</x:v>
      </x:c>
    </x:row>
    <x:row r="210">
      <x:c r="A210" s="12" t="str">
        <x:v>NEED-0089</x:v>
      </x:c>
      <x:c r="B210" s="12" t="str">
        <x:v>COM-0005</x:v>
      </x:c>
      <x:c r="C210" s="12" t="str">
        <x:v>Expressed by / affects</x:v>
      </x:c>
      <x:c r="D210" s="12" t="n">
        <x:v>1</x:v>
      </x:c>
    </x:row>
    <x:row r="211">
      <x:c r="A211" s="12" t="str">
        <x:v>NEED-0089</x:v>
      </x:c>
      <x:c r="B211" s="12" t="str">
        <x:v>COM-0011</x:v>
      </x:c>
      <x:c r="C211" s="12" t="str">
        <x:v>Expressed by / affects</x:v>
      </x:c>
      <x:c r="D211" s="12" t="n">
        <x:v>2</x:v>
      </x:c>
    </x:row>
    <x:row r="212">
      <x:c r="A212" s="12" t="str">
        <x:v>NEED-0090</x:v>
      </x:c>
      <x:c r="B212" s="12" t="str">
        <x:v>COM-0001</x:v>
      </x:c>
      <x:c r="C212" s="12" t="str">
        <x:v>Expressed by / affects</x:v>
      </x:c>
      <x:c r="D212" s="12" t="n">
        <x:v>1</x:v>
      </x:c>
    </x:row>
    <x:row r="213">
      <x:c r="A213" s="12" t="str">
        <x:v>NEED-0090</x:v>
      </x:c>
      <x:c r="B213" s="12" t="str">
        <x:v>COM-0003</x:v>
      </x:c>
      <x:c r="C213" s="12" t="str">
        <x:v>Expressed by / affects</x:v>
      </x:c>
      <x:c r="D213" s="12" t="n">
        <x:v>1</x:v>
      </x:c>
    </x:row>
    <x:row r="214">
      <x:c r="A214" s="12" t="str">
        <x:v>NEED-0091</x:v>
      </x:c>
      <x:c r="B214" s="12" t="str">
        <x:v>COM-0001</x:v>
      </x:c>
      <x:c r="C214" s="12" t="str">
        <x:v>Expressed by / affects</x:v>
      </x:c>
      <x:c r="D214" s="12" t="n">
        <x:v>1</x:v>
      </x:c>
    </x:row>
    <x:row r="215">
      <x:c r="A215" s="12" t="str">
        <x:v>NEED-0091</x:v>
      </x:c>
      <x:c r="B215" s="12" t="str">
        <x:v>COM-0005</x:v>
      </x:c>
      <x:c r="C215" s="12" t="str">
        <x:v>Expressed by / affects</x:v>
      </x:c>
      <x:c r="D215" s="12" t="n">
        <x:v>2</x:v>
      </x:c>
    </x:row>
    <x:row r="216">
      <x:c r="A216" s="12" t="str">
        <x:v>NEED-0091</x:v>
      </x:c>
      <x:c r="B216" s="12" t="str">
        <x:v>COM-0010</x:v>
      </x:c>
      <x:c r="C216" s="12" t="str">
        <x:v>Expressed by / affects</x:v>
      </x:c>
      <x:c r="D216" s="12" t="n">
        <x:v>1</x:v>
      </x:c>
    </x:row>
    <x:row r="217">
      <x:c r="A217" s="12" t="str">
        <x:v>NEED-0092</x:v>
      </x:c>
      <x:c r="B217" s="12" t="str">
        <x:v>COM-0005</x:v>
      </x:c>
      <x:c r="C217" s="12" t="str">
        <x:v>Expressed by / affects</x:v>
      </x:c>
      <x:c r="D217" s="12" t="n">
        <x:v>1</x:v>
      </x:c>
    </x:row>
    <x:row r="218">
      <x:c r="A218" s="12" t="str">
        <x:v>NEED-0092</x:v>
      </x:c>
      <x:c r="B218" s="12" t="str">
        <x:v>COM-0011</x:v>
      </x:c>
      <x:c r="C218" s="12" t="str">
        <x:v>Expressed by / affects</x:v>
      </x:c>
      <x:c r="D218" s="12" t="n">
        <x:v>3</x:v>
      </x:c>
    </x:row>
    <x:row r="219">
      <x:c r="A219" s="12" t="str">
        <x:v>NEED-0093</x:v>
      </x:c>
      <x:c r="B219" s="12" t="str">
        <x:v>COM-0004</x:v>
      </x:c>
      <x:c r="C219" s="12" t="str">
        <x:v>Expressed by / affects</x:v>
      </x:c>
      <x:c r="D219" s="12" t="n">
        <x:v>1</x:v>
      </x:c>
    </x:row>
    <x:row r="220">
      <x:c r="A220" s="12" t="str">
        <x:v>NEED-0093</x:v>
      </x:c>
      <x:c r="B220" s="12" t="str">
        <x:v>COM-0008</x:v>
      </x:c>
      <x:c r="C220" s="12" t="str">
        <x:v>Expressed by / affects</x:v>
      </x:c>
      <x:c r="D220" s="12" t="n">
        <x:v>2</x:v>
      </x:c>
    </x:row>
    <x:row r="221">
      <x:c r="A221" s="12" t="str">
        <x:v>NEED-0094</x:v>
      </x:c>
      <x:c r="B221" s="12" t="str">
        <x:v>COM-0009</x:v>
      </x:c>
      <x:c r="C221" s="12" t="str">
        <x:v>Expressed by / affects</x:v>
      </x:c>
      <x:c r="D221" s="12" t="n">
        <x:v>1</x:v>
      </x:c>
    </x:row>
    <x:row r="222">
      <x:c r="A222" s="12" t="str">
        <x:v>NEED-0095</x:v>
      </x:c>
      <x:c r="B222" s="12" t="str">
        <x:v>COM-0008</x:v>
      </x:c>
      <x:c r="C222" s="12" t="str">
        <x:v>Expressed by / affects</x:v>
      </x:c>
      <x:c r="D222" s="12" t="n">
        <x:v>2</x:v>
      </x:c>
    </x:row>
    <x:row r="223">
      <x:c r="A223" s="12" t="str">
        <x:v>NEED-0096</x:v>
      </x:c>
      <x:c r="B223" s="12" t="str">
        <x:v>COM-0005</x:v>
      </x:c>
      <x:c r="C223" s="12" t="str">
        <x:v>Expressed by / affects</x:v>
      </x:c>
      <x:c r="D223" s="12" t="n">
        <x:v>4</x:v>
      </x:c>
    </x:row>
    <x:row r="224">
      <x:c r="A224" s="12" t="str">
        <x:v>NEED-0096</x:v>
      </x:c>
      <x:c r="B224" s="12" t="str">
        <x:v>COM-0007</x:v>
      </x:c>
      <x:c r="C224" s="12" t="str">
        <x:v>Expressed by / affects</x:v>
      </x:c>
      <x:c r="D224" s="12" t="n">
        <x:v>4</x:v>
      </x:c>
    </x:row>
    <x:row r="225">
      <x:c r="A225" s="12" t="str">
        <x:v>NEED-0097</x:v>
      </x:c>
      <x:c r="B225" s="12" t="str">
        <x:v>COM-0005</x:v>
      </x:c>
      <x:c r="C225" s="12" t="str">
        <x:v>Expressed by / affects</x:v>
      </x:c>
      <x:c r="D225" s="12" t="n">
        <x:v>1</x:v>
      </x:c>
    </x:row>
    <x:row r="226">
      <x:c r="A226" s="12" t="str">
        <x:v>NEED-0097</x:v>
      </x:c>
      <x:c r="B226" s="12" t="str">
        <x:v>COM-0011</x:v>
      </x:c>
      <x:c r="C226" s="12" t="str">
        <x:v>Expressed by / affects</x:v>
      </x:c>
      <x:c r="D226" s="12" t="n">
        <x:v>1</x:v>
      </x:c>
    </x:row>
    <x:row r="227">
      <x:c r="A227" s="12" t="str">
        <x:v>NEED-0098</x:v>
      </x:c>
      <x:c r="B227" s="12" t="str">
        <x:v>COM-0005</x:v>
      </x:c>
      <x:c r="C227" s="12" t="str">
        <x:v>Expressed by / affects</x:v>
      </x:c>
      <x:c r="D227" s="12" t="n">
        <x:v>2</x:v>
      </x:c>
    </x:row>
    <x:row r="228">
      <x:c r="A228" s="12" t="str">
        <x:v>NEED-0099</x:v>
      </x:c>
      <x:c r="B228" s="12" t="str">
        <x:v>COM-0005</x:v>
      </x:c>
      <x:c r="C228" s="12" t="str">
        <x:v>Expressed by / affects</x:v>
      </x:c>
      <x:c r="D228" s="12" t="n">
        <x:v>1</x:v>
      </x:c>
    </x:row>
    <x:row r="229">
      <x:c r="A229" s="12" t="str">
        <x:v>NEED-0100</x:v>
      </x:c>
      <x:c r="B229" s="12" t="str">
        <x:v>COM-0005</x:v>
      </x:c>
      <x:c r="C229" s="12" t="str">
        <x:v>Expressed by / affects</x:v>
      </x:c>
      <x:c r="D229" s="12" t="n">
        <x:v>1</x:v>
      </x:c>
    </x:row>
    <x:row r="230">
      <x:c r="A230" s="12" t="str">
        <x:v>NEED-0101</x:v>
      </x:c>
      <x:c r="B230" s="12" t="str">
        <x:v>COM-0003</x:v>
      </x:c>
      <x:c r="C230" s="12" t="str">
        <x:v>Expressed by / affects</x:v>
      </x:c>
      <x:c r="D230" s="12" t="n">
        <x:v>1</x:v>
      </x:c>
    </x:row>
    <x:row r="231">
      <x:c r="A231" s="12" t="str">
        <x:v>NEED-0102</x:v>
      </x:c>
      <x:c r="B231" s="12" t="str">
        <x:v>COM-0005</x:v>
      </x:c>
      <x:c r="C231" s="12" t="str">
        <x:v>Expressed by / affects</x:v>
      </x:c>
      <x:c r="D231" s="12" t="n">
        <x:v>1</x:v>
      </x:c>
    </x:row>
    <x:row r="232">
      <x:c r="A232" s="12" t="str">
        <x:v>NEED-0103</x:v>
      </x:c>
      <x:c r="B232" s="12" t="str">
        <x:v>COM-0005</x:v>
      </x:c>
      <x:c r="C232" s="12" t="str">
        <x:v>Expressed by / affects</x:v>
      </x:c>
      <x:c r="D232" s="12" t="n">
        <x:v>6</x:v>
      </x:c>
    </x:row>
    <x:row r="233">
      <x:c r="A233" s="12" t="str">
        <x:v>NEED-0104</x:v>
      </x:c>
      <x:c r="B233" s="12" t="str">
        <x:v>COM-0005</x:v>
      </x:c>
      <x:c r="C233" s="12" t="str">
        <x:v>Expressed by / affects</x:v>
      </x:c>
      <x:c r="D233" s="12" t="n">
        <x:v>1</x:v>
      </x:c>
    </x:row>
    <x:row r="234">
      <x:c r="A234" s="12" t="str">
        <x:v>NEED-0104</x:v>
      </x:c>
      <x:c r="B234" s="12" t="str">
        <x:v>COM-0011</x:v>
      </x:c>
      <x:c r="C234" s="12" t="str">
        <x:v>Expressed by / affects</x:v>
      </x:c>
      <x:c r="D234" s="12" t="n">
        <x:v>1</x:v>
      </x:c>
    </x:row>
    <x:row r="235">
      <x:c r="A235" s="12" t="str">
        <x:v>NEED-0105</x:v>
      </x:c>
      <x:c r="B235" s="12" t="str">
        <x:v>COM-0003</x:v>
      </x:c>
      <x:c r="C235" s="12" t="str">
        <x:v>Expressed by / affects</x:v>
      </x:c>
      <x:c r="D235" s="12" t="n">
        <x:v>1</x:v>
      </x:c>
    </x:row>
    <x:row r="236">
      <x:c r="A236" s="12" t="str">
        <x:v>NEED-0105</x:v>
      </x:c>
      <x:c r="B236" s="12" t="str">
        <x:v>COM-0005</x:v>
      </x:c>
      <x:c r="C236" s="12" t="str">
        <x:v>Expressed by / affects</x:v>
      </x:c>
      <x:c r="D236" s="12" t="n">
        <x:v>2</x:v>
      </x:c>
    </x:row>
    <x:row r="237">
      <x:c r="A237" s="12" t="str">
        <x:v>NEED-0106</x:v>
      </x:c>
      <x:c r="B237" s="12" t="str">
        <x:v>COM-0003</x:v>
      </x:c>
      <x:c r="C237" s="12" t="str">
        <x:v>Expressed by / affects</x:v>
      </x:c>
      <x:c r="D237" s="12" t="n">
        <x:v>2</x:v>
      </x:c>
    </x:row>
    <x:row r="238">
      <x:c r="A238" s="12" t="str">
        <x:v>NEED-0106</x:v>
      </x:c>
      <x:c r="B238" s="12" t="str">
        <x:v>COM-0004</x:v>
      </x:c>
      <x:c r="C238" s="12" t="str">
        <x:v>Expressed by / affects</x:v>
      </x:c>
      <x:c r="D238" s="12" t="n">
        <x:v>4</x:v>
      </x:c>
    </x:row>
    <x:row r="239">
      <x:c r="A239" s="12" t="str">
        <x:v>NEED-0107</x:v>
      </x:c>
      <x:c r="B239" s="12" t="str">
        <x:v>COM-0004</x:v>
      </x:c>
      <x:c r="C239" s="12" t="str">
        <x:v>Expressed by / affects</x:v>
      </x:c>
      <x:c r="D239" s="12" t="n">
        <x:v>1</x:v>
      </x:c>
    </x:row>
    <x:row r="240">
      <x:c r="A240" s="12" t="str">
        <x:v>NEED-0107</x:v>
      </x:c>
      <x:c r="B240" s="12" t="str">
        <x:v>COM-0005</x:v>
      </x:c>
      <x:c r="C240" s="12" t="str">
        <x:v>Expressed by / affects</x:v>
      </x:c>
      <x:c r="D240" s="12" t="n">
        <x:v>1</x:v>
      </x:c>
    </x:row>
    <x:row r="241">
      <x:c r="A241" s="12" t="str">
        <x:v>NEED-0108</x:v>
      </x:c>
      <x:c r="B241" s="12" t="str">
        <x:v>COM-0005</x:v>
      </x:c>
      <x:c r="C241" s="12" t="str">
        <x:v>Expressed by / affects</x:v>
      </x:c>
      <x:c r="D241" s="12" t="n">
        <x:v>1</x:v>
      </x:c>
    </x:row>
    <x:row r="242">
      <x:c r="A242" s="12" t="str">
        <x:v>NEED-0108</x:v>
      </x:c>
      <x:c r="B242" s="12" t="str">
        <x:v>COM-0011</x:v>
      </x:c>
      <x:c r="C242" s="12" t="str">
        <x:v>Expressed by / affects</x:v>
      </x:c>
      <x:c r="D242" s="12" t="n">
        <x:v>1</x:v>
      </x:c>
    </x:row>
    <x:row r="243">
      <x:c r="A243" s="12" t="str">
        <x:v>NEED-0109</x:v>
      </x:c>
      <x:c r="B243" s="12" t="str">
        <x:v>COM-0005</x:v>
      </x:c>
      <x:c r="C243" s="12" t="str">
        <x:v>Expressed by / affects</x:v>
      </x:c>
      <x:c r="D243" s="12" t="n">
        <x:v>1</x:v>
      </x:c>
    </x:row>
    <x:row r="244">
      <x:c r="A244" s="12" t="str">
        <x:v>NEED-0110</x:v>
      </x:c>
      <x:c r="B244" s="12" t="str">
        <x:v>COM-0004</x:v>
      </x:c>
      <x:c r="C244" s="12" t="str">
        <x:v>Expressed by / affects</x:v>
      </x:c>
      <x:c r="D244" s="12" t="n">
        <x:v>1</x:v>
      </x:c>
    </x:row>
    <x:row r="245">
      <x:c r="A245" s="12" t="str">
        <x:v>NEED-0111</x:v>
      </x:c>
      <x:c r="B245" s="12" t="str">
        <x:v>COM-0005</x:v>
      </x:c>
      <x:c r="C245" s="12" t="str">
        <x:v>Expressed by / affects</x:v>
      </x:c>
      <x:c r="D245" s="12" t="n">
        <x:v>1</x:v>
      </x:c>
    </x:row>
    <x:row r="246">
      <x:c r="A246" s="12" t="str">
        <x:v>NEED-0112</x:v>
      </x:c>
      <x:c r="B246" s="12" t="str">
        <x:v>COM-0005</x:v>
      </x:c>
      <x:c r="C246" s="12" t="str">
        <x:v>Expressed by / affects</x:v>
      </x:c>
      <x:c r="D246" s="12" t="n">
        <x:v>1</x:v>
      </x:c>
    </x:row>
    <x:row r="247">
      <x:c r="A247" s="12" t="str">
        <x:v>NEED-0113</x:v>
      </x:c>
      <x:c r="B247" s="12" t="str">
        <x:v>COM-0011</x:v>
      </x:c>
      <x:c r="C247" s="12" t="str">
        <x:v>Expressed by / affects</x:v>
      </x:c>
      <x:c r="D247" s="12" t="n">
        <x:v>3</x:v>
      </x:c>
    </x:row>
    <x:row r="248">
      <x:c r="A248" s="12" t="str">
        <x:v>NEED-0114</x:v>
      </x:c>
      <x:c r="B248" s="12" t="str">
        <x:v>COM-0011</x:v>
      </x:c>
      <x:c r="C248" s="12" t="str">
        <x:v>Expressed by / affects</x:v>
      </x:c>
      <x:c r="D248" s="12" t="n">
        <x:v>4</x:v>
      </x:c>
    </x:row>
    <x:row r="249">
      <x:c r="A249" s="12" t="str">
        <x:v>NEED-0115</x:v>
      </x:c>
      <x:c r="B249" s="12" t="str">
        <x:v>COM-0011</x:v>
      </x:c>
      <x:c r="C249" s="12" t="str">
        <x:v>Expressed by / affects</x:v>
      </x:c>
      <x:c r="D249" s="12" t="n">
        <x:v>1</x:v>
      </x:c>
    </x:row>
    <x:row r="250">
      <x:c r="A250" s="12" t="str">
        <x:v>NEED-0116</x:v>
      </x:c>
      <x:c r="B250" s="12" t="str">
        <x:v>COM-0005</x:v>
      </x:c>
      <x:c r="C250" s="12" t="str">
        <x:v>Expressed by / affects</x:v>
      </x:c>
      <x:c r="D250" s="12" t="n">
        <x:v>1</x:v>
      </x:c>
    </x:row>
    <x:row r="251">
      <x:c r="A251" s="12" t="str">
        <x:v>NEED-0117</x:v>
      </x:c>
      <x:c r="B251" s="12" t="str">
        <x:v>COM-0007</x:v>
      </x:c>
      <x:c r="C251" s="12" t="str">
        <x:v>Expressed by / affects</x:v>
      </x:c>
      <x:c r="D251" s="12" t="n">
        <x:v>1</x:v>
      </x:c>
    </x:row>
    <x:row r="252">
      <x:c r="A252" s="12" t="str">
        <x:v>NEED-0117</x:v>
      </x:c>
      <x:c r="B252" s="12" t="str">
        <x:v>COM-0011</x:v>
      </x:c>
      <x:c r="C252" s="12" t="str">
        <x:v>Expressed by / affects</x:v>
      </x:c>
      <x:c r="D252" s="12" t="n">
        <x:v>2</x:v>
      </x:c>
    </x:row>
    <x:row r="253">
      <x:c r="A253" s="12" t="str">
        <x:v>NEED-0118</x:v>
      </x:c>
      <x:c r="B253" s="12" t="str">
        <x:v>COM-0011</x:v>
      </x:c>
      <x:c r="C253" s="12" t="str">
        <x:v>Expressed by / affects</x:v>
      </x:c>
      <x:c r="D253" s="12" t="n">
        <x:v>1</x:v>
      </x:c>
    </x:row>
    <x:row r="254">
      <x:c r="A254" s="12" t="str">
        <x:v>NEED-0119</x:v>
      </x:c>
      <x:c r="B254" s="12" t="str">
        <x:v>COM-0003</x:v>
      </x:c>
      <x:c r="C254" s="12" t="str">
        <x:v>Expressed by / affects</x:v>
      </x:c>
      <x:c r="D254" s="12" t="n">
        <x:v>1</x:v>
      </x:c>
    </x:row>
    <x:row r="255">
      <x:c r="A255" s="12" t="str">
        <x:v>NEED-0119</x:v>
      </x:c>
      <x:c r="B255" s="12" t="str">
        <x:v>COM-0004</x:v>
      </x:c>
      <x:c r="C255" s="12" t="str">
        <x:v>Expressed by / affects</x:v>
      </x:c>
      <x:c r="D255" s="12" t="n">
        <x:v>1</x:v>
      </x:c>
    </x:row>
    <x:row r="256">
      <x:c r="A256" s="12" t="str">
        <x:v>NEED-0119</x:v>
      </x:c>
      <x:c r="B256" s="12" t="str">
        <x:v>COM-0005</x:v>
      </x:c>
      <x:c r="C256" s="12" t="str">
        <x:v>Expressed by / affects</x:v>
      </x:c>
      <x:c r="D256" s="12" t="n">
        <x:v>13</x:v>
      </x:c>
    </x:row>
    <x:row r="257">
      <x:c r="A257" s="12" t="str">
        <x:v>NEED-0119</x:v>
      </x:c>
      <x:c r="B257" s="12" t="str">
        <x:v>COM-0006</x:v>
      </x:c>
      <x:c r="C257" s="12" t="str">
        <x:v>Expressed by / affects</x:v>
      </x:c>
      <x:c r="D257" s="12" t="n">
        <x:v>1</x:v>
      </x:c>
    </x:row>
    <x:row r="258">
      <x:c r="A258" s="12" t="str">
        <x:v>NEED-0120</x:v>
      </x:c>
      <x:c r="B258" s="12" t="str">
        <x:v>COM-0001</x:v>
      </x:c>
      <x:c r="C258" s="12" t="str">
        <x:v>Expressed by / affects</x:v>
      </x:c>
      <x:c r="D258" s="12" t="n">
        <x:v>6</x:v>
      </x:c>
    </x:row>
    <x:row r="259">
      <x:c r="A259" s="12" t="str">
        <x:v>NEED-0120</x:v>
      </x:c>
      <x:c r="B259" s="12" t="str">
        <x:v>COM-0003</x:v>
      </x:c>
      <x:c r="C259" s="12" t="str">
        <x:v>Expressed by / affects</x:v>
      </x:c>
      <x:c r="D259" s="12" t="n">
        <x:v>1</x:v>
      </x:c>
    </x:row>
    <x:row r="260">
      <x:c r="A260" s="12" t="str">
        <x:v>NEED-0120</x:v>
      </x:c>
      <x:c r="B260" s="12" t="str">
        <x:v>COM-0004</x:v>
      </x:c>
      <x:c r="C260" s="12" t="str">
        <x:v>Expressed by / affects</x:v>
      </x:c>
      <x:c r="D260" s="12" t="n">
        <x:v>1</x:v>
      </x:c>
    </x:row>
    <x:row r="261">
      <x:c r="A261" s="12" t="str">
        <x:v>NEED-0120</x:v>
      </x:c>
      <x:c r="B261" s="12" t="str">
        <x:v>COM-0005</x:v>
      </x:c>
      <x:c r="C261" s="12" t="str">
        <x:v>Expressed by / affects</x:v>
      </x:c>
      <x:c r="D261" s="12" t="n">
        <x:v>18</x:v>
      </x:c>
    </x:row>
    <x:row r="262">
      <x:c r="A262" s="12" t="str">
        <x:v>NEED-0121</x:v>
      </x:c>
      <x:c r="B262" s="12" t="str">
        <x:v>COM-0001</x:v>
      </x:c>
      <x:c r="C262" s="12" t="str">
        <x:v>Expressed by / affects</x:v>
      </x:c>
      <x:c r="D262" s="12" t="n">
        <x:v>1</x:v>
      </x:c>
    </x:row>
    <x:row r="263">
      <x:c r="A263" s="12" t="str">
        <x:v>NEED-0121</x:v>
      </x:c>
      <x:c r="B263" s="12" t="str">
        <x:v>COM-0003</x:v>
      </x:c>
      <x:c r="C263" s="12" t="str">
        <x:v>Expressed by / affects</x:v>
      </x:c>
      <x:c r="D263" s="12" t="n">
        <x:v>1</x:v>
      </x:c>
    </x:row>
    <x:row r="264">
      <x:c r="A264" s="12" t="str">
        <x:v>NEED-0121</x:v>
      </x:c>
      <x:c r="B264" s="12" t="str">
        <x:v>COM-0005</x:v>
      </x:c>
      <x:c r="C264" s="12" t="str">
        <x:v>Expressed by / affects</x:v>
      </x:c>
      <x:c r="D264" s="12" t="n">
        <x:v>18</x:v>
      </x:c>
    </x:row>
    <x:row r="265">
      <x:c r="A265" s="12" t="str">
        <x:v>NEED-0121</x:v>
      </x:c>
      <x:c r="B265" s="12" t="str">
        <x:v>COM-0006</x:v>
      </x:c>
      <x:c r="C265" s="12" t="str">
        <x:v>Expressed by / affects</x:v>
      </x:c>
      <x:c r="D265" s="12" t="n">
        <x:v>1</x:v>
      </x:c>
    </x:row>
    <x:row r="266">
      <x:c r="A266" s="12" t="str">
        <x:v>NEED-0121</x:v>
      </x:c>
      <x:c r="B266" s="12" t="str">
        <x:v>COM-0007</x:v>
      </x:c>
      <x:c r="C266" s="12" t="str">
        <x:v>Expressed by / affects</x:v>
      </x:c>
      <x:c r="D266" s="12" t="n">
        <x:v>1</x:v>
      </x:c>
    </x:row>
    <x:row r="267">
      <x:c r="A267" s="12" t="str">
        <x:v>NEED-0122</x:v>
      </x:c>
      <x:c r="B267" s="12" t="str">
        <x:v>COM-0003</x:v>
      </x:c>
      <x:c r="C267" s="12" t="str">
        <x:v>Expressed by / affects</x:v>
      </x:c>
      <x:c r="D267" s="12" t="n">
        <x:v>1</x:v>
      </x:c>
    </x:row>
    <x:row r="268">
      <x:c r="A268" s="12" t="str">
        <x:v>NEED-0122</x:v>
      </x:c>
      <x:c r="B268" s="12" t="str">
        <x:v>COM-0005</x:v>
      </x:c>
      <x:c r="C268" s="12" t="str">
        <x:v>Expressed by / affects</x:v>
      </x:c>
      <x:c r="D268" s="12" t="n">
        <x:v>17</x:v>
      </x:c>
    </x:row>
    <x:row r="269">
      <x:c r="A269" s="12" t="str">
        <x:v>NEED-0123</x:v>
      </x:c>
      <x:c r="B269" s="12" t="str">
        <x:v>COM-0003</x:v>
      </x:c>
      <x:c r="C269" s="12" t="str">
        <x:v>Expressed by / affects</x:v>
      </x:c>
      <x:c r="D269" s="12" t="n">
        <x:v>2</x:v>
      </x:c>
    </x:row>
    <x:row r="270">
      <x:c r="A270" s="12" t="str">
        <x:v>NEED-0123</x:v>
      </x:c>
      <x:c r="B270" s="12" t="str">
        <x:v>COM-0005</x:v>
      </x:c>
      <x:c r="C270" s="12" t="str">
        <x:v>Expressed by / affects</x:v>
      </x:c>
      <x:c r="D270" s="12" t="n">
        <x:v>16</x:v>
      </x:c>
    </x:row>
    <x:row r="271">
      <x:c r="A271" s="12" t="str">
        <x:v>NEED-0123</x:v>
      </x:c>
      <x:c r="B271" s="12" t="str">
        <x:v>COM-0006</x:v>
      </x:c>
      <x:c r="C271" s="12" t="str">
        <x:v>Expressed by / affects</x:v>
      </x:c>
      <x:c r="D271" s="12" t="n">
        <x:v>2</x:v>
      </x:c>
    </x:row>
    <x:row r="272">
      <x:c r="A272" s="12" t="str">
        <x:v>NEED-0124</x:v>
      </x:c>
      <x:c r="B272" s="12" t="str">
        <x:v>COM-0004</x:v>
      </x:c>
      <x:c r="C272" s="12" t="str">
        <x:v>Expressed by / affects</x:v>
      </x:c>
      <x:c r="D272" s="12" t="n">
        <x:v>1</x:v>
      </x:c>
    </x:row>
    <x:row r="273">
      <x:c r="A273" s="12" t="str">
        <x:v>NEED-0124</x:v>
      </x:c>
      <x:c r="B273" s="12" t="str">
        <x:v>COM-0005</x:v>
      </x:c>
      <x:c r="C273" s="12" t="str">
        <x:v>Expressed by / affects</x:v>
      </x:c>
      <x:c r="D273" s="12" t="n">
        <x:v>20</x:v>
      </x:c>
    </x:row>
    <x:row r="274">
      <x:c r="A274" s="12" t="str">
        <x:v>NEED-0125</x:v>
      </x:c>
      <x:c r="B274" s="12" t="str">
        <x:v>COM-0003</x:v>
      </x:c>
      <x:c r="C274" s="12" t="str">
        <x:v>Expressed by / affects</x:v>
      </x:c>
      <x:c r="D274" s="12" t="n">
        <x:v>2</x:v>
      </x:c>
    </x:row>
    <x:row r="275">
      <x:c r="A275" s="12" t="str">
        <x:v>NEED-0125</x:v>
      </x:c>
      <x:c r="B275" s="12" t="str">
        <x:v>COM-0005</x:v>
      </x:c>
      <x:c r="C275" s="12" t="str">
        <x:v>Expressed by / affects</x:v>
      </x:c>
      <x:c r="D275" s="12" t="n">
        <x:v>17</x:v>
      </x:c>
    </x:row>
    <x:row r="276">
      <x:c r="A276" s="12" t="str">
        <x:v>NEED-0125</x:v>
      </x:c>
      <x:c r="B276" s="12" t="str">
        <x:v>COM-0010</x:v>
      </x:c>
      <x:c r="C276" s="12" t="str">
        <x:v>Expressed by / affects</x:v>
      </x:c>
      <x:c r="D276" s="12" t="n">
        <x:v>1</x:v>
      </x:c>
    </x:row>
    <x:row r="277">
      <x:c r="A277" s="12" t="str">
        <x:v>NEED-0125</x:v>
      </x:c>
      <x:c r="B277" s="12" t="str">
        <x:v>COM-0011</x:v>
      </x:c>
      <x:c r="C277" s="12" t="str">
        <x:v>Expressed by / affects</x:v>
      </x:c>
      <x:c r="D277" s="12" t="n">
        <x:v>1</x:v>
      </x:c>
    </x:row>
    <x:row r="278">
      <x:c r="A278" s="12" t="str">
        <x:v>NEED-0126</x:v>
      </x:c>
      <x:c r="B278" s="12" t="str">
        <x:v>COM-0003</x:v>
      </x:c>
      <x:c r="C278" s="12" t="str">
        <x:v>Expressed by / affects</x:v>
      </x:c>
      <x:c r="D278" s="12" t="n">
        <x:v>2</x:v>
      </x:c>
    </x:row>
    <x:row r="279">
      <x:c r="A279" s="12" t="str">
        <x:v>NEED-0126</x:v>
      </x:c>
      <x:c r="B279" s="12" t="str">
        <x:v>COM-0005</x:v>
      </x:c>
      <x:c r="C279" s="12" t="str">
        <x:v>Expressed by / affects</x:v>
      </x:c>
      <x:c r="D279" s="12" t="n">
        <x:v>23</x:v>
      </x:c>
    </x:row>
    <x:row r="280">
      <x:c r="A280" s="12" t="str">
        <x:v>NEED-0127</x:v>
      </x:c>
      <x:c r="B280" s="12" t="str">
        <x:v>COM-0001</x:v>
      </x:c>
      <x:c r="C280" s="12" t="str">
        <x:v>Expressed by / affects</x:v>
      </x:c>
      <x:c r="D280" s="12" t="n">
        <x:v>5</x:v>
      </x:c>
    </x:row>
    <x:row r="281">
      <x:c r="A281" s="12" t="str">
        <x:v>NEED-0127</x:v>
      </x:c>
      <x:c r="B281" s="12" t="str">
        <x:v>COM-0003</x:v>
      </x:c>
      <x:c r="C281" s="12" t="str">
        <x:v>Expressed by / affects</x:v>
      </x:c>
      <x:c r="D281" s="12" t="n">
        <x:v>4</x:v>
      </x:c>
    </x:row>
    <x:row r="282">
      <x:c r="A282" s="12" t="str">
        <x:v>NEED-0127</x:v>
      </x:c>
      <x:c r="B282" s="12" t="str">
        <x:v>COM-0004</x:v>
      </x:c>
      <x:c r="C282" s="12" t="str">
        <x:v>Expressed by / affects</x:v>
      </x:c>
      <x:c r="D282" s="12" t="n">
        <x:v>1</x:v>
      </x:c>
    </x:row>
    <x:row r="283">
      <x:c r="A283" s="12" t="str">
        <x:v>NEED-0127</x:v>
      </x:c>
      <x:c r="B283" s="12" t="str">
        <x:v>COM-0005</x:v>
      </x:c>
      <x:c r="C283" s="12" t="str">
        <x:v>Expressed by / affects</x:v>
      </x:c>
      <x:c r="D283" s="12" t="n">
        <x:v>5</x:v>
      </x:c>
    </x:row>
    <x:row r="284">
      <x:c r="A284" s="12" t="str">
        <x:v>NEED-0127</x:v>
      </x:c>
      <x:c r="B284" s="12" t="str">
        <x:v>COM-0011</x:v>
      </x:c>
      <x:c r="C284" s="12" t="str">
        <x:v>Expressed by / affects</x:v>
      </x:c>
      <x:c r="D284" s="12" t="n">
        <x:v>2</x:v>
      </x:c>
    </x:row>
    <x:row r="285">
      <x:c r="A285" s="12" t="str">
        <x:v>NEED-0128</x:v>
      </x:c>
      <x:c r="B285" s="12" t="str">
        <x:v>COM-0005</x:v>
      </x:c>
      <x:c r="C285" s="12" t="str">
        <x:v>Expressed by / affects</x:v>
      </x:c>
      <x:c r="D285" s="12" t="n">
        <x:v>9</x:v>
      </x:c>
    </x:row>
    <x:row r="286">
      <x:c r="A286" s="12" t="str">
        <x:v>NEED-0129</x:v>
      </x:c>
      <x:c r="B286" s="12" t="str">
        <x:v>COM-0003</x:v>
      </x:c>
      <x:c r="C286" s="12" t="str">
        <x:v>Expressed by / affects</x:v>
      </x:c>
      <x:c r="D286" s="12" t="n">
        <x:v>3</x:v>
      </x:c>
    </x:row>
    <x:row r="287">
      <x:c r="A287" s="12" t="str">
        <x:v>NEED-0129</x:v>
      </x:c>
      <x:c r="B287" s="12" t="str">
        <x:v>COM-0004</x:v>
      </x:c>
      <x:c r="C287" s="12" t="str">
        <x:v>Expressed by / affects</x:v>
      </x:c>
      <x:c r="D287" s="12" t="n">
        <x:v>1</x:v>
      </x:c>
    </x:row>
    <x:row r="288">
      <x:c r="A288" s="12" t="str">
        <x:v>NEED-0129</x:v>
      </x:c>
      <x:c r="B288" s="12" t="str">
        <x:v>COM-0005</x:v>
      </x:c>
      <x:c r="C288" s="12" t="str">
        <x:v>Expressed by / affects</x:v>
      </x:c>
      <x:c r="D288" s="12" t="n">
        <x:v>12</x:v>
      </x:c>
    </x:row>
    <x:row r="289">
      <x:c r="A289" s="12" t="str">
        <x:v>NEED-0129</x:v>
      </x:c>
      <x:c r="B289" s="12" t="str">
        <x:v>COM-0011</x:v>
      </x:c>
      <x:c r="C289" s="12" t="str">
        <x:v>Expressed by / affects</x:v>
      </x:c>
      <x:c r="D289" s="12" t="n">
        <x:v>1</x:v>
      </x:c>
    </x:row>
    <x:row r="290">
      <x:c r="A290" s="12" t="str">
        <x:v>NEED-0130</x:v>
      </x:c>
      <x:c r="B290" s="12" t="str">
        <x:v>COM-0003</x:v>
      </x:c>
      <x:c r="C290" s="12" t="str">
        <x:v>Expressed by / affects</x:v>
      </x:c>
      <x:c r="D290" s="12" t="n">
        <x:v>1</x:v>
      </x:c>
    </x:row>
    <x:row r="291">
      <x:c r="A291" s="12" t="str">
        <x:v>NEED-0130</x:v>
      </x:c>
      <x:c r="B291" s="12" t="str">
        <x:v>COM-0005</x:v>
      </x:c>
      <x:c r="C291" s="12" t="str">
        <x:v>Expressed by / affects</x:v>
      </x:c>
      <x:c r="D291" s="12" t="n">
        <x:v>10</x:v>
      </x:c>
    </x:row>
    <x:row r="292">
      <x:c r="A292" s="12" t="str">
        <x:v>NEED-0131</x:v>
      </x:c>
      <x:c r="B292" s="12" t="str">
        <x:v>COM-0003</x:v>
      </x:c>
      <x:c r="C292" s="12" t="str">
        <x:v>Expressed by / affects</x:v>
      </x:c>
      <x:c r="D292" s="12" t="n">
        <x:v>1</x:v>
      </x:c>
    </x:row>
    <x:row r="293">
      <x:c r="A293" s="12" t="str">
        <x:v>NEED-0131</x:v>
      </x:c>
      <x:c r="B293" s="12" t="str">
        <x:v>COM-0005</x:v>
      </x:c>
      <x:c r="C293" s="12" t="str">
        <x:v>Expressed by / affects</x:v>
      </x:c>
      <x:c r="D293" s="12" t="n">
        <x:v>13</x:v>
      </x:c>
    </x:row>
    <x:row r="294">
      <x:c r="A294" s="12" t="str">
        <x:v>NEED-0132</x:v>
      </x:c>
      <x:c r="B294" s="12" t="str">
        <x:v>COM-0005</x:v>
      </x:c>
      <x:c r="C294" s="12" t="str">
        <x:v>Expressed by / affects</x:v>
      </x:c>
      <x:c r="D294" s="12" t="n">
        <x:v>5</x:v>
      </x:c>
    </x:row>
    <x:row r="295">
      <x:c r="A295" s="12" t="str">
        <x:v>NEED-0133</x:v>
      </x:c>
      <x:c r="B295" s="12" t="str">
        <x:v>COM-0001</x:v>
      </x:c>
      <x:c r="C295" s="12" t="str">
        <x:v>Expressed by / affects</x:v>
      </x:c>
      <x:c r="D295" s="12" t="n">
        <x:v>1</x:v>
      </x:c>
    </x:row>
    <x:row r="296">
      <x:c r="A296" s="12" t="str">
        <x:v>NEED-0133</x:v>
      </x:c>
      <x:c r="B296" s="12" t="str">
        <x:v>COM-0003</x:v>
      </x:c>
      <x:c r="C296" s="12" t="str">
        <x:v>Expressed by / affects</x:v>
      </x:c>
      <x:c r="D296" s="12" t="n">
        <x:v>2</x:v>
      </x:c>
    </x:row>
    <x:row r="297">
      <x:c r="A297" s="12" t="str">
        <x:v>NEED-0133</x:v>
      </x:c>
      <x:c r="B297" s="12" t="str">
        <x:v>COM-0005</x:v>
      </x:c>
      <x:c r="C297" s="12" t="str">
        <x:v>Expressed by / affects</x:v>
      </x:c>
      <x:c r="D297" s="12" t="n">
        <x:v>11</x:v>
      </x:c>
    </x:row>
    <x:row r="298">
      <x:c r="A298" s="12" t="str">
        <x:v>NEED-0134</x:v>
      </x:c>
      <x:c r="B298" s="12" t="str">
        <x:v>COM-0003</x:v>
      </x:c>
      <x:c r="C298" s="12" t="str">
        <x:v>Expressed by / affects</x:v>
      </x:c>
      <x:c r="D298" s="12" t="n">
        <x:v>1</x:v>
      </x:c>
    </x:row>
    <x:row r="299">
      <x:c r="A299" s="12" t="str">
        <x:v>NEED-0134</x:v>
      </x:c>
      <x:c r="B299" s="12" t="str">
        <x:v>COM-0005</x:v>
      </x:c>
      <x:c r="C299" s="12" t="str">
        <x:v>Expressed by / affects</x:v>
      </x:c>
      <x:c r="D299" s="12" t="n">
        <x:v>14</x:v>
      </x:c>
    </x:row>
    <x:row r="300">
      <x:c r="A300" s="12" t="str">
        <x:v>NEED-0135</x:v>
      </x:c>
      <x:c r="B300" s="12" t="str">
        <x:v>COM-0005</x:v>
      </x:c>
      <x:c r="C300" s="12" t="str">
        <x:v>Expressed by / affects</x:v>
      </x:c>
      <x:c r="D300" s="12" t="n">
        <x:v>2</x:v>
      </x:c>
    </x:row>
    <x:row r="301">
      <x:c r="A301" s="12" t="str">
        <x:v>NEED-0136</x:v>
      </x:c>
      <x:c r="B301" s="12" t="str">
        <x:v>COM-0003</x:v>
      </x:c>
      <x:c r="C301" s="12" t="str">
        <x:v>Expressed by / affects</x:v>
      </x:c>
      <x:c r="D301" s="12" t="n">
        <x:v>1</x:v>
      </x:c>
    </x:row>
    <x:row r="302">
      <x:c r="A302" s="12" t="str">
        <x:v>NEED-0136</x:v>
      </x:c>
      <x:c r="B302" s="12" t="str">
        <x:v>COM-0005</x:v>
      </x:c>
      <x:c r="C302" s="12" t="str">
        <x:v>Expressed by / affects</x:v>
      </x:c>
      <x:c r="D302" s="12" t="n">
        <x:v>6</x:v>
      </x:c>
    </x:row>
    <x:row r="303">
      <x:c r="A303" s="12" t="str">
        <x:v>NEED-0137</x:v>
      </x:c>
      <x:c r="B303" s="12" t="str">
        <x:v>COM-0003</x:v>
      </x:c>
      <x:c r="C303" s="12" t="str">
        <x:v>Expressed by / affects</x:v>
      </x:c>
      <x:c r="D303" s="12" t="n">
        <x:v>3</x:v>
      </x:c>
    </x:row>
    <x:row r="304">
      <x:c r="A304" s="12" t="str">
        <x:v>NEED-0137</x:v>
      </x:c>
      <x:c r="B304" s="12" t="str">
        <x:v>COM-0004</x:v>
      </x:c>
      <x:c r="C304" s="12" t="str">
        <x:v>Expressed by / affects</x:v>
      </x:c>
      <x:c r="D304" s="12" t="n">
        <x:v>1</x:v>
      </x:c>
    </x:row>
    <x:row r="305">
      <x:c r="A305" s="12" t="str">
        <x:v>NEED-0137</x:v>
      </x:c>
      <x:c r="B305" s="12" t="str">
        <x:v>COM-0005</x:v>
      </x:c>
      <x:c r="C305" s="12" t="str">
        <x:v>Expressed by / affects</x:v>
      </x:c>
      <x:c r="D305" s="12" t="n">
        <x:v>11</x:v>
      </x:c>
    </x:row>
    <x:row r="306">
      <x:c r="A306" s="12" t="str">
        <x:v>NEED-0138</x:v>
      </x:c>
      <x:c r="B306" s="12" t="str">
        <x:v>COM-0003</x:v>
      </x:c>
      <x:c r="C306" s="12" t="str">
        <x:v>Expressed by / affects</x:v>
      </x:c>
      <x:c r="D306" s="12" t="n">
        <x:v>1</x:v>
      </x:c>
    </x:row>
    <x:row r="307">
      <x:c r="A307" s="12" t="str">
        <x:v>NEED-0138</x:v>
      </x:c>
      <x:c r="B307" s="12" t="str">
        <x:v>COM-0005</x:v>
      </x:c>
      <x:c r="C307" s="12" t="str">
        <x:v>Expressed by / affects</x:v>
      </x:c>
      <x:c r="D307" s="12" t="n">
        <x:v>4</x:v>
      </x:c>
    </x:row>
    <x:row r="308">
      <x:c r="A308" s="12" t="str">
        <x:v>NEED-0139</x:v>
      </x:c>
      <x:c r="B308" s="12" t="str">
        <x:v>COM-0004</x:v>
      </x:c>
      <x:c r="C308" s="12" t="str">
        <x:v>Expressed by / affects</x:v>
      </x:c>
      <x:c r="D308" s="12" t="n">
        <x:v>4</x:v>
      </x:c>
    </x:row>
    <x:row r="309">
      <x:c r="A309" s="12" t="str">
        <x:v>NEED-0140</x:v>
      </x:c>
      <x:c r="B309" s="12" t="str">
        <x:v>COM-0005</x:v>
      </x:c>
      <x:c r="C309" s="12" t="str">
        <x:v>Expressed by / affects</x:v>
      </x:c>
      <x:c r="D309" s="12" t="n">
        <x:v>11</x:v>
      </x:c>
    </x:row>
    <x:row r="310">
      <x:c r="A310" s="12" t="str">
        <x:v>NEED-0141</x:v>
      </x:c>
      <x:c r="B310" s="12" t="str">
        <x:v>COM-0001</x:v>
      </x:c>
      <x:c r="C310" s="12" t="str">
        <x:v>Expressed by / affects</x:v>
      </x:c>
      <x:c r="D310" s="12" t="n">
        <x:v>1</x:v>
      </x:c>
    </x:row>
    <x:row r="311">
      <x:c r="A311" s="12" t="str">
        <x:v>NEED-0141</x:v>
      </x:c>
      <x:c r="B311" s="12" t="str">
        <x:v>COM-0005</x:v>
      </x:c>
      <x:c r="C311" s="12" t="str">
        <x:v>Expressed by / affects</x:v>
      </x:c>
      <x:c r="D311" s="12" t="n">
        <x:v>12</x:v>
      </x:c>
    </x:row>
    <x:row r="312">
      <x:c r="A312" s="12" t="str">
        <x:v>NEED-0141</x:v>
      </x:c>
      <x:c r="B312" s="12" t="str">
        <x:v>COM-0007</x:v>
      </x:c>
      <x:c r="C312" s="12" t="str">
        <x:v>Expressed by / affects</x:v>
      </x:c>
      <x:c r="D312" s="12" t="n">
        <x:v>1</x:v>
      </x:c>
    </x:row>
    <x:row r="313">
      <x:c r="A313" s="12" t="str">
        <x:v>NEED-0142</x:v>
      </x:c>
      <x:c r="B313" s="12" t="str">
        <x:v>COM-0007</x:v>
      </x:c>
      <x:c r="C313" s="12" t="str">
        <x:v>Expressed by / affects</x:v>
      </x:c>
      <x:c r="D313" s="12" t="n">
        <x:v>2</x:v>
      </x:c>
    </x:row>
    <x:row r="314">
      <x:c r="A314" s="12" t="str">
        <x:v>NEED-0143</x:v>
      </x:c>
      <x:c r="B314" s="12" t="str">
        <x:v>COM-0003</x:v>
      </x:c>
      <x:c r="C314" s="12" t="str">
        <x:v>Expressed by / affects</x:v>
      </x:c>
      <x:c r="D314" s="12" t="n">
        <x:v>1</x:v>
      </x:c>
    </x:row>
    <x:row r="315">
      <x:c r="A315" s="12" t="str">
        <x:v>NEED-0143</x:v>
      </x:c>
      <x:c r="B315" s="12" t="str">
        <x:v>COM-0005</x:v>
      </x:c>
      <x:c r="C315" s="12" t="str">
        <x:v>Expressed by / affects</x:v>
      </x:c>
      <x:c r="D315" s="12" t="n">
        <x:v>2</x:v>
      </x:c>
    </x:row>
    <x:row r="316">
      <x:c r="A316" s="12" t="str">
        <x:v>NEED-0144</x:v>
      </x:c>
      <x:c r="B316" s="12" t="str">
        <x:v>COM-0005</x:v>
      </x:c>
      <x:c r="C316" s="12" t="str">
        <x:v>Expressed by / affects</x:v>
      </x:c>
      <x:c r="D316" s="12" t="n">
        <x:v>2</x:v>
      </x:c>
    </x:row>
    <x:row r="317">
      <x:c r="A317" s="12" t="str">
        <x:v>NEED-0144</x:v>
      </x:c>
      <x:c r="B317" s="12" t="str">
        <x:v>COM-0006</x:v>
      </x:c>
      <x:c r="C317" s="12" t="str">
        <x:v>Expressed by / affects</x:v>
      </x:c>
      <x:c r="D317" s="12" t="n">
        <x:v>1</x:v>
      </x:c>
    </x:row>
    <x:row r="318">
      <x:c r="A318" s="12" t="str">
        <x:v>NEED-0145</x:v>
      </x:c>
      <x:c r="B318" s="12" t="str">
        <x:v>COM-0003</x:v>
      </x:c>
      <x:c r="C318" s="12" t="str">
        <x:v>Expressed by / affects</x:v>
      </x:c>
      <x:c r="D318" s="12" t="n">
        <x:v>1</x:v>
      </x:c>
    </x:row>
    <x:row r="319">
      <x:c r="A319" s="12" t="str">
        <x:v>NEED-0145</x:v>
      </x:c>
      <x:c r="B319" s="12" t="str">
        <x:v>COM-0006</x:v>
      </x:c>
      <x:c r="C319" s="12" t="str">
        <x:v>Expressed by / affects</x:v>
      </x:c>
      <x:c r="D319" s="12" t="n">
        <x:v>1</x:v>
      </x:c>
    </x:row>
    <x:row r="320">
      <x:c r="A320" s="12" t="str">
        <x:v>NEED-0145</x:v>
      </x:c>
      <x:c r="B320" s="12" t="str">
        <x:v>COM-0010</x:v>
      </x:c>
      <x:c r="C320" s="12" t="str">
        <x:v>Expressed by / affects</x:v>
      </x:c>
      <x:c r="D320" s="12" t="n">
        <x:v>2</x:v>
      </x:c>
    </x:row>
    <x:row r="321">
      <x:c r="A321" s="12" t="str">
        <x:v>NEED-0146</x:v>
      </x:c>
      <x:c r="B321" s="12" t="str">
        <x:v>COM-0005</x:v>
      </x:c>
      <x:c r="C321" s="12" t="str">
        <x:v>Expressed by / affects</x:v>
      </x:c>
      <x:c r="D321" s="12" t="n">
        <x:v>2</x:v>
      </x:c>
    </x:row>
    <x:row r="322">
      <x:c r="A322" s="12" t="str">
        <x:v>NEED-0147</x:v>
      </x:c>
      <x:c r="B322" s="12" t="str">
        <x:v>COM-0005</x:v>
      </x:c>
      <x:c r="C322" s="12" t="str">
        <x:v>Expressed by / affects</x:v>
      </x:c>
      <x:c r="D322" s="12" t="n">
        <x:v>2</x:v>
      </x:c>
    </x:row>
    <x:row r="323">
      <x:c r="A323" s="12" t="str">
        <x:v>NEED-0148</x:v>
      </x:c>
      <x:c r="B323" s="12" t="str">
        <x:v>COM-0005</x:v>
      </x:c>
      <x:c r="C323" s="12" t="str">
        <x:v>Expressed by / affects</x:v>
      </x:c>
      <x:c r="D323" s="12" t="n">
        <x:v>5</x:v>
      </x:c>
    </x:row>
    <x:row r="324">
      <x:c r="A324" s="12" t="str">
        <x:v>NEED-0149</x:v>
      </x:c>
      <x:c r="B324" s="12" t="str">
        <x:v>COM-0005</x:v>
      </x:c>
      <x:c r="C324" s="12" t="str">
        <x:v>Expressed by / affects</x:v>
      </x:c>
      <x:c r="D324" s="12" t="n">
        <x:v>1</x:v>
      </x:c>
    </x:row>
    <x:row r="325">
      <x:c r="A325" s="12" t="str">
        <x:v>NEED-0149</x:v>
      </x:c>
      <x:c r="B325" s="12" t="str">
        <x:v>COM-0008</x:v>
      </x:c>
      <x:c r="C325" s="12" t="str">
        <x:v>Expressed by / affects</x:v>
      </x:c>
      <x:c r="D325" s="12" t="n">
        <x:v>1</x:v>
      </x:c>
    </x:row>
    <x:row r="326">
      <x:c r="A326" s="12" t="str">
        <x:v>NEED-0150</x:v>
      </x:c>
      <x:c r="B326" s="12" t="str">
        <x:v>COM-0005</x:v>
      </x:c>
      <x:c r="C326" s="12" t="str">
        <x:v>Expressed by / affects</x:v>
      </x:c>
      <x:c r="D326" s="12" t="n">
        <x:v>1</x:v>
      </x:c>
    </x:row>
    <x:row r="327">
      <x:c r="A327" s="12" t="str">
        <x:v>NEED-0150</x:v>
      </x:c>
      <x:c r="B327" s="12" t="str">
        <x:v>COM-0011</x:v>
      </x:c>
      <x:c r="C327" s="12" t="str">
        <x:v>Expressed by / affects</x:v>
      </x:c>
      <x:c r="D327" s="12" t="n">
        <x:v>1</x:v>
      </x:c>
    </x:row>
    <x:row r="328">
      <x:c r="A328" s="12" t="str">
        <x:v>NEED-0151</x:v>
      </x:c>
      <x:c r="B328" s="12" t="str">
        <x:v>COM-0005</x:v>
      </x:c>
      <x:c r="C328" s="12" t="str">
        <x:v>Expressed by / affects</x:v>
      </x:c>
      <x:c r="D328" s="12" t="n">
        <x:v>2</x:v>
      </x:c>
    </x:row>
    <x:row r="329">
      <x:c r="A329" s="12" t="str">
        <x:v>NEED-0152</x:v>
      </x:c>
      <x:c r="B329" s="12" t="str">
        <x:v>COM-0005</x:v>
      </x:c>
      <x:c r="C329" s="12" t="str">
        <x:v>Expressed by / affects</x:v>
      </x:c>
      <x:c r="D329" s="12" t="n">
        <x:v>2</x:v>
      </x:c>
    </x:row>
    <x:row r="330">
      <x:c r="A330" s="12" t="str">
        <x:v>NEED-0153</x:v>
      </x:c>
      <x:c r="B330" s="12" t="str">
        <x:v>COM-0005</x:v>
      </x:c>
      <x:c r="C330" s="12" t="str">
        <x:v>Expressed by / affects</x:v>
      </x:c>
      <x:c r="D330" s="12" t="n">
        <x:v>2</x:v>
      </x:c>
    </x:row>
    <x:row r="331">
      <x:c r="A331" s="12" t="str">
        <x:v>NEED-0154</x:v>
      </x:c>
      <x:c r="B331" s="12" t="str">
        <x:v>COM-0001</x:v>
      </x:c>
      <x:c r="C331" s="12" t="str">
        <x:v>Expressed by / affects</x:v>
      </x:c>
      <x:c r="D331" s="12" t="n">
        <x:v>1</x:v>
      </x:c>
    </x:row>
    <x:row r="332">
      <x:c r="A332" s="12" t="str">
        <x:v>NEED-0154</x:v>
      </x:c>
      <x:c r="B332" s="12" t="str">
        <x:v>COM-0005</x:v>
      </x:c>
      <x:c r="C332" s="12" t="str">
        <x:v>Expressed by / affects</x:v>
      </x:c>
      <x:c r="D332" s="12" t="n">
        <x:v>1</x:v>
      </x:c>
    </x:row>
    <x:row r="333">
      <x:c r="A333" s="12" t="str">
        <x:v>NEED-0155</x:v>
      </x:c>
      <x:c r="B333" s="12" t="str">
        <x:v>COM-0005</x:v>
      </x:c>
      <x:c r="C333" s="12" t="str">
        <x:v>Expressed by / affects</x:v>
      </x:c>
      <x:c r="D333" s="12" t="n">
        <x:v>1</x:v>
      </x:c>
    </x:row>
    <x:row r="334">
      <x:c r="A334" s="12" t="str">
        <x:v>NEED-0156</x:v>
      </x:c>
      <x:c r="B334" s="12" t="str">
        <x:v>COM-0005</x:v>
      </x:c>
      <x:c r="C334" s="12" t="str">
        <x:v>Expressed by / affects</x:v>
      </x:c>
      <x:c r="D334" s="12" t="n">
        <x:v>1</x:v>
      </x:c>
    </x:row>
    <x:row r="335">
      <x:c r="A335" s="12" t="str">
        <x:v>NEED-0157</x:v>
      </x:c>
      <x:c r="B335" s="12" t="str">
        <x:v>COM-0005</x:v>
      </x:c>
      <x:c r="C335" s="12" t="str">
        <x:v>Expressed by / affects</x:v>
      </x:c>
      <x:c r="D335" s="12" t="n">
        <x:v>2</x:v>
      </x:c>
    </x:row>
    <x:row r="336">
      <x:c r="A336" s="12" t="str">
        <x:v>NEED-0158</x:v>
      </x:c>
      <x:c r="B336" s="12" t="str">
        <x:v>COM-0003</x:v>
      </x:c>
      <x:c r="C336" s="12" t="str">
        <x:v>Expressed by / affects</x:v>
      </x:c>
      <x:c r="D336" s="12" t="n">
        <x:v>2</x:v>
      </x:c>
    </x:row>
    <x:row r="337">
      <x:c r="A337" s="12" t="str">
        <x:v>NEED-0159</x:v>
      </x:c>
      <x:c r="B337" s="12" t="str">
        <x:v>COM-0005</x:v>
      </x:c>
      <x:c r="C337" s="12" t="str">
        <x:v>Expressed by / affects</x:v>
      </x:c>
      <x:c r="D337" s="12" t="n">
        <x:v>1</x:v>
      </x:c>
    </x:row>
    <x:row r="338">
      <x:c r="A338" s="12" t="str">
        <x:v>NEED-0160</x:v>
      </x:c>
      <x:c r="B338" s="12" t="str">
        <x:v>COM-0005</x:v>
      </x:c>
      <x:c r="C338" s="12" t="str">
        <x:v>Expressed by / affects</x:v>
      </x:c>
      <x:c r="D338" s="12" t="n">
        <x:v>3</x:v>
      </x:c>
    </x:row>
    <x:row r="339">
      <x:c r="A339" s="12" t="str">
        <x:v>NEED-0161</x:v>
      </x:c>
      <x:c r="B339" s="12" t="str">
        <x:v>COM-0005</x:v>
      </x:c>
      <x:c r="C339" s="12" t="str">
        <x:v>Expressed by / affects</x:v>
      </x:c>
      <x:c r="D339" s="12" t="n">
        <x:v>1</x:v>
      </x:c>
    </x:row>
    <x:row r="340">
      <x:c r="A340" s="12" t="str">
        <x:v>NEED-0162</x:v>
      </x:c>
      <x:c r="B340" s="12" t="str">
        <x:v>COM-0005</x:v>
      </x:c>
      <x:c r="C340" s="12" t="str">
        <x:v>Expressed by / affects</x:v>
      </x:c>
      <x:c r="D340" s="12" t="n">
        <x:v>1</x:v>
      </x:c>
    </x:row>
    <x:row r="341">
      <x:c r="A341" s="12" t="str">
        <x:v>NEED-0163</x:v>
      </x:c>
      <x:c r="B341" s="12" t="str">
        <x:v>COM-0005</x:v>
      </x:c>
      <x:c r="C341" s="12" t="str">
        <x:v>Expressed by / affects</x:v>
      </x:c>
      <x:c r="D341" s="12" t="n">
        <x:v>1</x:v>
      </x:c>
    </x:row>
    <x:row r="342">
      <x:c r="A342" s="12" t="str">
        <x:v>NEED-0164</x:v>
      </x:c>
      <x:c r="B342" s="12" t="str">
        <x:v>COM-0005</x:v>
      </x:c>
      <x:c r="C342" s="12" t="str">
        <x:v>Expressed by / affects</x:v>
      </x:c>
      <x:c r="D342" s="12" t="n">
        <x:v>1</x:v>
      </x:c>
    </x:row>
    <x:row r="343">
      <x:c r="A343" s="12" t="str">
        <x:v>NEED-0165</x:v>
      </x:c>
      <x:c r="B343" s="12" t="str">
        <x:v>COM-0003</x:v>
      </x:c>
      <x:c r="C343" s="12" t="str">
        <x:v>Expressed by / affects</x:v>
      </x:c>
      <x:c r="D343" s="12" t="n">
        <x:v>1</x:v>
      </x:c>
    </x:row>
    <x:row r="344">
      <x:c r="A344" s="12" t="str">
        <x:v>NEED-0165</x:v>
      </x:c>
      <x:c r="B344" s="12" t="str">
        <x:v>COM-0005</x:v>
      </x:c>
      <x:c r="C344" s="12" t="str">
        <x:v>Expressed by / affects</x:v>
      </x:c>
      <x:c r="D344" s="12" t="n">
        <x:v>2</x:v>
      </x:c>
    </x:row>
    <x:row r="345">
      <x:c r="A345" s="12" t="str">
        <x:v>NEED-0165</x:v>
      </x:c>
      <x:c r="B345" s="12" t="str">
        <x:v>COM-0008</x:v>
      </x:c>
      <x:c r="C345" s="12" t="str">
        <x:v>Expressed by / affects</x:v>
      </x:c>
      <x:c r="D345" s="12" t="n">
        <x:v>1</x:v>
      </x:c>
    </x:row>
    <x:row r="346">
      <x:c r="A346" s="12" t="str">
        <x:v>NEED-0166</x:v>
      </x:c>
      <x:c r="B346" s="12" t="str">
        <x:v>COM-0005</x:v>
      </x:c>
      <x:c r="C346" s="12" t="str">
        <x:v>Expressed by / affects</x:v>
      </x:c>
      <x:c r="D346" s="12" t="n">
        <x:v>2</x:v>
      </x:c>
    </x:row>
    <x:row r="347">
      <x:c r="A347" s="12" t="str">
        <x:v>NEED-0167</x:v>
      </x:c>
      <x:c r="B347" s="12" t="str">
        <x:v>COM-0003</x:v>
      </x:c>
      <x:c r="C347" s="12" t="str">
        <x:v>Expressed by / affects</x:v>
      </x:c>
      <x:c r="D347" s="12" t="n">
        <x:v>1</x:v>
      </x:c>
    </x:row>
    <x:row r="348">
      <x:c r="A348" s="12" t="str">
        <x:v>NEED-0167</x:v>
      </x:c>
      <x:c r="B348" s="12" t="str">
        <x:v>COM-0005</x:v>
      </x:c>
      <x:c r="C348" s="12" t="str">
        <x:v>Expressed by / affects</x:v>
      </x:c>
      <x:c r="D348" s="12" t="n">
        <x:v>4</x:v>
      </x:c>
    </x:row>
    <x:row r="349">
      <x:c r="A349" s="12" t="str">
        <x:v>NEED-0167</x:v>
      </x:c>
      <x:c r="B349" s="12" t="str">
        <x:v>COM-0006</x:v>
      </x:c>
      <x:c r="C349" s="12" t="str">
        <x:v>Expressed by / affects</x:v>
      </x:c>
      <x:c r="D349" s="12" t="n">
        <x:v>1</x:v>
      </x:c>
    </x:row>
    <x:row r="350">
      <x:c r="A350" s="12" t="str">
        <x:v>NEED-0167</x:v>
      </x:c>
      <x:c r="B350" s="12" t="str">
        <x:v>COM-0007</x:v>
      </x:c>
      <x:c r="C350" s="12" t="str">
        <x:v>Expressed by / affects</x:v>
      </x:c>
      <x:c r="D350" s="12" t="n">
        <x:v>1</x:v>
      </x:c>
    </x:row>
    <x:row r="351">
      <x:c r="A351" s="12" t="str">
        <x:v>NEED-0168</x:v>
      </x:c>
      <x:c r="B351" s="12" t="str">
        <x:v>COM-0001</x:v>
      </x:c>
      <x:c r="C351" s="12" t="str">
        <x:v>Expressed by / affects</x:v>
      </x:c>
      <x:c r="D351" s="12" t="n">
        <x:v>1</x:v>
      </x:c>
    </x:row>
    <x:row r="352">
      <x:c r="A352" s="12" t="str">
        <x:v>NEED-0168</x:v>
      </x:c>
      <x:c r="B352" s="12" t="str">
        <x:v>COM-0005</x:v>
      </x:c>
      <x:c r="C352" s="12" t="str">
        <x:v>Expressed by / affects</x:v>
      </x:c>
      <x:c r="D352" s="12" t="n">
        <x:v>3</x:v>
      </x:c>
    </x:row>
    <x:row r="353">
      <x:c r="A353" s="12" t="str">
        <x:v>NEED-0169</x:v>
      </x:c>
      <x:c r="B353" s="12" t="str">
        <x:v>COM-0005</x:v>
      </x:c>
      <x:c r="C353" s="12" t="str">
        <x:v>Expressed by / affects</x:v>
      </x:c>
      <x:c r="D353" s="12" t="n">
        <x:v>4</x:v>
      </x:c>
    </x:row>
    <x:row r="354">
      <x:c r="A354" s="12" t="str">
        <x:v>NEED-0170</x:v>
      </x:c>
      <x:c r="B354" s="12" t="str">
        <x:v>COM-0004</x:v>
      </x:c>
      <x:c r="C354" s="12" t="str">
        <x:v>Expressed by / affects</x:v>
      </x:c>
      <x:c r="D354" s="12" t="n">
        <x:v>1</x:v>
      </x:c>
    </x:row>
    <x:row r="355">
      <x:c r="A355" s="12" t="str">
        <x:v>NEED-0170</x:v>
      </x:c>
      <x:c r="B355" s="12" t="str">
        <x:v>COM-0005</x:v>
      </x:c>
      <x:c r="C355" s="12" t="str">
        <x:v>Expressed by / affects</x:v>
      </x:c>
      <x:c r="D355" s="12" t="n">
        <x:v>1</x:v>
      </x:c>
    </x:row>
    <x:row r="356">
      <x:c r="A356" s="12" t="str">
        <x:v>NEED-0170</x:v>
      </x:c>
      <x:c r="B356" s="12" t="str">
        <x:v>COM-0007</x:v>
      </x:c>
      <x:c r="C356" s="12" t="str">
        <x:v>Expressed by / affects</x:v>
      </x:c>
      <x:c r="D356" s="12" t="n">
        <x:v>1</x:v>
      </x:c>
    </x:row>
    <x:row r="357">
      <x:c r="A357" s="12" t="str">
        <x:v>NEED-0170</x:v>
      </x:c>
      <x:c r="B357" s="12" t="str">
        <x:v>COM-0010</x:v>
      </x:c>
      <x:c r="C357" s="12" t="str">
        <x:v>Expressed by / affects</x:v>
      </x:c>
      <x:c r="D357" s="12" t="n">
        <x:v>1</x:v>
      </x:c>
    </x:row>
    <x:row r="358">
      <x:c r="A358" s="12" t="str">
        <x:v>NEED-0171</x:v>
      </x:c>
      <x:c r="B358" s="12" t="str">
        <x:v>COM-0001</x:v>
      </x:c>
      <x:c r="C358" s="12" t="str">
        <x:v>Expressed by / affects</x:v>
      </x:c>
      <x:c r="D358" s="12" t="n">
        <x:v>1</x:v>
      </x:c>
    </x:row>
    <x:row r="359">
      <x:c r="A359" s="12" t="str">
        <x:v>NEED-0171</x:v>
      </x:c>
      <x:c r="B359" s="12" t="str">
        <x:v>COM-0003</x:v>
      </x:c>
      <x:c r="C359" s="12" t="str">
        <x:v>Expressed by / affects</x:v>
      </x:c>
      <x:c r="D359" s="12" t="n">
        <x:v>1</x:v>
      </x:c>
    </x:row>
    <x:row r="360">
      <x:c r="A360" s="12" t="str">
        <x:v>NEED-0171</x:v>
      </x:c>
      <x:c r="B360" s="12" t="str">
        <x:v>COM-0005</x:v>
      </x:c>
      <x:c r="C360" s="12" t="str">
        <x:v>Expressed by / affects</x:v>
      </x:c>
      <x:c r="D360" s="12" t="n">
        <x:v>3</x:v>
      </x:c>
    </x:row>
    <x:row r="361">
      <x:c r="A361" s="12" t="str">
        <x:v>NEED-0172</x:v>
      </x:c>
      <x:c r="B361" s="12" t="str">
        <x:v>COM-0005</x:v>
      </x:c>
      <x:c r="C361" s="12" t="str">
        <x:v>Expressed by / affects</x:v>
      </x:c>
      <x:c r="D361" s="12" t="n">
        <x:v>3</x:v>
      </x:c>
    </x:row>
    <x:row r="362">
      <x:c r="A362" s="12" t="str">
        <x:v>NEED-0173</x:v>
      </x:c>
      <x:c r="B362" s="12" t="str">
        <x:v>COM-0003</x:v>
      </x:c>
      <x:c r="C362" s="12" t="str">
        <x:v>Expressed by / affects</x:v>
      </x:c>
      <x:c r="D362" s="12" t="n">
        <x:v>1</x:v>
      </x:c>
    </x:row>
    <x:row r="363">
      <x:c r="A363" s="12" t="str">
        <x:v>NEED-0173</x:v>
      </x:c>
      <x:c r="B363" s="12" t="str">
        <x:v>COM-0005</x:v>
      </x:c>
      <x:c r="C363" s="12" t="str">
        <x:v>Expressed by / affects</x:v>
      </x:c>
      <x:c r="D363" s="12" t="n">
        <x:v>7</x:v>
      </x:c>
    </x:row>
    <x:row r="364">
      <x:c r="A364" s="12" t="str">
        <x:v>NEED-0173</x:v>
      </x:c>
      <x:c r="B364" s="12" t="str">
        <x:v>COM-0006</x:v>
      </x:c>
      <x:c r="C364" s="12" t="str">
        <x:v>Expressed by / affects</x:v>
      </x:c>
      <x:c r="D364" s="12" t="n">
        <x:v>1</x:v>
      </x:c>
    </x:row>
    <x:row r="365">
      <x:c r="A365" s="12" t="str">
        <x:v>NEED-0174</x:v>
      </x:c>
      <x:c r="B365" s="12" t="str">
        <x:v>COM-0003</x:v>
      </x:c>
      <x:c r="C365" s="12" t="str">
        <x:v>Expressed by / affects</x:v>
      </x:c>
      <x:c r="D365" s="12" t="n">
        <x:v>1</x:v>
      </x:c>
    </x:row>
    <x:row r="366">
      <x:c r="A366" s="12" t="str">
        <x:v>NEED-0174</x:v>
      </x:c>
      <x:c r="B366" s="12" t="str">
        <x:v>COM-0005</x:v>
      </x:c>
      <x:c r="C366" s="12" t="str">
        <x:v>Expressed by / affects</x:v>
      </x:c>
      <x:c r="D366" s="12" t="n">
        <x:v>1</x:v>
      </x:c>
    </x:row>
    <x:row r="367">
      <x:c r="A367" s="12" t="str">
        <x:v>NEED-0175</x:v>
      </x:c>
      <x:c r="B367" s="12" t="str">
        <x:v>COM-0004</x:v>
      </x:c>
      <x:c r="C367" s="12" t="str">
        <x:v>Expressed by / affects</x:v>
      </x:c>
      <x:c r="D367" s="12" t="n">
        <x:v>1</x:v>
      </x:c>
    </x:row>
    <x:row r="368">
      <x:c r="A368" s="12" t="str">
        <x:v>NEED-0175</x:v>
      </x:c>
      <x:c r="B368" s="12" t="str">
        <x:v>COM-0007</x:v>
      </x:c>
      <x:c r="C368" s="12" t="str">
        <x:v>Expressed by / affects</x:v>
      </x:c>
      <x:c r="D368" s="12" t="n">
        <x:v>3</x:v>
      </x:c>
    </x:row>
    <x:row r="369">
      <x:c r="A369" s="12" t="str">
        <x:v>NEED-0176</x:v>
      </x:c>
      <x:c r="B369" s="12" t="str">
        <x:v>COM-0005</x:v>
      </x:c>
      <x:c r="C369" s="12" t="str">
        <x:v>Expressed by / affects</x:v>
      </x:c>
      <x:c r="D369" s="12" t="n">
        <x:v>4</x:v>
      </x:c>
    </x:row>
    <x:row r="370">
      <x:c r="A370" s="12" t="str">
        <x:v>NEED-0176</x:v>
      </x:c>
      <x:c r="B370" s="12" t="str">
        <x:v>COM-0008</x:v>
      </x:c>
      <x:c r="C370" s="12" t="str">
        <x:v>Expressed by / affects</x:v>
      </x:c>
      <x:c r="D370" s="12" t="n">
        <x:v>1</x:v>
      </x:c>
    </x:row>
    <x:row r="371">
      <x:c r="A371" s="12" t="str">
        <x:v>NEED-0176</x:v>
      </x:c>
      <x:c r="B371" s="12" t="str">
        <x:v>COM-0011</x:v>
      </x:c>
      <x:c r="C371" s="12" t="str">
        <x:v>Expressed by / affects</x:v>
      </x:c>
      <x:c r="D371" s="12" t="n">
        <x:v>2</x:v>
      </x:c>
    </x:row>
    <x:row r="372">
      <x:c r="A372" s="12" t="str">
        <x:v>NEED-0177</x:v>
      </x:c>
      <x:c r="B372" s="12" t="str">
        <x:v>COM-0001</x:v>
      </x:c>
      <x:c r="C372" s="12" t="str">
        <x:v>Expressed by / affects</x:v>
      </x:c>
      <x:c r="D372" s="12" t="n">
        <x:v>1</x:v>
      </x:c>
    </x:row>
    <x:row r="373">
      <x:c r="A373" s="12" t="str">
        <x:v>NEED-0177</x:v>
      </x:c>
      <x:c r="B373" s="12" t="str">
        <x:v>COM-0003</x:v>
      </x:c>
      <x:c r="C373" s="12" t="str">
        <x:v>Expressed by / affects</x:v>
      </x:c>
      <x:c r="D373" s="12" t="n">
        <x:v>2</x:v>
      </x:c>
    </x:row>
    <x:row r="374">
      <x:c r="A374" s="12" t="str">
        <x:v>NEED-0177</x:v>
      </x:c>
      <x:c r="B374" s="12" t="str">
        <x:v>COM-0004</x:v>
      </x:c>
      <x:c r="C374" s="12" t="str">
        <x:v>Expressed by / affects</x:v>
      </x:c>
      <x:c r="D374" s="12" t="n">
        <x:v>1</x:v>
      </x:c>
    </x:row>
    <x:row r="375">
      <x:c r="A375" s="12" t="str">
        <x:v>NEED-0178</x:v>
      </x:c>
      <x:c r="B375" s="12" t="str">
        <x:v>COM-0001</x:v>
      </x:c>
      <x:c r="C375" s="12" t="str">
        <x:v>Expressed by / affects</x:v>
      </x:c>
      <x:c r="D375" s="12" t="n">
        <x:v>1</x:v>
      </x:c>
    </x:row>
    <x:row r="376">
      <x:c r="A376" s="12" t="str">
        <x:v>NEED-0178</x:v>
      </x:c>
      <x:c r="B376" s="12" t="str">
        <x:v>COM-0003</x:v>
      </x:c>
      <x:c r="C376" s="12" t="str">
        <x:v>Expressed by / affects</x:v>
      </x:c>
      <x:c r="D376" s="12" t="n">
        <x:v>1</x:v>
      </x:c>
    </x:row>
    <x:row r="377">
      <x:c r="A377" s="12" t="str">
        <x:v>NEED-0178</x:v>
      </x:c>
      <x:c r="B377" s="12" t="str">
        <x:v>COM-0005</x:v>
      </x:c>
      <x:c r="C377" s="12" t="str">
        <x:v>Expressed by / affects</x:v>
      </x:c>
      <x:c r="D377" s="12" t="n">
        <x:v>1</x:v>
      </x:c>
    </x:row>
    <x:row r="378">
      <x:c r="A378" s="12" t="str">
        <x:v>NEED-0178</x:v>
      </x:c>
      <x:c r="B378" s="12" t="str">
        <x:v>COM-0011</x:v>
      </x:c>
      <x:c r="C378" s="12" t="str">
        <x:v>Expressed by / affects</x:v>
      </x:c>
      <x:c r="D378" s="12" t="n">
        <x:v>1</x:v>
      </x:c>
    </x:row>
    <x:row r="379">
      <x:c r="A379" s="12" t="str">
        <x:v>NEED-0179</x:v>
      </x:c>
      <x:c r="B379" s="12" t="str">
        <x:v>COM-0003</x:v>
      </x:c>
      <x:c r="C379" s="12" t="str">
        <x:v>Expressed by / affects</x:v>
      </x:c>
      <x:c r="D379" s="12" t="n">
        <x:v>1</x:v>
      </x:c>
    </x:row>
    <x:row r="380">
      <x:c r="A380" s="12" t="str">
        <x:v>NEED-0179</x:v>
      </x:c>
      <x:c r="B380" s="12" t="str">
        <x:v>COM-0004</x:v>
      </x:c>
      <x:c r="C380" s="12" t="str">
        <x:v>Expressed by / affects</x:v>
      </x:c>
      <x:c r="D380" s="12" t="n">
        <x:v>1</x:v>
      </x:c>
    </x:row>
    <x:row r="381">
      <x:c r="A381" s="12" t="str">
        <x:v>NEED-0179</x:v>
      </x:c>
      <x:c r="B381" s="12" t="str">
        <x:v>COM-0005</x:v>
      </x:c>
      <x:c r="C381" s="12" t="str">
        <x:v>Expressed by / affects</x:v>
      </x:c>
      <x:c r="D381" s="12" t="n">
        <x:v>1</x:v>
      </x:c>
    </x:row>
    <x:row r="382">
      <x:c r="A382" s="12" t="str">
        <x:v>NEED-0180</x:v>
      </x:c>
      <x:c r="B382" s="12" t="str">
        <x:v>COM-0005</x:v>
      </x:c>
      <x:c r="C382" s="12" t="str">
        <x:v>Expressed by / affects</x:v>
      </x:c>
      <x:c r="D382" s="12" t="n">
        <x:v>2</x:v>
      </x:c>
    </x:row>
    <x:row r="383">
      <x:c r="A383" s="12" t="str">
        <x:v>NEED-0181</x:v>
      </x:c>
      <x:c r="B383" s="12" t="str">
        <x:v>COM-0003</x:v>
      </x:c>
      <x:c r="C383" s="12" t="str">
        <x:v>Expressed by / affects</x:v>
      </x:c>
      <x:c r="D383" s="12" t="n">
        <x:v>1</x:v>
      </x:c>
    </x:row>
    <x:row r="384">
      <x:c r="A384" s="12" t="str">
        <x:v>NEED-0181</x:v>
      </x:c>
      <x:c r="B384" s="12" t="str">
        <x:v>COM-0005</x:v>
      </x:c>
      <x:c r="C384" s="12" t="str">
        <x:v>Expressed by / affects</x:v>
      </x:c>
      <x:c r="D384" s="12" t="n">
        <x:v>2</x:v>
      </x:c>
    </x:row>
    <x:row r="385">
      <x:c r="A385" s="12" t="str">
        <x:v>NEED-0182</x:v>
      </x:c>
      <x:c r="B385" s="12" t="str">
        <x:v>COM-0003</x:v>
      </x:c>
      <x:c r="C385" s="12" t="str">
        <x:v>Expressed by / affects</x:v>
      </x:c>
      <x:c r="D385" s="12" t="n">
        <x:v>1</x:v>
      </x:c>
    </x:row>
    <x:row r="386">
      <x:c r="A386" s="12" t="str">
        <x:v>NEED-0182</x:v>
      </x:c>
      <x:c r="B386" s="12" t="str">
        <x:v>COM-0011</x:v>
      </x:c>
      <x:c r="C386" s="12" t="str">
        <x:v>Expressed by / affects</x:v>
      </x:c>
      <x:c r="D386" s="12" t="n">
        <x:v>3</x:v>
      </x:c>
    </x:row>
    <x:row r="387">
      <x:c r="A387" s="12" t="str">
        <x:v>NEED-0183</x:v>
      </x:c>
      <x:c r="B387" s="12" t="str">
        <x:v>COM-0005</x:v>
      </x:c>
      <x:c r="C387" s="12" t="str">
        <x:v>Expressed by / affects</x:v>
      </x:c>
      <x:c r="D387" s="12" t="n">
        <x:v>1</x:v>
      </x:c>
    </x:row>
    <x:row r="388">
      <x:c r="A388" s="12" t="str">
        <x:v>NEED-0184</x:v>
      </x:c>
      <x:c r="B388" s="12" t="str">
        <x:v>COM-0006</x:v>
      </x:c>
      <x:c r="C388" s="12" t="str">
        <x:v>Expressed by / affects</x:v>
      </x:c>
      <x:c r="D388" s="12" t="n">
        <x:v>1</x:v>
      </x:c>
    </x:row>
    <x:row r="389">
      <x:c r="A389" s="12" t="str">
        <x:v>NEED-0185</x:v>
      </x:c>
      <x:c r="B389" s="12" t="str">
        <x:v>COM-0007</x:v>
      </x:c>
      <x:c r="C389" s="12" t="str">
        <x:v>Expressed by / affects</x:v>
      </x:c>
      <x:c r="D389" s="12" t="n">
        <x:v>1</x:v>
      </x:c>
    </x:row>
    <x:row r="390">
      <x:c r="A390" s="12" t="str">
        <x:v>NEED-0186</x:v>
      </x:c>
      <x:c r="B390" s="12" t="str">
        <x:v>COM-0004</x:v>
      </x:c>
      <x:c r="C390" s="12" t="str">
        <x:v>Expressed by / affects</x:v>
      </x:c>
      <x:c r="D390" s="12" t="n">
        <x:v>1</x:v>
      </x:c>
    </x:row>
    <x:row r="391">
      <x:c r="A391" s="12" t="str">
        <x:v>NEED-0186</x:v>
      </x:c>
      <x:c r="B391" s="12" t="str">
        <x:v>COM-0005</x:v>
      </x:c>
      <x:c r="C391" s="12" t="str">
        <x:v>Expressed by / affects</x:v>
      </x:c>
      <x:c r="D391" s="12" t="n">
        <x:v>1</x:v>
      </x:c>
    </x:row>
    <x:row r="392">
      <x:c r="A392" s="12" t="str">
        <x:v>NEED-0186</x:v>
      </x:c>
      <x:c r="B392" s="12" t="str">
        <x:v>COM-0011</x:v>
      </x:c>
      <x:c r="C392" s="12" t="str">
        <x:v>Expressed by / affects</x:v>
      </x:c>
      <x:c r="D392" s="12" t="n">
        <x:v>1</x:v>
      </x:c>
    </x:row>
    <x:row r="393">
      <x:c r="A393" s="12" t="str">
        <x:v>NEED-0187</x:v>
      </x:c>
      <x:c r="B393" s="12" t="str">
        <x:v>COM-0005</x:v>
      </x:c>
      <x:c r="C393" s="12" t="str">
        <x:v>Expressed by / affects</x:v>
      </x:c>
      <x:c r="D393" s="12" t="n">
        <x:v>3</x:v>
      </x:c>
    </x:row>
    <x:row r="394">
      <x:c r="A394" s="12" t="str">
        <x:v>NEED-0188</x:v>
      </x:c>
      <x:c r="B394" s="12" t="str">
        <x:v>COM-0005</x:v>
      </x:c>
      <x:c r="C394" s="12" t="str">
        <x:v>Expressed by / affects</x:v>
      </x:c>
      <x:c r="D394" s="12" t="n">
        <x:v>2</x:v>
      </x:c>
    </x:row>
    <x:row r="395">
      <x:c r="A395" s="12" t="str">
        <x:v>NEED-0189</x:v>
      </x:c>
      <x:c r="B395" s="12" t="str">
        <x:v>COM-0003</x:v>
      </x:c>
      <x:c r="C395" s="12" t="str">
        <x:v>Expressed by / affects</x:v>
      </x:c>
      <x:c r="D395" s="12" t="n">
        <x:v>1</x:v>
      </x:c>
    </x:row>
    <x:row r="396">
      <x:c r="A396" s="12" t="str">
        <x:v>NEED-0189</x:v>
      </x:c>
      <x:c r="B396" s="12" t="str">
        <x:v>COM-0004</x:v>
      </x:c>
      <x:c r="C396" s="12" t="str">
        <x:v>Expressed by / affects</x:v>
      </x:c>
      <x:c r="D396" s="12" t="n">
        <x:v>1</x:v>
      </x:c>
    </x:row>
    <x:row r="397">
      <x:c r="A397" s="12" t="str">
        <x:v>NEED-0189</x:v>
      </x:c>
      <x:c r="B397" s="12" t="str">
        <x:v>COM-0005</x:v>
      </x:c>
      <x:c r="C397" s="12" t="str">
        <x:v>Expressed by / affects</x:v>
      </x:c>
      <x:c r="D397" s="12" t="n">
        <x:v>1</x:v>
      </x:c>
    </x:row>
    <x:row r="398">
      <x:c r="A398" s="12" t="str">
        <x:v>NEED-0190</x:v>
      </x:c>
      <x:c r="B398" s="12" t="str">
        <x:v>COM-0005</x:v>
      </x:c>
      <x:c r="C398" s="12" t="str">
        <x:v>Expressed by / affects</x:v>
      </x:c>
      <x:c r="D398" s="12" t="n">
        <x:v>9</x:v>
      </x:c>
    </x:row>
    <x:row r="399">
      <x:c r="A399" s="12" t="str">
        <x:v>NEED-0190</x:v>
      </x:c>
      <x:c r="B399" s="12" t="str">
        <x:v>COM-0010</x:v>
      </x:c>
      <x:c r="C399" s="12" t="str">
        <x:v>Expressed by / affects</x:v>
      </x:c>
      <x:c r="D399" s="12" t="n">
        <x:v>1</x:v>
      </x:c>
    </x:row>
    <x:row r="400">
      <x:c r="A400" s="12" t="str">
        <x:v>NEED-0191</x:v>
      </x:c>
      <x:c r="B400" s="12" t="str">
        <x:v>COM-0005</x:v>
      </x:c>
      <x:c r="C400" s="12" t="str">
        <x:v>Expressed by / affects</x:v>
      </x:c>
      <x:c r="D400" s="12" t="n">
        <x:v>1</x:v>
      </x:c>
    </x:row>
    <x:row r="401">
      <x:c r="A401" s="12" t="str">
        <x:v>NEED-0192</x:v>
      </x:c>
      <x:c r="B401" s="12" t="str">
        <x:v>COM-0006</x:v>
      </x:c>
      <x:c r="C401" s="12" t="str">
        <x:v>Expressed by / affects</x:v>
      </x:c>
      <x:c r="D401" s="12" t="n">
        <x:v>2</x:v>
      </x:c>
    </x:row>
    <x:row r="402">
      <x:c r="A402" s="12" t="str">
        <x:v>NEED-0192</x:v>
      </x:c>
      <x:c r="B402" s="12" t="str">
        <x:v>COM-0007</x:v>
      </x:c>
      <x:c r="C402" s="12" t="str">
        <x:v>Expressed by / affects</x:v>
      </x:c>
      <x:c r="D402" s="12" t="n">
        <x:v>1</x:v>
      </x:c>
    </x:row>
    <x:row r="403">
      <x:c r="A403" s="12" t="str">
        <x:v>NEED-0193</x:v>
      </x:c>
      <x:c r="B403" s="12" t="str">
        <x:v>COM-0001</x:v>
      </x:c>
      <x:c r="C403" s="12" t="str">
        <x:v>Expressed by / affects</x:v>
      </x:c>
      <x:c r="D403" s="12" t="n">
        <x:v>2</x:v>
      </x:c>
    </x:row>
    <x:row r="404">
      <x:c r="A404" s="12" t="str">
        <x:v>NEED-0193</x:v>
      </x:c>
      <x:c r="B404" s="12" t="str">
        <x:v>COM-0006</x:v>
      </x:c>
      <x:c r="C404" s="12" t="str">
        <x:v>Expressed by / affects</x:v>
      </x:c>
      <x:c r="D404" s="12" t="n">
        <x:v>5</x:v>
      </x:c>
    </x:row>
    <x:row r="405">
      <x:c r="A405" s="12" t="str">
        <x:v>NEED-0194</x:v>
      </x:c>
      <x:c r="B405" s="12" t="str">
        <x:v>COM-0006</x:v>
      </x:c>
      <x:c r="C405" s="12" t="str">
        <x:v>Expressed by / affects</x:v>
      </x:c>
      <x:c r="D405" s="12" t="n">
        <x:v>3</x:v>
      </x:c>
    </x:row>
    <x:row r="406">
      <x:c r="A406" s="12" t="str">
        <x:v>NEED-0194</x:v>
      </x:c>
      <x:c r="B406" s="12" t="str">
        <x:v>COM-0007</x:v>
      </x:c>
      <x:c r="C406" s="12" t="str">
        <x:v>Expressed by / affects</x:v>
      </x:c>
      <x:c r="D406" s="12" t="n">
        <x:v>1</x:v>
      </x:c>
    </x:row>
    <x:row r="407">
      <x:c r="A407" s="12" t="str">
        <x:v>NEED-0195</x:v>
      </x:c>
      <x:c r="B407" s="12" t="str">
        <x:v>COM-0005</x:v>
      </x:c>
      <x:c r="C407" s="12" t="str">
        <x:v>Expressed by / affects</x:v>
      </x:c>
      <x:c r="D407" s="12" t="n">
        <x:v>1</x:v>
      </x:c>
    </x:row>
    <x:row r="408">
      <x:c r="A408" s="12" t="str">
        <x:v>NEED-0195</x:v>
      </x:c>
      <x:c r="B408" s="12" t="str">
        <x:v>COM-0006</x:v>
      </x:c>
      <x:c r="C408" s="12" t="str">
        <x:v>Expressed by / affects</x:v>
      </x:c>
      <x:c r="D408" s="12" t="n">
        <x:v>1</x:v>
      </x:c>
    </x:row>
    <x:row r="409">
      <x:c r="A409" s="12" t="str">
        <x:v>NEED-0196</x:v>
      </x:c>
      <x:c r="B409" s="12" t="str">
        <x:v>COM-0003</x:v>
      </x:c>
      <x:c r="C409" s="12" t="str">
        <x:v>Expressed by / affects</x:v>
      </x:c>
      <x:c r="D409" s="12" t="n">
        <x:v>1</x:v>
      </x:c>
    </x:row>
    <x:row r="410">
      <x:c r="A410" s="12" t="str">
        <x:v>NEED-0196</x:v>
      </x:c>
      <x:c r="B410" s="12" t="str">
        <x:v>COM-0005</x:v>
      </x:c>
      <x:c r="C410" s="12" t="str">
        <x:v>Expressed by / affects</x:v>
      </x:c>
      <x:c r="D410" s="12" t="n">
        <x:v>2</x:v>
      </x:c>
    </x:row>
    <x:row r="411">
      <x:c r="A411" s="12" t="str">
        <x:v>NEED-0196</x:v>
      </x:c>
      <x:c r="B411" s="12" t="str">
        <x:v>COM-0010</x:v>
      </x:c>
      <x:c r="C411" s="12" t="str">
        <x:v>Expressed by / affects</x:v>
      </x:c>
      <x:c r="D411" s="12" t="n">
        <x:v>1</x:v>
      </x:c>
    </x:row>
    <x:row r="412">
      <x:c r="A412" s="12" t="str">
        <x:v>NEED-0196</x:v>
      </x:c>
      <x:c r="B412" s="12" t="str">
        <x:v>COM-0011</x:v>
      </x:c>
      <x:c r="C412" s="12" t="str">
        <x:v>Expressed by / affects</x:v>
      </x:c>
      <x:c r="D412" s="12" t="n">
        <x:v>1</x:v>
      </x:c>
    </x:row>
    <x:row r="413">
      <x:c r="A413" s="12" t="str">
        <x:v>NEED-0197</x:v>
      </x:c>
      <x:c r="B413" s="12" t="str">
        <x:v>COM-0006</x:v>
      </x:c>
      <x:c r="C413" s="12" t="str">
        <x:v>Expressed by / affects</x:v>
      </x:c>
      <x:c r="D413" s="12" t="n">
        <x:v>4</x:v>
      </x:c>
    </x:row>
    <x:row r="414">
      <x:c r="A414" s="12" t="str">
        <x:v>NEED-0198</x:v>
      </x:c>
      <x:c r="B414" s="12" t="str">
        <x:v>COM-0001</x:v>
      </x:c>
      <x:c r="C414" s="12" t="str">
        <x:v>Expressed by / affects</x:v>
      </x:c>
      <x:c r="D414" s="12" t="n">
        <x:v>1</x:v>
      </x:c>
    </x:row>
    <x:row r="415">
      <x:c r="A415" s="12" t="str">
        <x:v>NEED-0198</x:v>
      </x:c>
      <x:c r="B415" s="12" t="str">
        <x:v>COM-0006</x:v>
      </x:c>
      <x:c r="C415" s="12" t="str">
        <x:v>Expressed by / affects</x:v>
      </x:c>
      <x:c r="D415" s="12" t="n">
        <x:v>7</x:v>
      </x:c>
    </x:row>
    <x:row r="416">
      <x:c r="A416" s="12" t="str">
        <x:v>NEED-0198</x:v>
      </x:c>
      <x:c r="B416" s="12" t="str">
        <x:v>COM-0008</x:v>
      </x:c>
      <x:c r="C416" s="12" t="str">
        <x:v>Expressed by / affects</x:v>
      </x:c>
      <x:c r="D416" s="12" t="n">
        <x:v>1</x:v>
      </x:c>
    </x:row>
    <x:row r="417">
      <x:c r="A417" s="12" t="str">
        <x:v>NEED-0199</x:v>
      </x:c>
      <x:c r="B417" s="12" t="str">
        <x:v>COM-0006</x:v>
      </x:c>
      <x:c r="C417" s="12" t="str">
        <x:v>Expressed by / affects</x:v>
      </x:c>
      <x:c r="D417" s="12" t="n">
        <x:v>1</x:v>
      </x:c>
    </x:row>
    <x:row r="418">
      <x:c r="A418" s="12" t="str">
        <x:v>NEED-0200</x:v>
      </x:c>
      <x:c r="B418" s="12" t="str">
        <x:v>COM-0011</x:v>
      </x:c>
      <x:c r="C418" s="12" t="str">
        <x:v>Expressed by / affects</x:v>
      </x:c>
      <x:c r="D418" s="12" t="n">
        <x:v>1</x:v>
      </x:c>
    </x:row>
    <x:row r="419">
      <x:c r="A419" s="12" t="str">
        <x:v>NEED-0201</x:v>
      </x:c>
      <x:c r="B419" s="12" t="str">
        <x:v>COM-0006</x:v>
      </x:c>
      <x:c r="C419" s="12" t="str">
        <x:v>Expressed by / affects</x:v>
      </x:c>
      <x:c r="D419" s="12" t="n">
        <x:v>6</x:v>
      </x:c>
    </x:row>
    <x:row r="420">
      <x:c r="A420" s="12" t="str">
        <x:v>NEED-0201</x:v>
      </x:c>
      <x:c r="B420" s="12" t="str">
        <x:v>COM-0010</x:v>
      </x:c>
      <x:c r="C420" s="12" t="str">
        <x:v>Expressed by / affects</x:v>
      </x:c>
      <x:c r="D420" s="12" t="n">
        <x:v>1</x:v>
      </x:c>
    </x:row>
    <x:row r="421">
      <x:c r="A421" s="12" t="str">
        <x:v>NEED-0201</x:v>
      </x:c>
      <x:c r="B421" s="12" t="str">
        <x:v>COM-0011</x:v>
      </x:c>
      <x:c r="C421" s="12" t="str">
        <x:v>Expressed by / affects</x:v>
      </x:c>
      <x:c r="D421" s="12" t="n">
        <x:v>1</x:v>
      </x:c>
    </x:row>
    <x:row r="422">
      <x:c r="A422" s="12" t="str">
        <x:v>NEED-0202</x:v>
      </x:c>
      <x:c r="B422" s="12" t="str">
        <x:v>COM-0006</x:v>
      </x:c>
      <x:c r="C422" s="12" t="str">
        <x:v>Expressed by / affects</x:v>
      </x:c>
      <x:c r="D422" s="12" t="n">
        <x:v>1</x:v>
      </x:c>
    </x:row>
    <x:row r="423">
      <x:c r="A423" s="12" t="str">
        <x:v>NEED-0203</x:v>
      </x:c>
      <x:c r="B423" s="12" t="str">
        <x:v>COM-0006</x:v>
      </x:c>
      <x:c r="C423" s="12" t="str">
        <x:v>Expressed by / affects</x:v>
      </x:c>
      <x:c r="D423" s="12" t="n">
        <x:v>1</x:v>
      </x:c>
    </x:row>
    <x:row r="424">
      <x:c r="A424" s="12" t="str">
        <x:v>NEED-0204</x:v>
      </x:c>
      <x:c r="B424" s="12" t="str">
        <x:v>COM-0001</x:v>
      </x:c>
      <x:c r="C424" s="12" t="str">
        <x:v>Expressed by / affects</x:v>
      </x:c>
      <x:c r="D424" s="12" t="n">
        <x:v>1</x:v>
      </x:c>
    </x:row>
    <x:row r="425">
      <x:c r="A425" s="12" t="str">
        <x:v>NEED-0204</x:v>
      </x:c>
      <x:c r="B425" s="12" t="str">
        <x:v>COM-0006</x:v>
      </x:c>
      <x:c r="C425" s="12" t="str">
        <x:v>Expressed by / affects</x:v>
      </x:c>
      <x:c r="D425" s="12" t="n">
        <x:v>3</x:v>
      </x:c>
    </x:row>
    <x:row r="426">
      <x:c r="A426" s="12" t="str">
        <x:v>NEED-0205</x:v>
      </x:c>
      <x:c r="B426" s="12" t="str">
        <x:v>COM-0006</x:v>
      </x:c>
      <x:c r="C426" s="12" t="str">
        <x:v>Expressed by / affects</x:v>
      </x:c>
      <x:c r="D426" s="12" t="n">
        <x:v>1</x:v>
      </x:c>
    </x:row>
    <x:row r="427">
      <x:c r="A427" s="12" t="str">
        <x:v>NEED-0206</x:v>
      </x:c>
      <x:c r="B427" s="12" t="str">
        <x:v>COM-0006</x:v>
      </x:c>
      <x:c r="C427" s="12" t="str">
        <x:v>Expressed by / affects</x:v>
      </x:c>
      <x:c r="D427" s="12" t="n">
        <x:v>1</x:v>
      </x:c>
    </x:row>
    <x:row r="428">
      <x:c r="A428" s="12" t="str">
        <x:v>NEED-0207</x:v>
      </x:c>
      <x:c r="B428" s="12" t="str">
        <x:v>COM-0003</x:v>
      </x:c>
      <x:c r="C428" s="12" t="str">
        <x:v>Expressed by / affects</x:v>
      </x:c>
      <x:c r="D428" s="12" t="n">
        <x:v>7</x:v>
      </x:c>
    </x:row>
    <x:row r="429">
      <x:c r="A429" s="12" t="str">
        <x:v>NEED-0207</x:v>
      </x:c>
      <x:c r="B429" s="12" t="str">
        <x:v>COM-0005</x:v>
      </x:c>
      <x:c r="C429" s="12" t="str">
        <x:v>Expressed by / affects</x:v>
      </x:c>
      <x:c r="D429" s="12" t="n">
        <x:v>1</x:v>
      </x:c>
    </x:row>
    <x:row r="430">
      <x:c r="A430" s="12" t="str">
        <x:v>NEED-0207</x:v>
      </x:c>
      <x:c r="B430" s="12" t="str">
        <x:v>COM-0007</x:v>
      </x:c>
      <x:c r="C430" s="12" t="str">
        <x:v>Expressed by / affects</x:v>
      </x:c>
      <x:c r="D430" s="12" t="n">
        <x:v>1</x:v>
      </x:c>
    </x:row>
    <x:row r="431">
      <x:c r="A431" s="12" t="str">
        <x:v>NEED-0208</x:v>
      </x:c>
      <x:c r="B431" s="12" t="str">
        <x:v>COM-0005</x:v>
      </x:c>
      <x:c r="C431" s="12" t="str">
        <x:v>Expressed by / affects</x:v>
      </x:c>
      <x:c r="D431" s="12" t="n">
        <x:v>4</x:v>
      </x:c>
    </x:row>
    <x:row r="432">
      <x:c r="A432" s="12" t="str">
        <x:v>NEED-0209</x:v>
      </x:c>
      <x:c r="B432" s="12" t="str">
        <x:v>COM-0003</x:v>
      </x:c>
      <x:c r="C432" s="12" t="str">
        <x:v>Expressed by / affects</x:v>
      </x:c>
      <x:c r="D432" s="12" t="n">
        <x:v>1</x:v>
      </x:c>
    </x:row>
    <x:row r="433">
      <x:c r="A433" s="12" t="str">
        <x:v>NEED-0209</x:v>
      </x:c>
      <x:c r="B433" s="12" t="str">
        <x:v>COM-0005</x:v>
      </x:c>
      <x:c r="C433" s="12" t="str">
        <x:v>Expressed by / affects</x:v>
      </x:c>
      <x:c r="D433" s="12" t="n">
        <x:v>2</x:v>
      </x:c>
    </x:row>
    <x:row r="434">
      <x:c r="A434" s="12" t="str">
        <x:v>NEED-0209</x:v>
      </x:c>
      <x:c r="B434" s="12" t="str">
        <x:v>COM-0009</x:v>
      </x:c>
      <x:c r="C434" s="12" t="str">
        <x:v>Expressed by / affects</x:v>
      </x:c>
      <x:c r="D434" s="12" t="n">
        <x:v>1</x:v>
      </x:c>
    </x:row>
    <x:row r="435">
      <x:c r="A435" s="12" t="str">
        <x:v>NEED-0209</x:v>
      </x:c>
      <x:c r="B435" s="12" t="str">
        <x:v>COM-0011</x:v>
      </x:c>
      <x:c r="C435" s="12" t="str">
        <x:v>Expressed by / affects</x:v>
      </x:c>
      <x:c r="D435" s="12" t="n">
        <x:v>1</x:v>
      </x:c>
    </x:row>
    <x:row r="436">
      <x:c r="A436" s="12" t="str">
        <x:v>NEED-0210</x:v>
      </x:c>
      <x:c r="B436" s="12" t="str">
        <x:v>COM-0005</x:v>
      </x:c>
      <x:c r="C436" s="12" t="str">
        <x:v>Expressed by / affects</x:v>
      </x:c>
      <x:c r="D436" s="12" t="n">
        <x:v>5</x:v>
      </x:c>
    </x:row>
    <x:row r="437">
      <x:c r="A437" s="12" t="str">
        <x:v>NEED-0211</x:v>
      </x:c>
      <x:c r="B437" s="12" t="str">
        <x:v>COM-0005</x:v>
      </x:c>
      <x:c r="C437" s="12" t="str">
        <x:v>Expressed by / affects</x:v>
      </x:c>
      <x:c r="D437" s="12" t="n">
        <x:v>5</x:v>
      </x:c>
    </x:row>
    <x:row r="438">
      <x:c r="A438" s="12" t="str">
        <x:v>NEED-0212</x:v>
      </x:c>
      <x:c r="B438" s="12" t="str">
        <x:v>COM-0005</x:v>
      </x:c>
      <x:c r="C438" s="12" t="str">
        <x:v>Expressed by / affects</x:v>
      </x:c>
      <x:c r="D438" s="12" t="n">
        <x:v>2</x:v>
      </x:c>
    </x:row>
    <x:row r="439">
      <x:c r="A439" s="12" t="str">
        <x:v>NEED-0213</x:v>
      </x:c>
      <x:c r="B439" s="12" t="str">
        <x:v>COM-0003</x:v>
      </x:c>
      <x:c r="C439" s="12" t="str">
        <x:v>Expressed by / affects</x:v>
      </x:c>
      <x:c r="D439" s="12" t="n">
        <x:v>2</x:v>
      </x:c>
    </x:row>
    <x:row r="440">
      <x:c r="A440" s="12" t="str">
        <x:v>NEED-0213</x:v>
      </x:c>
      <x:c r="B440" s="12" t="str">
        <x:v>COM-0005</x:v>
      </x:c>
      <x:c r="C440" s="12" t="str">
        <x:v>Expressed by / affects</x:v>
      </x:c>
      <x:c r="D440" s="12" t="n">
        <x:v>5</x:v>
      </x:c>
    </x:row>
    <x:row r="441">
      <x:c r="A441" s="12" t="str">
        <x:v>NEED-0214</x:v>
      </x:c>
      <x:c r="B441" s="12" t="str">
        <x:v>COM-0005</x:v>
      </x:c>
      <x:c r="C441" s="12" t="str">
        <x:v>Expressed by / affects</x:v>
      </x:c>
      <x:c r="D441" s="12" t="n">
        <x:v>1</x:v>
      </x:c>
    </x:row>
    <x:row r="442">
      <x:c r="A442" s="12" t="str">
        <x:v>NEED-0215</x:v>
      </x:c>
      <x:c r="B442" s="12" t="str">
        <x:v>COM-0005</x:v>
      </x:c>
      <x:c r="C442" s="12" t="str">
        <x:v>Expressed by / affects</x:v>
      </x:c>
      <x:c r="D442" s="12" t="n">
        <x:v>2</x:v>
      </x:c>
    </x:row>
    <x:row r="443">
      <x:c r="A443" s="12" t="str">
        <x:v>NEED-0216</x:v>
      </x:c>
      <x:c r="B443" s="12" t="str">
        <x:v>COM-0003</x:v>
      </x:c>
      <x:c r="C443" s="12" t="str">
        <x:v>Expressed by / affects</x:v>
      </x:c>
      <x:c r="D443" s="12" t="n">
        <x:v>1</x:v>
      </x:c>
    </x:row>
    <x:row r="444">
      <x:c r="A444" s="12" t="str">
        <x:v>NEED-0216</x:v>
      </x:c>
      <x:c r="B444" s="12" t="str">
        <x:v>COM-0004</x:v>
      </x:c>
      <x:c r="C444" s="12" t="str">
        <x:v>Expressed by / affects</x:v>
      </x:c>
      <x:c r="D444" s="12" t="n">
        <x:v>1</x:v>
      </x:c>
    </x:row>
    <x:row r="445">
      <x:c r="A445" s="12" t="str">
        <x:v>NEED-0217</x:v>
      </x:c>
      <x:c r="B445" s="12" t="str">
        <x:v>COM-0003</x:v>
      </x:c>
      <x:c r="C445" s="12" t="str">
        <x:v>Expressed by / affects</x:v>
      </x:c>
      <x:c r="D445" s="12" t="n">
        <x:v>1</x:v>
      </x:c>
    </x:row>
    <x:row r="446">
      <x:c r="A446" s="12" t="str">
        <x:v>NEED-0217</x:v>
      </x:c>
      <x:c r="B446" s="12" t="str">
        <x:v>COM-0005</x:v>
      </x:c>
      <x:c r="C446" s="12" t="str">
        <x:v>Expressed by / affects</x:v>
      </x:c>
      <x:c r="D446" s="12" t="n">
        <x:v>2</x:v>
      </x:c>
    </x:row>
    <x:row r="447">
      <x:c r="A447" s="12" t="str">
        <x:v>NEED-0218</x:v>
      </x:c>
      <x:c r="B447" s="12" t="str">
        <x:v>COM-0005</x:v>
      </x:c>
      <x:c r="C447" s="12" t="str">
        <x:v>Expressed by / affects</x:v>
      </x:c>
      <x:c r="D447" s="12" t="n">
        <x:v>1</x:v>
      </x:c>
    </x:row>
    <x:row r="448">
      <x:c r="A448" s="12" t="str">
        <x:v>NEED-0219</x:v>
      </x:c>
      <x:c r="B448" s="12" t="str">
        <x:v>COM-0005</x:v>
      </x:c>
      <x:c r="C448" s="12" t="str">
        <x:v>Expressed by / affects</x:v>
      </x:c>
      <x:c r="D448" s="12" t="n">
        <x:v>1</x:v>
      </x:c>
    </x:row>
    <x:row r="449">
      <x:c r="A449" s="12" t="str">
        <x:v>NEED-0220</x:v>
      </x:c>
      <x:c r="B449" s="12" t="str">
        <x:v>COM-0001</x:v>
      </x:c>
      <x:c r="C449" s="12" t="str">
        <x:v>Expressed by / affects</x:v>
      </x:c>
      <x:c r="D449" s="12" t="n">
        <x:v>2</x:v>
      </x:c>
    </x:row>
  </x:sheetData>
  <x:pageMargins left="0.7" right="0.7" top="0.75" bottom="0.75" header="0.3" footer="0.3"/>
  <x:tableParts count="1">
    <x:tablePart xmlns:r="http://schemas.openxmlformats.org/officeDocument/2006/relationships" r:id="R60f1ad73e6454f75"/>
  </x:tableParts>
</x:worksheet>
</file>

<file path=xl/worksheets/sheet7.xml><?xml version="1.0" encoding="utf-8"?>
<x:worksheet xmlns:x="http://schemas.openxmlformats.org/spreadsheetml/2006/main">
  <x:sheetFormatPr defaultRowHeight="15"/>
  <x:cols>
    <x:col min="1" max="1" width="15" hidden="0" customWidth="1"/>
    <x:col min="2" max="2" width="38" hidden="0" customWidth="1"/>
    <x:col min="3" max="3" width="32" hidden="0" customWidth="1"/>
    <x:col min="4" max="4" width="28" hidden="0" customWidth="1"/>
    <x:col min="5" max="5" width="24" hidden="0" customWidth="1"/>
    <x:col min="6" max="6" width="55" hidden="0" customWidth="1"/>
    <x:col min="7" max="7" width="10" hidden="0" customWidth="1"/>
  </x:cols>
  <x:sheetData>
    <x:row r="1">
      <x:c r="A1" s="6" t="str">
        <x:v>Capability ID</x:v>
      </x:c>
      <x:c r="B1" s="6" t="str">
        <x:v>Capability Name</x:v>
      </x:c>
      <x:c r="C1" s="6" t="str">
        <x:v>Capability Category</x:v>
      </x:c>
      <x:c r="D1" s="6" t="str">
        <x:v>Product / System</x:v>
      </x:c>
      <x:c r="E1" s="6" t="str">
        <x:v>Capability Owner</x:v>
      </x:c>
      <x:c r="F1" s="6" t="str">
        <x:v>Description</x:v>
      </x:c>
      <x:c r="G1" s="6" t="str">
        <x:v>Active</x:v>
      </x:c>
    </x:row>
    <x:row r="2">
      <x:c r="A2" s="12" t="str">
        <x:v>CAP-0001</x:v>
      </x:c>
      <x:c r="B2" s="12" t="str">
        <x:v>APIs and programmatic access</x:v>
      </x:c>
      <x:c r="C2" s="12" t="str">
        <x:v>APIs and programmatic access</x:v>
      </x:c>
      <x:c r="D2" s="12" t="str"/>
      <x:c r="E2" s="12" t="str"/>
      <x:c r="F2" s="12" t="str"/>
      <x:c r="G2" s="12" t="str">
        <x:v>Yes</x:v>
      </x:c>
    </x:row>
    <x:row r="3">
      <x:c r="A3" s="12" t="str">
        <x:v>CAP-0002</x:v>
      </x:c>
      <x:c r="B3" s="12" t="str">
        <x:v>Accessibility and inclusive access</x:v>
      </x:c>
      <x:c r="C3" s="12" t="str">
        <x:v>Accessibility and inclusive access</x:v>
      </x:c>
      <x:c r="D3" s="12" t="str"/>
      <x:c r="E3" s="12" t="str"/>
      <x:c r="F3" s="12" t="str"/>
      <x:c r="G3" s="12" t="str">
        <x:v>Yes</x:v>
      </x:c>
    </x:row>
    <x:row r="4">
      <x:c r="A4" s="12" t="str">
        <x:v>CAP-0003</x:v>
      </x:c>
      <x:c r="B4" s="12" t="str">
        <x:v>Analysis tools and services</x:v>
      </x:c>
      <x:c r="C4" s="12" t="str">
        <x:v>Analysis tools and services</x:v>
      </x:c>
      <x:c r="D4" s="12" t="str"/>
      <x:c r="E4" s="12" t="str"/>
      <x:c r="F4" s="12" t="str"/>
      <x:c r="G4" s="12" t="str">
        <x:v>Yes</x:v>
      </x:c>
    </x:row>
    <x:row r="5">
      <x:c r="A5" s="12" t="str">
        <x:v>CAP-0004</x:v>
      </x:c>
      <x:c r="B5" s="12" t="str">
        <x:v>Authentication and authorization</x:v>
      </x:c>
      <x:c r="C5" s="12" t="str">
        <x:v>Authentication and authorization</x:v>
      </x:c>
      <x:c r="D5" s="12" t="str"/>
      <x:c r="E5" s="12" t="str"/>
      <x:c r="F5" s="12" t="str"/>
      <x:c r="G5" s="12" t="str">
        <x:v>Yes</x:v>
      </x:c>
    </x:row>
    <x:row r="6">
      <x:c r="A6" s="12" t="str">
        <x:v>CAP-0005</x:v>
      </x:c>
      <x:c r="B6" s="12" t="str">
        <x:v>Cloud processing environments</x:v>
      </x:c>
      <x:c r="C6" s="12" t="str">
        <x:v>Cloud processing environments</x:v>
      </x:c>
      <x:c r="D6" s="12" t="str"/>
      <x:c r="E6" s="12" t="str"/>
      <x:c r="F6" s="12" t="str"/>
      <x:c r="G6" s="12" t="str">
        <x:v>Yes</x:v>
      </x:c>
    </x:row>
    <x:row r="7">
      <x:c r="A7" s="12" t="str">
        <x:v>CAP-0006</x:v>
      </x:c>
      <x:c r="B7" s="12" t="str">
        <x:v>Cost estimation and management</x:v>
      </x:c>
      <x:c r="C7" s="12" t="str">
        <x:v>Cost estimation and management</x:v>
      </x:c>
      <x:c r="D7" s="12" t="str"/>
      <x:c r="E7" s="12" t="str"/>
      <x:c r="F7" s="12" t="str"/>
      <x:c r="G7" s="12" t="str">
        <x:v>Yes</x:v>
      </x:c>
    </x:row>
    <x:row r="8">
      <x:c r="A8" s="12" t="str">
        <x:v>CAP-0007</x:v>
      </x:c>
      <x:c r="B8" s="12" t="str">
        <x:v>Cross-cutting Earthdata capability</x:v>
      </x:c>
      <x:c r="C8" s="12" t="str">
        <x:v>Cross-cutting Earthdata capability</x:v>
      </x:c>
      <x:c r="D8" s="12" t="str"/>
      <x:c r="E8" s="12" t="str"/>
      <x:c r="F8" s="12" t="str"/>
      <x:c r="G8" s="12" t="str">
        <x:v>Yes</x:v>
      </x:c>
    </x:row>
    <x:row r="9">
      <x:c r="A9" s="12" t="str">
        <x:v>CAP-0008</x:v>
      </x:c>
      <x:c r="B9" s="12" t="str">
        <x:v>Data access and download</x:v>
      </x:c>
      <x:c r="C9" s="12" t="str">
        <x:v>Data access and download</x:v>
      </x:c>
      <x:c r="D9" s="12" t="str"/>
      <x:c r="E9" s="12" t="str"/>
      <x:c r="F9" s="12" t="str"/>
      <x:c r="G9" s="12" t="str">
        <x:v>Yes</x:v>
      </x:c>
    </x:row>
    <x:row r="10">
      <x:c r="A10" s="12" t="str">
        <x:v>CAP-0009</x:v>
      </x:c>
      <x:c r="B10" s="12" t="str">
        <x:v>Data citation and provenance</x:v>
      </x:c>
      <x:c r="C10" s="12" t="str">
        <x:v>Data citation and provenance</x:v>
      </x:c>
      <x:c r="D10" s="12" t="str"/>
      <x:c r="E10" s="12" t="str"/>
      <x:c r="F10" s="12" t="str"/>
      <x:c r="G10" s="12" t="str">
        <x:v>Yes</x:v>
      </x:c>
    </x:row>
    <x:row r="11">
      <x:c r="A11" s="12" t="str">
        <x:v>CAP-0010</x:v>
      </x:c>
      <x:c r="B11" s="12" t="str">
        <x:v>Data discovery and search</x:v>
      </x:c>
      <x:c r="C11" s="12" t="str">
        <x:v>Data discovery and search</x:v>
      </x:c>
      <x:c r="D11" s="12" t="str"/>
      <x:c r="E11" s="12" t="str"/>
      <x:c r="F11" s="12" t="str"/>
      <x:c r="G11" s="12" t="str">
        <x:v>Yes</x:v>
      </x:c>
    </x:row>
    <x:row r="12">
      <x:c r="A12" s="12" t="str">
        <x:v>CAP-0011</x:v>
      </x:c>
      <x:c r="B12" s="12" t="str">
        <x:v>Data formats and standards</x:v>
      </x:c>
      <x:c r="C12" s="12" t="str">
        <x:v>Data formats and standards</x:v>
      </x:c>
      <x:c r="D12" s="12" t="str"/>
      <x:c r="E12" s="12" t="str"/>
      <x:c r="F12" s="12" t="str"/>
      <x:c r="G12" s="12" t="str">
        <x:v>Yes</x:v>
      </x:c>
    </x:row>
    <x:row r="13">
      <x:c r="A13" s="12" t="str">
        <x:v>CAP-0012</x:v>
      </x:c>
      <x:c r="B13" s="12" t="str">
        <x:v>Data preservation and continuity</x:v>
      </x:c>
      <x:c r="C13" s="12" t="str">
        <x:v>Data preservation and continuity</x:v>
      </x:c>
      <x:c r="D13" s="12" t="str"/>
      <x:c r="E13" s="12" t="str"/>
      <x:c r="F13" s="12" t="str"/>
      <x:c r="G13" s="12" t="str">
        <x:v>Yes</x:v>
      </x:c>
    </x:row>
    <x:row r="14">
      <x:c r="A14" s="12" t="str">
        <x:v>CAP-0013</x:v>
      </x:c>
      <x:c r="B14" s="12" t="str">
        <x:v>Data subsetting and transformation</x:v>
      </x:c>
      <x:c r="C14" s="12" t="str">
        <x:v>Data subsetting and transformation</x:v>
      </x:c>
      <x:c r="D14" s="12" t="str"/>
      <x:c r="E14" s="12" t="str"/>
      <x:c r="F14" s="12" t="str"/>
      <x:c r="G14" s="12" t="str">
        <x:v>Yes</x:v>
      </x:c>
    </x:row>
    <x:row r="15">
      <x:c r="A15" s="12" t="str">
        <x:v>CAP-0014</x:v>
      </x:c>
      <x:c r="B15" s="12" t="str">
        <x:v>Documentation and examples</x:v>
      </x:c>
      <x:c r="C15" s="12" t="str">
        <x:v>Documentation and examples</x:v>
      </x:c>
      <x:c r="D15" s="12" t="str"/>
      <x:c r="E15" s="12" t="str"/>
      <x:c r="F15" s="12" t="str"/>
      <x:c r="G15" s="12" t="str">
        <x:v>Yes</x:v>
      </x:c>
    </x:row>
    <x:row r="16">
      <x:c r="A16" s="12" t="str">
        <x:v>CAP-0015</x:v>
      </x:c>
      <x:c r="B16" s="12" t="str">
        <x:v>GIS interoperability</x:v>
      </x:c>
      <x:c r="C16" s="12" t="str">
        <x:v>GIS interoperability</x:v>
      </x:c>
      <x:c r="D16" s="12" t="str"/>
      <x:c r="E16" s="12" t="str"/>
      <x:c r="F16" s="12" t="str"/>
      <x:c r="G16" s="12" t="str">
        <x:v>Yes</x:v>
      </x:c>
    </x:row>
    <x:row r="17">
      <x:c r="A17" s="12" t="str">
        <x:v>CAP-0016</x:v>
      </x:c>
      <x:c r="B17" s="12" t="str">
        <x:v>Governance and cross-organization coordination</x:v>
      </x:c>
      <x:c r="C17" s="12" t="str">
        <x:v>Governance and cross-organization coordination</x:v>
      </x:c>
      <x:c r="D17" s="12" t="str"/>
      <x:c r="E17" s="12" t="str"/>
      <x:c r="F17" s="12" t="str"/>
      <x:c r="G17" s="12" t="str">
        <x:v>Yes</x:v>
      </x:c>
    </x:row>
    <x:row r="18">
      <x:c r="A18" s="12" t="str">
        <x:v>CAP-0017</x:v>
      </x:c>
      <x:c r="B18" s="12" t="str">
        <x:v>Metadata quality and usability</x:v>
      </x:c>
      <x:c r="C18" s="12" t="str">
        <x:v>Metadata quality and usability</x:v>
      </x:c>
      <x:c r="D18" s="12" t="str"/>
      <x:c r="E18" s="12" t="str"/>
      <x:c r="F18" s="12" t="str"/>
      <x:c r="G18" s="12" t="str">
        <x:v>Yes</x:v>
      </x:c>
    </x:row>
    <x:row r="19">
      <x:c r="A19" s="12" t="str">
        <x:v>CAP-0018</x:v>
      </x:c>
      <x:c r="B19" s="12" t="str">
        <x:v>Near-real-time data services</x:v>
      </x:c>
      <x:c r="C19" s="12" t="str">
        <x:v>Near-real-time data services</x:v>
      </x:c>
      <x:c r="D19" s="12" t="str"/>
      <x:c r="E19" s="12" t="str"/>
      <x:c r="F19" s="12" t="str"/>
      <x:c r="G19" s="12" t="str">
        <x:v>Yes</x:v>
      </x:c>
    </x:row>
    <x:row r="20">
      <x:c r="A20" s="12" t="str">
        <x:v>CAP-0019</x:v>
      </x:c>
      <x:c r="B20" s="12" t="str">
        <x:v>Performance and reliability</x:v>
      </x:c>
      <x:c r="C20" s="12" t="str">
        <x:v>Performance and reliability</x:v>
      </x:c>
      <x:c r="D20" s="12" t="str"/>
      <x:c r="E20" s="12" t="str"/>
      <x:c r="F20" s="12" t="str"/>
      <x:c r="G20" s="12" t="str">
        <x:v>Yes</x:v>
      </x:c>
    </x:row>
    <x:row r="21">
      <x:c r="A21" s="12" t="str">
        <x:v>CAP-0020</x:v>
      </x:c>
      <x:c r="B21" s="12" t="str">
        <x:v>Training and outreach</x:v>
      </x:c>
      <x:c r="C21" s="12" t="str">
        <x:v>Training and outreach</x:v>
      </x:c>
      <x:c r="D21" s="12" t="str"/>
      <x:c r="E21" s="12" t="str"/>
      <x:c r="F21" s="12" t="str"/>
      <x:c r="G21" s="12" t="str">
        <x:v>Yes</x:v>
      </x:c>
    </x:row>
    <x:row r="22">
      <x:c r="A22" s="12" t="str">
        <x:v>CAP-0021</x:v>
      </x:c>
      <x:c r="B22" s="12" t="str">
        <x:v>User support and feedback</x:v>
      </x:c>
      <x:c r="C22" s="12" t="str">
        <x:v>User support and feedback</x:v>
      </x:c>
      <x:c r="D22" s="12" t="str"/>
      <x:c r="E22" s="12" t="str"/>
      <x:c r="F22" s="12" t="str"/>
      <x:c r="G22" s="12" t="str">
        <x:v>Yes</x:v>
      </x:c>
    </x:row>
    <x:row r="23">
      <x:c r="A23" s="12" t="str">
        <x:v>CAP-0022</x:v>
      </x:c>
      <x:c r="B23" s="12" t="str">
        <x:v>Visualization and exploration</x:v>
      </x:c>
      <x:c r="C23" s="12" t="str">
        <x:v>Visualization and exploration</x:v>
      </x:c>
      <x:c r="D23" s="12" t="str"/>
      <x:c r="E23" s="12" t="str"/>
      <x:c r="F23" s="12" t="str"/>
      <x:c r="G23" s="12" t="str">
        <x:v>Yes</x:v>
      </x:c>
    </x:row>
  </x:sheetData>
  <x:pageMargins left="0.7" right="0.7" top="0.75" bottom="0.75" header="0.3" footer="0.3"/>
  <x:tableParts count="1">
    <x:tablePart xmlns:r="http://schemas.openxmlformats.org/officeDocument/2006/relationships" r:id="R2c6f55577cc842a8"/>
  </x:tableParts>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28" hidden="0" customWidth="1"/>
    <x:col min="4" max="4" width="14" hidden="0" customWidth="1"/>
  </x:cols>
  <x:sheetData>
    <x:row r="1">
      <x:c r="A1" s="6" t="str">
        <x:v>Need ID</x:v>
      </x:c>
      <x:c r="B1" s="6" t="str">
        <x:v>Capability ID</x:v>
      </x:c>
      <x:c r="C1" s="6" t="str">
        <x:v>Relationship</x:v>
      </x:c>
      <x:c r="D1" s="6" t="str">
        <x:v>Relevance</x:v>
      </x:c>
    </x:row>
    <x:row r="2">
      <x:c r="A2" s="12" t="str">
        <x:v>NEED-0001</x:v>
      </x:c>
      <x:c r="B2" s="12" t="str">
        <x:v>CAP-0005</x:v>
      </x:c>
      <x:c r="C2" s="12" t="str">
        <x:v>Requires / relates to</x:v>
      </x:c>
      <x:c r="D2" s="12" t="str">
        <x:v>Primary</x:v>
      </x:c>
    </x:row>
    <x:row r="3">
      <x:c r="A3" s="12" t="str">
        <x:v>NEED-0001</x:v>
      </x:c>
      <x:c r="B3" s="12" t="str">
        <x:v>CAP-0008</x:v>
      </x:c>
      <x:c r="C3" s="12" t="str">
        <x:v>Requires / relates to</x:v>
      </x:c>
      <x:c r="D3" s="12" t="str">
        <x:v>Secondary</x:v>
      </x:c>
    </x:row>
    <x:row r="4">
      <x:c r="A4" s="12" t="str">
        <x:v>NEED-0001</x:v>
      </x:c>
      <x:c r="B4" s="12" t="str">
        <x:v>CAP-0014</x:v>
      </x:c>
      <x:c r="C4" s="12" t="str">
        <x:v>Requires / relates to</x:v>
      </x:c>
      <x:c r="D4" s="12" t="str">
        <x:v>Secondary</x:v>
      </x:c>
    </x:row>
    <x:row r="5">
      <x:c r="A5" s="12" t="str">
        <x:v>NEED-0001</x:v>
      </x:c>
      <x:c r="B5" s="12" t="str">
        <x:v>CAP-0018</x:v>
      </x:c>
      <x:c r="C5" s="12" t="str">
        <x:v>Requires / relates to</x:v>
      </x:c>
      <x:c r="D5" s="12" t="str">
        <x:v>Secondary</x:v>
      </x:c>
    </x:row>
    <x:row r="6">
      <x:c r="A6" s="12" t="str">
        <x:v>NEED-0001</x:v>
      </x:c>
      <x:c r="B6" s="12" t="str">
        <x:v>CAP-0019</x:v>
      </x:c>
      <x:c r="C6" s="12" t="str">
        <x:v>Requires / relates to</x:v>
      </x:c>
      <x:c r="D6" s="12" t="str">
        <x:v>Secondary</x:v>
      </x:c>
    </x:row>
    <x:row r="7">
      <x:c r="A7" s="12" t="str">
        <x:v>NEED-0001</x:v>
      </x:c>
      <x:c r="B7" s="12" t="str">
        <x:v>CAP-0020</x:v>
      </x:c>
      <x:c r="C7" s="12" t="str">
        <x:v>Requires / relates to</x:v>
      </x:c>
      <x:c r="D7" s="12" t="str">
        <x:v>Secondary</x:v>
      </x:c>
    </x:row>
    <x:row r="8">
      <x:c r="A8" s="12" t="str">
        <x:v>NEED-0002</x:v>
      </x:c>
      <x:c r="B8" s="12" t="str">
        <x:v>CAP-0005</x:v>
      </x:c>
      <x:c r="C8" s="12" t="str">
        <x:v>Requires / relates to</x:v>
      </x:c>
      <x:c r="D8" s="12" t="str">
        <x:v>Primary</x:v>
      </x:c>
    </x:row>
    <x:row r="9">
      <x:c r="A9" s="12" t="str">
        <x:v>NEED-0002</x:v>
      </x:c>
      <x:c r="B9" s="12" t="str">
        <x:v>CAP-0021</x:v>
      </x:c>
      <x:c r="C9" s="12" t="str">
        <x:v>Requires / relates to</x:v>
      </x:c>
      <x:c r="D9" s="12" t="str">
        <x:v>Secondary</x:v>
      </x:c>
    </x:row>
    <x:row r="10">
      <x:c r="A10" s="12" t="str">
        <x:v>NEED-0002</x:v>
      </x:c>
      <x:c r="B10" s="12" t="str">
        <x:v>CAP-0022</x:v>
      </x:c>
      <x:c r="C10" s="12" t="str">
        <x:v>Requires / relates to</x:v>
      </x:c>
      <x:c r="D10" s="12" t="str">
        <x:v>Secondary</x:v>
      </x:c>
    </x:row>
    <x:row r="11">
      <x:c r="A11" s="12" t="str">
        <x:v>NEED-0003</x:v>
      </x:c>
      <x:c r="B11" s="12" t="str">
        <x:v>CAP-0001</x:v>
      </x:c>
      <x:c r="C11" s="12" t="str">
        <x:v>Requires / relates to</x:v>
      </x:c>
      <x:c r="D11" s="12" t="str">
        <x:v>Primary</x:v>
      </x:c>
    </x:row>
    <x:row r="12">
      <x:c r="A12" s="12" t="str">
        <x:v>NEED-0003</x:v>
      </x:c>
      <x:c r="B12" s="12" t="str">
        <x:v>CAP-0005</x:v>
      </x:c>
      <x:c r="C12" s="12" t="str">
        <x:v>Requires / relates to</x:v>
      </x:c>
      <x:c r="D12" s="12" t="str">
        <x:v>Secondary</x:v>
      </x:c>
    </x:row>
    <x:row r="13">
      <x:c r="A13" s="12" t="str">
        <x:v>NEED-0003</x:v>
      </x:c>
      <x:c r="B13" s="12" t="str">
        <x:v>CAP-0008</x:v>
      </x:c>
      <x:c r="C13" s="12" t="str">
        <x:v>Requires / relates to</x:v>
      </x:c>
      <x:c r="D13" s="12" t="str">
        <x:v>Secondary</x:v>
      </x:c>
    </x:row>
    <x:row r="14">
      <x:c r="A14" s="12" t="str">
        <x:v>NEED-0003</x:v>
      </x:c>
      <x:c r="B14" s="12" t="str">
        <x:v>CAP-0010</x:v>
      </x:c>
      <x:c r="C14" s="12" t="str">
        <x:v>Requires / relates to</x:v>
      </x:c>
      <x:c r="D14" s="12" t="str">
        <x:v>Secondary</x:v>
      </x:c>
    </x:row>
    <x:row r="15">
      <x:c r="A15" s="12" t="str">
        <x:v>NEED-0003</x:v>
      </x:c>
      <x:c r="B15" s="12" t="str">
        <x:v>CAP-0011</x:v>
      </x:c>
      <x:c r="C15" s="12" t="str">
        <x:v>Requires / relates to</x:v>
      </x:c>
      <x:c r="D15" s="12" t="str">
        <x:v>Secondary</x:v>
      </x:c>
    </x:row>
    <x:row r="16">
      <x:c r="A16" s="12" t="str">
        <x:v>NEED-0003</x:v>
      </x:c>
      <x:c r="B16" s="12" t="str">
        <x:v>CAP-0013</x:v>
      </x:c>
      <x:c r="C16" s="12" t="str">
        <x:v>Requires / relates to</x:v>
      </x:c>
      <x:c r="D16" s="12" t="str">
        <x:v>Secondary</x:v>
      </x:c>
    </x:row>
    <x:row r="17">
      <x:c r="A17" s="12" t="str">
        <x:v>NEED-0003</x:v>
      </x:c>
      <x:c r="B17" s="12" t="str">
        <x:v>CAP-0014</x:v>
      </x:c>
      <x:c r="C17" s="12" t="str">
        <x:v>Requires / relates to</x:v>
      </x:c>
      <x:c r="D17" s="12" t="str">
        <x:v>Secondary</x:v>
      </x:c>
    </x:row>
    <x:row r="18">
      <x:c r="A18" s="12" t="str">
        <x:v>NEED-0003</x:v>
      </x:c>
      <x:c r="B18" s="12" t="str">
        <x:v>CAP-0015</x:v>
      </x:c>
      <x:c r="C18" s="12" t="str">
        <x:v>Requires / relates to</x:v>
      </x:c>
      <x:c r="D18" s="12" t="str">
        <x:v>Secondary</x:v>
      </x:c>
    </x:row>
    <x:row r="19">
      <x:c r="A19" s="12" t="str">
        <x:v>NEED-0003</x:v>
      </x:c>
      <x:c r="B19" s="12" t="str">
        <x:v>CAP-0017</x:v>
      </x:c>
      <x:c r="C19" s="12" t="str">
        <x:v>Requires / relates to</x:v>
      </x:c>
      <x:c r="D19" s="12" t="str">
        <x:v>Secondary</x:v>
      </x:c>
    </x:row>
    <x:row r="20">
      <x:c r="A20" s="12" t="str">
        <x:v>NEED-0003</x:v>
      </x:c>
      <x:c r="B20" s="12" t="str">
        <x:v>CAP-0020</x:v>
      </x:c>
      <x:c r="C20" s="12" t="str">
        <x:v>Requires / relates to</x:v>
      </x:c>
      <x:c r="D20" s="12" t="str">
        <x:v>Secondary</x:v>
      </x:c>
    </x:row>
    <x:row r="21">
      <x:c r="A21" s="12" t="str">
        <x:v>NEED-0003</x:v>
      </x:c>
      <x:c r="B21" s="12" t="str">
        <x:v>CAP-0021</x:v>
      </x:c>
      <x:c r="C21" s="12" t="str">
        <x:v>Requires / relates to</x:v>
      </x:c>
      <x:c r="D21" s="12" t="str">
        <x:v>Secondary</x:v>
      </x:c>
    </x:row>
    <x:row r="22">
      <x:c r="A22" s="12" t="str">
        <x:v>NEED-0003</x:v>
      </x:c>
      <x:c r="B22" s="12" t="str">
        <x:v>CAP-0022</x:v>
      </x:c>
      <x:c r="C22" s="12" t="str">
        <x:v>Requires / relates to</x:v>
      </x:c>
      <x:c r="D22" s="12" t="str">
        <x:v>Secondary</x:v>
      </x:c>
    </x:row>
    <x:row r="23">
      <x:c r="A23" s="12" t="str">
        <x:v>NEED-0004</x:v>
      </x:c>
      <x:c r="B23" s="12" t="str">
        <x:v>CAP-0005</x:v>
      </x:c>
      <x:c r="C23" s="12" t="str">
        <x:v>Requires / relates to</x:v>
      </x:c>
      <x:c r="D23" s="12" t="str">
        <x:v>Primary</x:v>
      </x:c>
    </x:row>
    <x:row r="24">
      <x:c r="A24" s="12" t="str">
        <x:v>NEED-0005</x:v>
      </x:c>
      <x:c r="B24" s="12" t="str">
        <x:v>CAP-0001</x:v>
      </x:c>
      <x:c r="C24" s="12" t="str">
        <x:v>Requires / relates to</x:v>
      </x:c>
      <x:c r="D24" s="12" t="str">
        <x:v>Primary</x:v>
      </x:c>
    </x:row>
    <x:row r="25">
      <x:c r="A25" s="12" t="str">
        <x:v>NEED-0005</x:v>
      </x:c>
      <x:c r="B25" s="12" t="str">
        <x:v>CAP-0005</x:v>
      </x:c>
      <x:c r="C25" s="12" t="str">
        <x:v>Requires / relates to</x:v>
      </x:c>
      <x:c r="D25" s="12" t="str">
        <x:v>Secondary</x:v>
      </x:c>
    </x:row>
    <x:row r="26">
      <x:c r="A26" s="12" t="str">
        <x:v>NEED-0005</x:v>
      </x:c>
      <x:c r="B26" s="12" t="str">
        <x:v>CAP-0006</x:v>
      </x:c>
      <x:c r="C26" s="12" t="str">
        <x:v>Requires / relates to</x:v>
      </x:c>
      <x:c r="D26" s="12" t="str">
        <x:v>Secondary</x:v>
      </x:c>
    </x:row>
    <x:row r="27">
      <x:c r="A27" s="12" t="str">
        <x:v>NEED-0005</x:v>
      </x:c>
      <x:c r="B27" s="12" t="str">
        <x:v>CAP-0011</x:v>
      </x:c>
      <x:c r="C27" s="12" t="str">
        <x:v>Requires / relates to</x:v>
      </x:c>
      <x:c r="D27" s="12" t="str">
        <x:v>Secondary</x:v>
      </x:c>
    </x:row>
    <x:row r="28">
      <x:c r="A28" s="12" t="str">
        <x:v>NEED-0005</x:v>
      </x:c>
      <x:c r="B28" s="12" t="str">
        <x:v>CAP-0014</x:v>
      </x:c>
      <x:c r="C28" s="12" t="str">
        <x:v>Requires / relates to</x:v>
      </x:c>
      <x:c r="D28" s="12" t="str">
        <x:v>Secondary</x:v>
      </x:c>
    </x:row>
    <x:row r="29">
      <x:c r="A29" s="12" t="str">
        <x:v>NEED-0005</x:v>
      </x:c>
      <x:c r="B29" s="12" t="str">
        <x:v>CAP-0022</x:v>
      </x:c>
      <x:c r="C29" s="12" t="str">
        <x:v>Requires / relates to</x:v>
      </x:c>
      <x:c r="D29" s="12" t="str">
        <x:v>Secondary</x:v>
      </x:c>
    </x:row>
    <x:row r="30">
      <x:c r="A30" s="12" t="str">
        <x:v>NEED-0006</x:v>
      </x:c>
      <x:c r="B30" s="12" t="str">
        <x:v>CAP-0001</x:v>
      </x:c>
      <x:c r="C30" s="12" t="str">
        <x:v>Requires / relates to</x:v>
      </x:c>
      <x:c r="D30" s="12" t="str">
        <x:v>Primary</x:v>
      </x:c>
    </x:row>
    <x:row r="31">
      <x:c r="A31" s="12" t="str">
        <x:v>NEED-0006</x:v>
      </x:c>
      <x:c r="B31" s="12" t="str">
        <x:v>CAP-0005</x:v>
      </x:c>
      <x:c r="C31" s="12" t="str">
        <x:v>Requires / relates to</x:v>
      </x:c>
      <x:c r="D31" s="12" t="str">
        <x:v>Secondary</x:v>
      </x:c>
    </x:row>
    <x:row r="32">
      <x:c r="A32" s="12" t="str">
        <x:v>NEED-0006</x:v>
      </x:c>
      <x:c r="B32" s="12" t="str">
        <x:v>CAP-0006</x:v>
      </x:c>
      <x:c r="C32" s="12" t="str">
        <x:v>Requires / relates to</x:v>
      </x:c>
      <x:c r="D32" s="12" t="str">
        <x:v>Secondary</x:v>
      </x:c>
    </x:row>
    <x:row r="33">
      <x:c r="A33" s="12" t="str">
        <x:v>NEED-0006</x:v>
      </x:c>
      <x:c r="B33" s="12" t="str">
        <x:v>CAP-0022</x:v>
      </x:c>
      <x:c r="C33" s="12" t="str">
        <x:v>Requires / relates to</x:v>
      </x:c>
      <x:c r="D33" s="12" t="str">
        <x:v>Secondary</x:v>
      </x:c>
    </x:row>
    <x:row r="34">
      <x:c r="A34" s="12" t="str">
        <x:v>NEED-0007</x:v>
      </x:c>
      <x:c r="B34" s="12" t="str">
        <x:v>CAP-0004</x:v>
      </x:c>
      <x:c r="C34" s="12" t="str">
        <x:v>Requires / relates to</x:v>
      </x:c>
      <x:c r="D34" s="12" t="str">
        <x:v>Primary</x:v>
      </x:c>
    </x:row>
    <x:row r="35">
      <x:c r="A35" s="12" t="str">
        <x:v>NEED-0007</x:v>
      </x:c>
      <x:c r="B35" s="12" t="str">
        <x:v>CAP-0005</x:v>
      </x:c>
      <x:c r="C35" s="12" t="str">
        <x:v>Requires / relates to</x:v>
      </x:c>
      <x:c r="D35" s="12" t="str">
        <x:v>Secondary</x:v>
      </x:c>
    </x:row>
    <x:row r="36">
      <x:c r="A36" s="12" t="str">
        <x:v>NEED-0007</x:v>
      </x:c>
      <x:c r="B36" s="12" t="str">
        <x:v>CAP-0006</x:v>
      </x:c>
      <x:c r="C36" s="12" t="str">
        <x:v>Requires / relates to</x:v>
      </x:c>
      <x:c r="D36" s="12" t="str">
        <x:v>Secondary</x:v>
      </x:c>
    </x:row>
    <x:row r="37">
      <x:c r="A37" s="12" t="str">
        <x:v>NEED-0007</x:v>
      </x:c>
      <x:c r="B37" s="12" t="str">
        <x:v>CAP-0008</x:v>
      </x:c>
      <x:c r="C37" s="12" t="str">
        <x:v>Requires / relates to</x:v>
      </x:c>
      <x:c r="D37" s="12" t="str">
        <x:v>Secondary</x:v>
      </x:c>
    </x:row>
    <x:row r="38">
      <x:c r="A38" s="12" t="str">
        <x:v>NEED-0007</x:v>
      </x:c>
      <x:c r="B38" s="12" t="str">
        <x:v>CAP-0010</x:v>
      </x:c>
      <x:c r="C38" s="12" t="str">
        <x:v>Requires / relates to</x:v>
      </x:c>
      <x:c r="D38" s="12" t="str">
        <x:v>Secondary</x:v>
      </x:c>
    </x:row>
    <x:row r="39">
      <x:c r="A39" s="12" t="str">
        <x:v>NEED-0007</x:v>
      </x:c>
      <x:c r="B39" s="12" t="str">
        <x:v>CAP-0011</x:v>
      </x:c>
      <x:c r="C39" s="12" t="str">
        <x:v>Requires / relates to</x:v>
      </x:c>
      <x:c r="D39" s="12" t="str">
        <x:v>Secondary</x:v>
      </x:c>
    </x:row>
    <x:row r="40">
      <x:c r="A40" s="12" t="str">
        <x:v>NEED-0007</x:v>
      </x:c>
      <x:c r="B40" s="12" t="str">
        <x:v>CAP-0021</x:v>
      </x:c>
      <x:c r="C40" s="12" t="str">
        <x:v>Requires / relates to</x:v>
      </x:c>
      <x:c r="D40" s="12" t="str">
        <x:v>Secondary</x:v>
      </x:c>
    </x:row>
    <x:row r="41">
      <x:c r="A41" s="12" t="str">
        <x:v>NEED-0008</x:v>
      </x:c>
      <x:c r="B41" s="12" t="str">
        <x:v>CAP-0004</x:v>
      </x:c>
      <x:c r="C41" s="12" t="str">
        <x:v>Requires / relates to</x:v>
      </x:c>
      <x:c r="D41" s="12" t="str">
        <x:v>Primary</x:v>
      </x:c>
    </x:row>
    <x:row r="42">
      <x:c r="A42" s="12" t="str">
        <x:v>NEED-0008</x:v>
      </x:c>
      <x:c r="B42" s="12" t="str">
        <x:v>CAP-0005</x:v>
      </x:c>
      <x:c r="C42" s="12" t="str">
        <x:v>Requires / relates to</x:v>
      </x:c>
      <x:c r="D42" s="12" t="str">
        <x:v>Secondary</x:v>
      </x:c>
    </x:row>
    <x:row r="43">
      <x:c r="A43" s="12" t="str">
        <x:v>NEED-0008</x:v>
      </x:c>
      <x:c r="B43" s="12" t="str">
        <x:v>CAP-0011</x:v>
      </x:c>
      <x:c r="C43" s="12" t="str">
        <x:v>Requires / relates to</x:v>
      </x:c>
      <x:c r="D43" s="12" t="str">
        <x:v>Secondary</x:v>
      </x:c>
    </x:row>
    <x:row r="44">
      <x:c r="A44" s="12" t="str">
        <x:v>NEED-0009</x:v>
      </x:c>
      <x:c r="B44" s="12" t="str">
        <x:v>CAP-0005</x:v>
      </x:c>
      <x:c r="C44" s="12" t="str">
        <x:v>Requires / relates to</x:v>
      </x:c>
      <x:c r="D44" s="12" t="str">
        <x:v>Primary</x:v>
      </x:c>
    </x:row>
    <x:row r="45">
      <x:c r="A45" s="12" t="str">
        <x:v>NEED-0009</x:v>
      </x:c>
      <x:c r="B45" s="12" t="str">
        <x:v>CAP-0006</x:v>
      </x:c>
      <x:c r="C45" s="12" t="str">
        <x:v>Requires / relates to</x:v>
      </x:c>
      <x:c r="D45" s="12" t="str">
        <x:v>Secondary</x:v>
      </x:c>
    </x:row>
    <x:row r="46">
      <x:c r="A46" s="12" t="str">
        <x:v>NEED-0009</x:v>
      </x:c>
      <x:c r="B46" s="12" t="str">
        <x:v>CAP-0008</x:v>
      </x:c>
      <x:c r="C46" s="12" t="str">
        <x:v>Requires / relates to</x:v>
      </x:c>
      <x:c r="D46" s="12" t="str">
        <x:v>Secondary</x:v>
      </x:c>
    </x:row>
    <x:row r="47">
      <x:c r="A47" s="12" t="str">
        <x:v>NEED-0009</x:v>
      </x:c>
      <x:c r="B47" s="12" t="str">
        <x:v>CAP-0010</x:v>
      </x:c>
      <x:c r="C47" s="12" t="str">
        <x:v>Requires / relates to</x:v>
      </x:c>
      <x:c r="D47" s="12" t="str">
        <x:v>Secondary</x:v>
      </x:c>
    </x:row>
    <x:row r="48">
      <x:c r="A48" s="12" t="str">
        <x:v>NEED-0009</x:v>
      </x:c>
      <x:c r="B48" s="12" t="str">
        <x:v>CAP-0011</x:v>
      </x:c>
      <x:c r="C48" s="12" t="str">
        <x:v>Requires / relates to</x:v>
      </x:c>
      <x:c r="D48" s="12" t="str">
        <x:v>Secondary</x:v>
      </x:c>
    </x:row>
    <x:row r="49">
      <x:c r="A49" s="12" t="str">
        <x:v>NEED-0009</x:v>
      </x:c>
      <x:c r="B49" s="12" t="str">
        <x:v>CAP-0012</x:v>
      </x:c>
      <x:c r="C49" s="12" t="str">
        <x:v>Requires / relates to</x:v>
      </x:c>
      <x:c r="D49" s="12" t="str">
        <x:v>Secondary</x:v>
      </x:c>
    </x:row>
    <x:row r="50">
      <x:c r="A50" s="12" t="str">
        <x:v>NEED-0009</x:v>
      </x:c>
      <x:c r="B50" s="12" t="str">
        <x:v>CAP-0013</x:v>
      </x:c>
      <x:c r="C50" s="12" t="str">
        <x:v>Requires / relates to</x:v>
      </x:c>
      <x:c r="D50" s="12" t="str">
        <x:v>Secondary</x:v>
      </x:c>
    </x:row>
    <x:row r="51">
      <x:c r="A51" s="12" t="str">
        <x:v>NEED-0009</x:v>
      </x:c>
      <x:c r="B51" s="12" t="str">
        <x:v>CAP-0014</x:v>
      </x:c>
      <x:c r="C51" s="12" t="str">
        <x:v>Requires / relates to</x:v>
      </x:c>
      <x:c r="D51" s="12" t="str">
        <x:v>Secondary</x:v>
      </x:c>
    </x:row>
    <x:row r="52">
      <x:c r="A52" s="12" t="str">
        <x:v>NEED-0009</x:v>
      </x:c>
      <x:c r="B52" s="12" t="str">
        <x:v>CAP-0015</x:v>
      </x:c>
      <x:c r="C52" s="12" t="str">
        <x:v>Requires / relates to</x:v>
      </x:c>
      <x:c r="D52" s="12" t="str">
        <x:v>Secondary</x:v>
      </x:c>
    </x:row>
    <x:row r="53">
      <x:c r="A53" s="12" t="str">
        <x:v>NEED-0009</x:v>
      </x:c>
      <x:c r="B53" s="12" t="str">
        <x:v>CAP-0020</x:v>
      </x:c>
      <x:c r="C53" s="12" t="str">
        <x:v>Requires / relates to</x:v>
      </x:c>
      <x:c r="D53" s="12" t="str">
        <x:v>Secondary</x:v>
      </x:c>
    </x:row>
    <x:row r="54">
      <x:c r="A54" s="12" t="str">
        <x:v>NEED-0009</x:v>
      </x:c>
      <x:c r="B54" s="12" t="str">
        <x:v>CAP-0021</x:v>
      </x:c>
      <x:c r="C54" s="12" t="str">
        <x:v>Requires / relates to</x:v>
      </x:c>
      <x:c r="D54" s="12" t="str">
        <x:v>Secondary</x:v>
      </x:c>
    </x:row>
    <x:row r="55">
      <x:c r="A55" s="12" t="str">
        <x:v>NEED-0010</x:v>
      </x:c>
      <x:c r="B55" s="12" t="str">
        <x:v>CAP-0005</x:v>
      </x:c>
      <x:c r="C55" s="12" t="str">
        <x:v>Requires / relates to</x:v>
      </x:c>
      <x:c r="D55" s="12" t="str">
        <x:v>Primary</x:v>
      </x:c>
    </x:row>
    <x:row r="56">
      <x:c r="A56" s="12" t="str">
        <x:v>NEED-0010</x:v>
      </x:c>
      <x:c r="B56" s="12" t="str">
        <x:v>CAP-0006</x:v>
      </x:c>
      <x:c r="C56" s="12" t="str">
        <x:v>Requires / relates to</x:v>
      </x:c>
      <x:c r="D56" s="12" t="str">
        <x:v>Secondary</x:v>
      </x:c>
    </x:row>
    <x:row r="57">
      <x:c r="A57" s="12" t="str">
        <x:v>NEED-0010</x:v>
      </x:c>
      <x:c r="B57" s="12" t="str">
        <x:v>CAP-0008</x:v>
      </x:c>
      <x:c r="C57" s="12" t="str">
        <x:v>Requires / relates to</x:v>
      </x:c>
      <x:c r="D57" s="12" t="str">
        <x:v>Secondary</x:v>
      </x:c>
    </x:row>
    <x:row r="58">
      <x:c r="A58" s="12" t="str">
        <x:v>NEED-0010</x:v>
      </x:c>
      <x:c r="B58" s="12" t="str">
        <x:v>CAP-0010</x:v>
      </x:c>
      <x:c r="C58" s="12" t="str">
        <x:v>Requires / relates to</x:v>
      </x:c>
      <x:c r="D58" s="12" t="str">
        <x:v>Secondary</x:v>
      </x:c>
    </x:row>
    <x:row r="59">
      <x:c r="A59" s="12" t="str">
        <x:v>NEED-0010</x:v>
      </x:c>
      <x:c r="B59" s="12" t="str">
        <x:v>CAP-0014</x:v>
      </x:c>
      <x:c r="C59" s="12" t="str">
        <x:v>Requires / relates to</x:v>
      </x:c>
      <x:c r="D59" s="12" t="str">
        <x:v>Secondary</x:v>
      </x:c>
    </x:row>
    <x:row r="60">
      <x:c r="A60" s="12" t="str">
        <x:v>NEED-0010</x:v>
      </x:c>
      <x:c r="B60" s="12" t="str">
        <x:v>CAP-0020</x:v>
      </x:c>
      <x:c r="C60" s="12" t="str">
        <x:v>Requires / relates to</x:v>
      </x:c>
      <x:c r="D60" s="12" t="str">
        <x:v>Secondary</x:v>
      </x:c>
    </x:row>
    <x:row r="61">
      <x:c r="A61" s="12" t="str">
        <x:v>NEED-0010</x:v>
      </x:c>
      <x:c r="B61" s="12" t="str">
        <x:v>CAP-0021</x:v>
      </x:c>
      <x:c r="C61" s="12" t="str">
        <x:v>Requires / relates to</x:v>
      </x:c>
      <x:c r="D61" s="12" t="str">
        <x:v>Secondary</x:v>
      </x:c>
    </x:row>
    <x:row r="62">
      <x:c r="A62" s="12" t="str">
        <x:v>NEED-0011</x:v>
      </x:c>
      <x:c r="B62" s="12" t="str">
        <x:v>CAP-0001</x:v>
      </x:c>
      <x:c r="C62" s="12" t="str">
        <x:v>Requires / relates to</x:v>
      </x:c>
      <x:c r="D62" s="12" t="str">
        <x:v>Primary</x:v>
      </x:c>
    </x:row>
    <x:row r="63">
      <x:c r="A63" s="12" t="str">
        <x:v>NEED-0011</x:v>
      </x:c>
      <x:c r="B63" s="12" t="str">
        <x:v>CAP-0005</x:v>
      </x:c>
      <x:c r="C63" s="12" t="str">
        <x:v>Requires / relates to</x:v>
      </x:c>
      <x:c r="D63" s="12" t="str">
        <x:v>Secondary</x:v>
      </x:c>
    </x:row>
    <x:row r="64">
      <x:c r="A64" s="12" t="str">
        <x:v>NEED-0011</x:v>
      </x:c>
      <x:c r="B64" s="12" t="str">
        <x:v>CAP-0020</x:v>
      </x:c>
      <x:c r="C64" s="12" t="str">
        <x:v>Requires / relates to</x:v>
      </x:c>
      <x:c r="D64" s="12" t="str">
        <x:v>Secondary</x:v>
      </x:c>
    </x:row>
    <x:row r="65">
      <x:c r="A65" s="12" t="str">
        <x:v>NEED-0012</x:v>
      </x:c>
      <x:c r="B65" s="12" t="str">
        <x:v>CAP-0005</x:v>
      </x:c>
      <x:c r="C65" s="12" t="str">
        <x:v>Requires / relates to</x:v>
      </x:c>
      <x:c r="D65" s="12" t="str">
        <x:v>Primary</x:v>
      </x:c>
    </x:row>
    <x:row r="66">
      <x:c r="A66" s="12" t="str">
        <x:v>NEED-0012</x:v>
      </x:c>
      <x:c r="B66" s="12" t="str">
        <x:v>CAP-0012</x:v>
      </x:c>
      <x:c r="C66" s="12" t="str">
        <x:v>Requires / relates to</x:v>
      </x:c>
      <x:c r="D66" s="12" t="str">
        <x:v>Secondary</x:v>
      </x:c>
    </x:row>
    <x:row r="67">
      <x:c r="A67" s="12" t="str">
        <x:v>NEED-0012</x:v>
      </x:c>
      <x:c r="B67" s="12" t="str">
        <x:v>CAP-0014</x:v>
      </x:c>
      <x:c r="C67" s="12" t="str">
        <x:v>Requires / relates to</x:v>
      </x:c>
      <x:c r="D67" s="12" t="str">
        <x:v>Secondary</x:v>
      </x:c>
    </x:row>
    <x:row r="68">
      <x:c r="A68" s="12" t="str">
        <x:v>NEED-0013</x:v>
      </x:c>
      <x:c r="B68" s="12" t="str">
        <x:v>CAP-0005</x:v>
      </x:c>
      <x:c r="C68" s="12" t="str">
        <x:v>Requires / relates to</x:v>
      </x:c>
      <x:c r="D68" s="12" t="str">
        <x:v>Primary</x:v>
      </x:c>
    </x:row>
    <x:row r="69">
      <x:c r="A69" s="12" t="str">
        <x:v>NEED-0013</x:v>
      </x:c>
      <x:c r="B69" s="12" t="str">
        <x:v>CAP-0006</x:v>
      </x:c>
      <x:c r="C69" s="12" t="str">
        <x:v>Requires / relates to</x:v>
      </x:c>
      <x:c r="D69" s="12" t="str">
        <x:v>Secondary</x:v>
      </x:c>
    </x:row>
    <x:row r="70">
      <x:c r="A70" s="12" t="str">
        <x:v>NEED-0013</x:v>
      </x:c>
      <x:c r="B70" s="12" t="str">
        <x:v>CAP-0008</x:v>
      </x:c>
      <x:c r="C70" s="12" t="str">
        <x:v>Requires / relates to</x:v>
      </x:c>
      <x:c r="D70" s="12" t="str">
        <x:v>Secondary</x:v>
      </x:c>
    </x:row>
    <x:row r="71">
      <x:c r="A71" s="12" t="str">
        <x:v>NEED-0013</x:v>
      </x:c>
      <x:c r="B71" s="12" t="str">
        <x:v>CAP-0011</x:v>
      </x:c>
      <x:c r="C71" s="12" t="str">
        <x:v>Requires / relates to</x:v>
      </x:c>
      <x:c r="D71" s="12" t="str">
        <x:v>Secondary</x:v>
      </x:c>
    </x:row>
    <x:row r="72">
      <x:c r="A72" s="12" t="str">
        <x:v>NEED-0014</x:v>
      </x:c>
      <x:c r="B72" s="12" t="str">
        <x:v>CAP-0005</x:v>
      </x:c>
      <x:c r="C72" s="12" t="str">
        <x:v>Requires / relates to</x:v>
      </x:c>
      <x:c r="D72" s="12" t="str">
        <x:v>Primary</x:v>
      </x:c>
    </x:row>
    <x:row r="73">
      <x:c r="A73" s="12" t="str">
        <x:v>NEED-0014</x:v>
      </x:c>
      <x:c r="B73" s="12" t="str">
        <x:v>CAP-0006</x:v>
      </x:c>
      <x:c r="C73" s="12" t="str">
        <x:v>Requires / relates to</x:v>
      </x:c>
      <x:c r="D73" s="12" t="str">
        <x:v>Secondary</x:v>
      </x:c>
    </x:row>
    <x:row r="74">
      <x:c r="A74" s="12" t="str">
        <x:v>NEED-0014</x:v>
      </x:c>
      <x:c r="B74" s="12" t="str">
        <x:v>CAP-0008</x:v>
      </x:c>
      <x:c r="C74" s="12" t="str">
        <x:v>Requires / relates to</x:v>
      </x:c>
      <x:c r="D74" s="12" t="str">
        <x:v>Secondary</x:v>
      </x:c>
    </x:row>
    <x:row r="75">
      <x:c r="A75" s="12" t="str">
        <x:v>NEED-0014</x:v>
      </x:c>
      <x:c r="B75" s="12" t="str">
        <x:v>CAP-0010</x:v>
      </x:c>
      <x:c r="C75" s="12" t="str">
        <x:v>Requires / relates to</x:v>
      </x:c>
      <x:c r="D75" s="12" t="str">
        <x:v>Secondary</x:v>
      </x:c>
    </x:row>
    <x:row r="76">
      <x:c r="A76" s="12" t="str">
        <x:v>NEED-0014</x:v>
      </x:c>
      <x:c r="B76" s="12" t="str">
        <x:v>CAP-0012</x:v>
      </x:c>
      <x:c r="C76" s="12" t="str">
        <x:v>Requires / relates to</x:v>
      </x:c>
      <x:c r="D76" s="12" t="str">
        <x:v>Secondary</x:v>
      </x:c>
    </x:row>
    <x:row r="77">
      <x:c r="A77" s="12" t="str">
        <x:v>NEED-0014</x:v>
      </x:c>
      <x:c r="B77" s="12" t="str">
        <x:v>CAP-0014</x:v>
      </x:c>
      <x:c r="C77" s="12" t="str">
        <x:v>Requires / relates to</x:v>
      </x:c>
      <x:c r="D77" s="12" t="str">
        <x:v>Secondary</x:v>
      </x:c>
    </x:row>
    <x:row r="78">
      <x:c r="A78" s="12" t="str">
        <x:v>NEED-0015</x:v>
      </x:c>
      <x:c r="B78" s="12" t="str">
        <x:v>CAP-0005</x:v>
      </x:c>
      <x:c r="C78" s="12" t="str">
        <x:v>Requires / relates to</x:v>
      </x:c>
      <x:c r="D78" s="12" t="str">
        <x:v>Primary</x:v>
      </x:c>
    </x:row>
    <x:row r="79">
      <x:c r="A79" s="12" t="str">
        <x:v>NEED-0016</x:v>
      </x:c>
      <x:c r="B79" s="12" t="str">
        <x:v>CAP-0005</x:v>
      </x:c>
      <x:c r="C79" s="12" t="str">
        <x:v>Requires / relates to</x:v>
      </x:c>
      <x:c r="D79" s="12" t="str">
        <x:v>Primary</x:v>
      </x:c>
    </x:row>
    <x:row r="80">
      <x:c r="A80" s="12" t="str">
        <x:v>NEED-0017</x:v>
      </x:c>
      <x:c r="B80" s="12" t="str">
        <x:v>CAP-0001</x:v>
      </x:c>
      <x:c r="C80" s="12" t="str">
        <x:v>Requires / relates to</x:v>
      </x:c>
      <x:c r="D80" s="12" t="str">
        <x:v>Primary</x:v>
      </x:c>
    </x:row>
    <x:row r="81">
      <x:c r="A81" s="12" t="str">
        <x:v>NEED-0017</x:v>
      </x:c>
      <x:c r="B81" s="12" t="str">
        <x:v>CAP-0005</x:v>
      </x:c>
      <x:c r="C81" s="12" t="str">
        <x:v>Requires / relates to</x:v>
      </x:c>
      <x:c r="D81" s="12" t="str">
        <x:v>Secondary</x:v>
      </x:c>
    </x:row>
    <x:row r="82">
      <x:c r="A82" s="12" t="str">
        <x:v>NEED-0017</x:v>
      </x:c>
      <x:c r="B82" s="12" t="str">
        <x:v>CAP-0008</x:v>
      </x:c>
      <x:c r="C82" s="12" t="str">
        <x:v>Requires / relates to</x:v>
      </x:c>
      <x:c r="D82" s="12" t="str">
        <x:v>Secondary</x:v>
      </x:c>
    </x:row>
    <x:row r="83">
      <x:c r="A83" s="12" t="str">
        <x:v>NEED-0017</x:v>
      </x:c>
      <x:c r="B83" s="12" t="str">
        <x:v>CAP-0010</x:v>
      </x:c>
      <x:c r="C83" s="12" t="str">
        <x:v>Requires / relates to</x:v>
      </x:c>
      <x:c r="D83" s="12" t="str">
        <x:v>Secondary</x:v>
      </x:c>
    </x:row>
    <x:row r="84">
      <x:c r="A84" s="12" t="str">
        <x:v>NEED-0017</x:v>
      </x:c>
      <x:c r="B84" s="12" t="str">
        <x:v>CAP-0014</x:v>
      </x:c>
      <x:c r="C84" s="12" t="str">
        <x:v>Requires / relates to</x:v>
      </x:c>
      <x:c r="D84" s="12" t="str">
        <x:v>Secondary</x:v>
      </x:c>
    </x:row>
    <x:row r="85">
      <x:c r="A85" s="12" t="str">
        <x:v>NEED-0017</x:v>
      </x:c>
      <x:c r="B85" s="12" t="str">
        <x:v>CAP-0021</x:v>
      </x:c>
      <x:c r="C85" s="12" t="str">
        <x:v>Requires / relates to</x:v>
      </x:c>
      <x:c r="D85" s="12" t="str">
        <x:v>Secondary</x:v>
      </x:c>
    </x:row>
    <x:row r="86">
      <x:c r="A86" s="12" t="str">
        <x:v>NEED-0018</x:v>
      </x:c>
      <x:c r="B86" s="12" t="str">
        <x:v>CAP-0005</x:v>
      </x:c>
      <x:c r="C86" s="12" t="str">
        <x:v>Requires / relates to</x:v>
      </x:c>
      <x:c r="D86" s="12" t="str">
        <x:v>Primary</x:v>
      </x:c>
    </x:row>
    <x:row r="87">
      <x:c r="A87" s="12" t="str">
        <x:v>NEED-0018</x:v>
      </x:c>
      <x:c r="B87" s="12" t="str">
        <x:v>CAP-0011</x:v>
      </x:c>
      <x:c r="C87" s="12" t="str">
        <x:v>Requires / relates to</x:v>
      </x:c>
      <x:c r="D87" s="12" t="str">
        <x:v>Secondary</x:v>
      </x:c>
    </x:row>
    <x:row r="88">
      <x:c r="A88" s="12" t="str">
        <x:v>NEED-0018</x:v>
      </x:c>
      <x:c r="B88" s="12" t="str">
        <x:v>CAP-0021</x:v>
      </x:c>
      <x:c r="C88" s="12" t="str">
        <x:v>Requires / relates to</x:v>
      </x:c>
      <x:c r="D88" s="12" t="str">
        <x:v>Secondary</x:v>
      </x:c>
    </x:row>
    <x:row r="89">
      <x:c r="A89" s="12" t="str">
        <x:v>NEED-0019</x:v>
      </x:c>
      <x:c r="B89" s="12" t="str">
        <x:v>CAP-0005</x:v>
      </x:c>
      <x:c r="C89" s="12" t="str">
        <x:v>Requires / relates to</x:v>
      </x:c>
      <x:c r="D89" s="12" t="str">
        <x:v>Primary</x:v>
      </x:c>
    </x:row>
    <x:row r="90">
      <x:c r="A90" s="12" t="str">
        <x:v>NEED-0019</x:v>
      </x:c>
      <x:c r="B90" s="12" t="str">
        <x:v>CAP-0006</x:v>
      </x:c>
      <x:c r="C90" s="12" t="str">
        <x:v>Requires / relates to</x:v>
      </x:c>
      <x:c r="D90" s="12" t="str">
        <x:v>Secondary</x:v>
      </x:c>
    </x:row>
    <x:row r="91">
      <x:c r="A91" s="12" t="str">
        <x:v>NEED-0019</x:v>
      </x:c>
      <x:c r="B91" s="12" t="str">
        <x:v>CAP-0008</x:v>
      </x:c>
      <x:c r="C91" s="12" t="str">
        <x:v>Requires / relates to</x:v>
      </x:c>
      <x:c r="D91" s="12" t="str">
        <x:v>Secondary</x:v>
      </x:c>
    </x:row>
    <x:row r="92">
      <x:c r="A92" s="12" t="str">
        <x:v>NEED-0019</x:v>
      </x:c>
      <x:c r="B92" s="12" t="str">
        <x:v>CAP-0011</x:v>
      </x:c>
      <x:c r="C92" s="12" t="str">
        <x:v>Requires / relates to</x:v>
      </x:c>
      <x:c r="D92" s="12" t="str">
        <x:v>Secondary</x:v>
      </x:c>
    </x:row>
    <x:row r="93">
      <x:c r="A93" s="12" t="str">
        <x:v>NEED-0019</x:v>
      </x:c>
      <x:c r="B93" s="12" t="str">
        <x:v>CAP-0013</x:v>
      </x:c>
      <x:c r="C93" s="12" t="str">
        <x:v>Requires / relates to</x:v>
      </x:c>
      <x:c r="D93" s="12" t="str">
        <x:v>Secondary</x:v>
      </x:c>
    </x:row>
    <x:row r="94">
      <x:c r="A94" s="12" t="str">
        <x:v>NEED-0019</x:v>
      </x:c>
      <x:c r="B94" s="12" t="str">
        <x:v>CAP-0017</x:v>
      </x:c>
      <x:c r="C94" s="12" t="str">
        <x:v>Requires / relates to</x:v>
      </x:c>
      <x:c r="D94" s="12" t="str">
        <x:v>Secondary</x:v>
      </x:c>
    </x:row>
    <x:row r="95">
      <x:c r="A95" s="12" t="str">
        <x:v>NEED-0019</x:v>
      </x:c>
      <x:c r="B95" s="12" t="str">
        <x:v>CAP-0021</x:v>
      </x:c>
      <x:c r="C95" s="12" t="str">
        <x:v>Requires / relates to</x:v>
      </x:c>
      <x:c r="D95" s="12" t="str">
        <x:v>Secondary</x:v>
      </x:c>
    </x:row>
    <x:row r="96">
      <x:c r="A96" s="12" t="str">
        <x:v>NEED-0020</x:v>
      </x:c>
      <x:c r="B96" s="12" t="str">
        <x:v>CAP-0001</x:v>
      </x:c>
      <x:c r="C96" s="12" t="str">
        <x:v>Requires / relates to</x:v>
      </x:c>
      <x:c r="D96" s="12" t="str">
        <x:v>Primary</x:v>
      </x:c>
    </x:row>
    <x:row r="97">
      <x:c r="A97" s="12" t="str">
        <x:v>NEED-0020</x:v>
      </x:c>
      <x:c r="B97" s="12" t="str">
        <x:v>CAP-0008</x:v>
      </x:c>
      <x:c r="C97" s="12" t="str">
        <x:v>Requires / relates to</x:v>
      </x:c>
      <x:c r="D97" s="12" t="str">
        <x:v>Secondary</x:v>
      </x:c>
    </x:row>
    <x:row r="98">
      <x:c r="A98" s="12" t="str">
        <x:v>NEED-0020</x:v>
      </x:c>
      <x:c r="B98" s="12" t="str">
        <x:v>CAP-0012</x:v>
      </x:c>
      <x:c r="C98" s="12" t="str">
        <x:v>Requires / relates to</x:v>
      </x:c>
      <x:c r="D98" s="12" t="str">
        <x:v>Secondary</x:v>
      </x:c>
    </x:row>
    <x:row r="99">
      <x:c r="A99" s="12" t="str">
        <x:v>NEED-0020</x:v>
      </x:c>
      <x:c r="B99" s="12" t="str">
        <x:v>CAP-0022</x:v>
      </x:c>
      <x:c r="C99" s="12" t="str">
        <x:v>Requires / relates to</x:v>
      </x:c>
      <x:c r="D99" s="12" t="str">
        <x:v>Secondary</x:v>
      </x:c>
    </x:row>
    <x:row r="100">
      <x:c r="A100" s="12" t="str">
        <x:v>NEED-0021</x:v>
      </x:c>
      <x:c r="B100" s="12" t="str">
        <x:v>CAP-0001</x:v>
      </x:c>
      <x:c r="C100" s="12" t="str">
        <x:v>Requires / relates to</x:v>
      </x:c>
      <x:c r="D100" s="12" t="str">
        <x:v>Primary</x:v>
      </x:c>
    </x:row>
    <x:row r="101">
      <x:c r="A101" s="12" t="str">
        <x:v>NEED-0021</x:v>
      </x:c>
      <x:c r="B101" s="12" t="str">
        <x:v>CAP-0008</x:v>
      </x:c>
      <x:c r="C101" s="12" t="str">
        <x:v>Requires / relates to</x:v>
      </x:c>
      <x:c r="D101" s="12" t="str">
        <x:v>Secondary</x:v>
      </x:c>
    </x:row>
    <x:row r="102">
      <x:c r="A102" s="12" t="str">
        <x:v>NEED-0022</x:v>
      </x:c>
      <x:c r="B102" s="12" t="str">
        <x:v>CAP-0008</x:v>
      </x:c>
      <x:c r="C102" s="12" t="str">
        <x:v>Requires / relates to</x:v>
      </x:c>
      <x:c r="D102" s="12" t="str">
        <x:v>Primary</x:v>
      </x:c>
    </x:row>
    <x:row r="103">
      <x:c r="A103" s="12" t="str">
        <x:v>NEED-0022</x:v>
      </x:c>
      <x:c r="B103" s="12" t="str">
        <x:v>CAP-0009</x:v>
      </x:c>
      <x:c r="C103" s="12" t="str">
        <x:v>Requires / relates to</x:v>
      </x:c>
      <x:c r="D103" s="12" t="str">
        <x:v>Secondary</x:v>
      </x:c>
    </x:row>
    <x:row r="104">
      <x:c r="A104" s="12" t="str">
        <x:v>NEED-0022</x:v>
      </x:c>
      <x:c r="B104" s="12" t="str">
        <x:v>CAP-0011</x:v>
      </x:c>
      <x:c r="C104" s="12" t="str">
        <x:v>Requires / relates to</x:v>
      </x:c>
      <x:c r="D104" s="12" t="str">
        <x:v>Secondary</x:v>
      </x:c>
    </x:row>
    <x:row r="105">
      <x:c r="A105" s="12" t="str">
        <x:v>NEED-0022</x:v>
      </x:c>
      <x:c r="B105" s="12" t="str">
        <x:v>CAP-0014</x:v>
      </x:c>
      <x:c r="C105" s="12" t="str">
        <x:v>Requires / relates to</x:v>
      </x:c>
      <x:c r="D105" s="12" t="str">
        <x:v>Secondary</x:v>
      </x:c>
    </x:row>
    <x:row r="106">
      <x:c r="A106" s="12" t="str">
        <x:v>NEED-0022</x:v>
      </x:c>
      <x:c r="B106" s="12" t="str">
        <x:v>CAP-0021</x:v>
      </x:c>
      <x:c r="C106" s="12" t="str">
        <x:v>Requires / relates to</x:v>
      </x:c>
      <x:c r="D106" s="12" t="str">
        <x:v>Secondary</x:v>
      </x:c>
    </x:row>
    <x:row r="107">
      <x:c r="A107" s="12" t="str">
        <x:v>NEED-0023</x:v>
      </x:c>
      <x:c r="B107" s="12" t="str">
        <x:v>CAP-0008</x:v>
      </x:c>
      <x:c r="C107" s="12" t="str">
        <x:v>Requires / relates to</x:v>
      </x:c>
      <x:c r="D107" s="12" t="str">
        <x:v>Primary</x:v>
      </x:c>
    </x:row>
    <x:row r="108">
      <x:c r="A108" s="12" t="str">
        <x:v>NEED-0023</x:v>
      </x:c>
      <x:c r="B108" s="12" t="str">
        <x:v>CAP-0021</x:v>
      </x:c>
      <x:c r="C108" s="12" t="str">
        <x:v>Requires / relates to</x:v>
      </x:c>
      <x:c r="D108" s="12" t="str">
        <x:v>Secondary</x:v>
      </x:c>
    </x:row>
    <x:row r="109">
      <x:c r="A109" s="12" t="str">
        <x:v>NEED-0024</x:v>
      </x:c>
      <x:c r="B109" s="12" t="str">
        <x:v>CAP-0008</x:v>
      </x:c>
      <x:c r="C109" s="12" t="str">
        <x:v>Requires / relates to</x:v>
      </x:c>
      <x:c r="D109" s="12" t="str">
        <x:v>Primary</x:v>
      </x:c>
    </x:row>
    <x:row r="110">
      <x:c r="A110" s="12" t="str">
        <x:v>NEED-0024</x:v>
      </x:c>
      <x:c r="B110" s="12" t="str">
        <x:v>CAP-0013</x:v>
      </x:c>
      <x:c r="C110" s="12" t="str">
        <x:v>Requires / relates to</x:v>
      </x:c>
      <x:c r="D110" s="12" t="str">
        <x:v>Secondary</x:v>
      </x:c>
    </x:row>
    <x:row r="111">
      <x:c r="A111" s="12" t="str">
        <x:v>NEED-0024</x:v>
      </x:c>
      <x:c r="B111" s="12" t="str">
        <x:v>CAP-0021</x:v>
      </x:c>
      <x:c r="C111" s="12" t="str">
        <x:v>Requires / relates to</x:v>
      </x:c>
      <x:c r="D111" s="12" t="str">
        <x:v>Secondary</x:v>
      </x:c>
    </x:row>
    <x:row r="112">
      <x:c r="A112" s="12" t="str">
        <x:v>NEED-0024</x:v>
      </x:c>
      <x:c r="B112" s="12" t="str">
        <x:v>CAP-0022</x:v>
      </x:c>
      <x:c r="C112" s="12" t="str">
        <x:v>Requires / relates to</x:v>
      </x:c>
      <x:c r="D112" s="12" t="str">
        <x:v>Secondary</x:v>
      </x:c>
    </x:row>
    <x:row r="113">
      <x:c r="A113" s="12" t="str">
        <x:v>NEED-0025</x:v>
      </x:c>
      <x:c r="B113" s="12" t="str">
        <x:v>CAP-0001</x:v>
      </x:c>
      <x:c r="C113" s="12" t="str">
        <x:v>Requires / relates to</x:v>
      </x:c>
      <x:c r="D113" s="12" t="str">
        <x:v>Primary</x:v>
      </x:c>
    </x:row>
    <x:row r="114">
      <x:c r="A114" s="12" t="str">
        <x:v>NEED-0025</x:v>
      </x:c>
      <x:c r="B114" s="12" t="str">
        <x:v>CAP-0004</x:v>
      </x:c>
      <x:c r="C114" s="12" t="str">
        <x:v>Requires / relates to</x:v>
      </x:c>
      <x:c r="D114" s="12" t="str">
        <x:v>Secondary</x:v>
      </x:c>
    </x:row>
    <x:row r="115">
      <x:c r="A115" s="12" t="str">
        <x:v>NEED-0025</x:v>
      </x:c>
      <x:c r="B115" s="12" t="str">
        <x:v>CAP-0008</x:v>
      </x:c>
      <x:c r="C115" s="12" t="str">
        <x:v>Requires / relates to</x:v>
      </x:c>
      <x:c r="D115" s="12" t="str">
        <x:v>Secondary</x:v>
      </x:c>
    </x:row>
    <x:row r="116">
      <x:c r="A116" s="12" t="str">
        <x:v>NEED-0025</x:v>
      </x:c>
      <x:c r="B116" s="12" t="str">
        <x:v>CAP-0011</x:v>
      </x:c>
      <x:c r="C116" s="12" t="str">
        <x:v>Requires / relates to</x:v>
      </x:c>
      <x:c r="D116" s="12" t="str">
        <x:v>Secondary</x:v>
      </x:c>
    </x:row>
    <x:row r="117">
      <x:c r="A117" s="12" t="str">
        <x:v>NEED-0026</x:v>
      </x:c>
      <x:c r="B117" s="12" t="str">
        <x:v>CAP-0008</x:v>
      </x:c>
      <x:c r="C117" s="12" t="str">
        <x:v>Requires / relates to</x:v>
      </x:c>
      <x:c r="D117" s="12" t="str">
        <x:v>Primary</x:v>
      </x:c>
    </x:row>
    <x:row r="118">
      <x:c r="A118" s="12" t="str">
        <x:v>NEED-0026</x:v>
      </x:c>
      <x:c r="B118" s="12" t="str">
        <x:v>CAP-0011</x:v>
      </x:c>
      <x:c r="C118" s="12" t="str">
        <x:v>Requires / relates to</x:v>
      </x:c>
      <x:c r="D118" s="12" t="str">
        <x:v>Secondary</x:v>
      </x:c>
    </x:row>
    <x:row r="119">
      <x:c r="A119" s="12" t="str">
        <x:v>NEED-0026</x:v>
      </x:c>
      <x:c r="B119" s="12" t="str">
        <x:v>CAP-0021</x:v>
      </x:c>
      <x:c r="C119" s="12" t="str">
        <x:v>Requires / relates to</x:v>
      </x:c>
      <x:c r="D119" s="12" t="str">
        <x:v>Secondary</x:v>
      </x:c>
    </x:row>
    <x:row r="120">
      <x:c r="A120" s="12" t="str">
        <x:v>NEED-0027</x:v>
      </x:c>
      <x:c r="B120" s="12" t="str">
        <x:v>CAP-0008</x:v>
      </x:c>
      <x:c r="C120" s="12" t="str">
        <x:v>Requires / relates to</x:v>
      </x:c>
      <x:c r="D120" s="12" t="str">
        <x:v>Primary</x:v>
      </x:c>
    </x:row>
    <x:row r="121">
      <x:c r="A121" s="12" t="str">
        <x:v>NEED-0027</x:v>
      </x:c>
      <x:c r="B121" s="12" t="str">
        <x:v>CAP-0021</x:v>
      </x:c>
      <x:c r="C121" s="12" t="str">
        <x:v>Requires / relates to</x:v>
      </x:c>
      <x:c r="D121" s="12" t="str">
        <x:v>Secondary</x:v>
      </x:c>
    </x:row>
    <x:row r="122">
      <x:c r="A122" s="12" t="str">
        <x:v>NEED-0028</x:v>
      </x:c>
      <x:c r="B122" s="12" t="str">
        <x:v>CAP-0008</x:v>
      </x:c>
      <x:c r="C122" s="12" t="str">
        <x:v>Requires / relates to</x:v>
      </x:c>
      <x:c r="D122" s="12" t="str">
        <x:v>Primary</x:v>
      </x:c>
    </x:row>
    <x:row r="123">
      <x:c r="A123" s="12" t="str">
        <x:v>NEED-0028</x:v>
      </x:c>
      <x:c r="B123" s="12" t="str">
        <x:v>CAP-0011</x:v>
      </x:c>
      <x:c r="C123" s="12" t="str">
        <x:v>Requires / relates to</x:v>
      </x:c>
      <x:c r="D123" s="12" t="str">
        <x:v>Secondary</x:v>
      </x:c>
    </x:row>
    <x:row r="124">
      <x:c r="A124" s="12" t="str">
        <x:v>NEED-0028</x:v>
      </x:c>
      <x:c r="B124" s="12" t="str">
        <x:v>CAP-0018</x:v>
      </x:c>
      <x:c r="C124" s="12" t="str">
        <x:v>Requires / relates to</x:v>
      </x:c>
      <x:c r="D124" s="12" t="str">
        <x:v>Secondary</x:v>
      </x:c>
    </x:row>
    <x:row r="125">
      <x:c r="A125" s="12" t="str">
        <x:v>NEED-0028</x:v>
      </x:c>
      <x:c r="B125" s="12" t="str">
        <x:v>CAP-0019</x:v>
      </x:c>
      <x:c r="C125" s="12" t="str">
        <x:v>Requires / relates to</x:v>
      </x:c>
      <x:c r="D125" s="12" t="str">
        <x:v>Secondary</x:v>
      </x:c>
    </x:row>
    <x:row r="126">
      <x:c r="A126" s="12" t="str">
        <x:v>NEED-0029</x:v>
      </x:c>
      <x:c r="B126" s="12" t="str">
        <x:v>CAP-0008</x:v>
      </x:c>
      <x:c r="C126" s="12" t="str">
        <x:v>Requires / relates to</x:v>
      </x:c>
      <x:c r="D126" s="12" t="str">
        <x:v>Primary</x:v>
      </x:c>
    </x:row>
    <x:row r="127">
      <x:c r="A127" s="12" t="str">
        <x:v>NEED-0029</x:v>
      </x:c>
      <x:c r="B127" s="12" t="str">
        <x:v>CAP-0013</x:v>
      </x:c>
      <x:c r="C127" s="12" t="str">
        <x:v>Requires / relates to</x:v>
      </x:c>
      <x:c r="D127" s="12" t="str">
        <x:v>Secondary</x:v>
      </x:c>
    </x:row>
    <x:row r="128">
      <x:c r="A128" s="12" t="str">
        <x:v>NEED-0029</x:v>
      </x:c>
      <x:c r="B128" s="12" t="str">
        <x:v>CAP-0018</x:v>
      </x:c>
      <x:c r="C128" s="12" t="str">
        <x:v>Requires / relates to</x:v>
      </x:c>
      <x:c r="D128" s="12" t="str">
        <x:v>Secondary</x:v>
      </x:c>
    </x:row>
    <x:row r="129">
      <x:c r="A129" s="12" t="str">
        <x:v>NEED-0030</x:v>
      </x:c>
      <x:c r="B129" s="12" t="str">
        <x:v>CAP-0006</x:v>
      </x:c>
      <x:c r="C129" s="12" t="str">
        <x:v>Requires / relates to</x:v>
      </x:c>
      <x:c r="D129" s="12" t="str">
        <x:v>Primary</x:v>
      </x:c>
    </x:row>
    <x:row r="130">
      <x:c r="A130" s="12" t="str">
        <x:v>NEED-0030</x:v>
      </x:c>
      <x:c r="B130" s="12" t="str">
        <x:v>CAP-0008</x:v>
      </x:c>
      <x:c r="C130" s="12" t="str">
        <x:v>Requires / relates to</x:v>
      </x:c>
      <x:c r="D130" s="12" t="str">
        <x:v>Secondary</x:v>
      </x:c>
    </x:row>
    <x:row r="131">
      <x:c r="A131" s="12" t="str">
        <x:v>NEED-0031</x:v>
      </x:c>
      <x:c r="B131" s="12" t="str">
        <x:v>CAP-0008</x:v>
      </x:c>
      <x:c r="C131" s="12" t="str">
        <x:v>Requires / relates to</x:v>
      </x:c>
      <x:c r="D131" s="12" t="str">
        <x:v>Primary</x:v>
      </x:c>
    </x:row>
    <x:row r="132">
      <x:c r="A132" s="12" t="str">
        <x:v>NEED-0032</x:v>
      </x:c>
      <x:c r="B132" s="12" t="str">
        <x:v>CAP-0001</x:v>
      </x:c>
      <x:c r="C132" s="12" t="str">
        <x:v>Requires / relates to</x:v>
      </x:c>
      <x:c r="D132" s="12" t="str">
        <x:v>Primary</x:v>
      </x:c>
    </x:row>
    <x:row r="133">
      <x:c r="A133" s="12" t="str">
        <x:v>NEED-0032</x:v>
      </x:c>
      <x:c r="B133" s="12" t="str">
        <x:v>CAP-0008</x:v>
      </x:c>
      <x:c r="C133" s="12" t="str">
        <x:v>Requires / relates to</x:v>
      </x:c>
      <x:c r="D133" s="12" t="str">
        <x:v>Secondary</x:v>
      </x:c>
    </x:row>
    <x:row r="134">
      <x:c r="A134" s="12" t="str">
        <x:v>NEED-0032</x:v>
      </x:c>
      <x:c r="B134" s="12" t="str">
        <x:v>CAP-0013</x:v>
      </x:c>
      <x:c r="C134" s="12" t="str">
        <x:v>Requires / relates to</x:v>
      </x:c>
      <x:c r="D134" s="12" t="str">
        <x:v>Secondary</x:v>
      </x:c>
    </x:row>
    <x:row r="135">
      <x:c r="A135" s="12" t="str">
        <x:v>NEED-0032</x:v>
      </x:c>
      <x:c r="B135" s="12" t="str">
        <x:v>CAP-0014</x:v>
      </x:c>
      <x:c r="C135" s="12" t="str">
        <x:v>Requires / relates to</x:v>
      </x:c>
      <x:c r="D135" s="12" t="str">
        <x:v>Secondary</x:v>
      </x:c>
    </x:row>
    <x:row r="136">
      <x:c r="A136" s="12" t="str">
        <x:v>NEED-0032</x:v>
      </x:c>
      <x:c r="B136" s="12" t="str">
        <x:v>CAP-0021</x:v>
      </x:c>
      <x:c r="C136" s="12" t="str">
        <x:v>Requires / relates to</x:v>
      </x:c>
      <x:c r="D136" s="12" t="str">
        <x:v>Secondary</x:v>
      </x:c>
    </x:row>
    <x:row r="137">
      <x:c r="A137" s="12" t="str">
        <x:v>NEED-0033</x:v>
      </x:c>
      <x:c r="B137" s="12" t="str">
        <x:v>CAP-0008</x:v>
      </x:c>
      <x:c r="C137" s="12" t="str">
        <x:v>Requires / relates to</x:v>
      </x:c>
      <x:c r="D137" s="12" t="str">
        <x:v>Primary</x:v>
      </x:c>
    </x:row>
    <x:row r="138">
      <x:c r="A138" s="12" t="str">
        <x:v>NEED-0033</x:v>
      </x:c>
      <x:c r="B138" s="12" t="str">
        <x:v>CAP-0011</x:v>
      </x:c>
      <x:c r="C138" s="12" t="str">
        <x:v>Requires / relates to</x:v>
      </x:c>
      <x:c r="D138" s="12" t="str">
        <x:v>Secondary</x:v>
      </x:c>
    </x:row>
    <x:row r="139">
      <x:c r="A139" s="12" t="str">
        <x:v>NEED-0033</x:v>
      </x:c>
      <x:c r="B139" s="12" t="str">
        <x:v>CAP-0012</x:v>
      </x:c>
      <x:c r="C139" s="12" t="str">
        <x:v>Requires / relates to</x:v>
      </x:c>
      <x:c r="D139" s="12" t="str">
        <x:v>Secondary</x:v>
      </x:c>
    </x:row>
    <x:row r="140">
      <x:c r="A140" s="12" t="str">
        <x:v>NEED-0033</x:v>
      </x:c>
      <x:c r="B140" s="12" t="str">
        <x:v>CAP-0020</x:v>
      </x:c>
      <x:c r="C140" s="12" t="str">
        <x:v>Requires / relates to</x:v>
      </x:c>
      <x:c r="D140" s="12" t="str">
        <x:v>Secondary</x:v>
      </x:c>
    </x:row>
    <x:row r="141">
      <x:c r="A141" s="12" t="str">
        <x:v>NEED-0033</x:v>
      </x:c>
      <x:c r="B141" s="12" t="str">
        <x:v>CAP-0021</x:v>
      </x:c>
      <x:c r="C141" s="12" t="str">
        <x:v>Requires / relates to</x:v>
      </x:c>
      <x:c r="D141" s="12" t="str">
        <x:v>Secondary</x:v>
      </x:c>
    </x:row>
    <x:row r="142">
      <x:c r="A142" s="12" t="str">
        <x:v>NEED-0034</x:v>
      </x:c>
      <x:c r="B142" s="12" t="str">
        <x:v>CAP-0008</x:v>
      </x:c>
      <x:c r="C142" s="12" t="str">
        <x:v>Requires / relates to</x:v>
      </x:c>
      <x:c r="D142" s="12" t="str">
        <x:v>Primary</x:v>
      </x:c>
    </x:row>
    <x:row r="143">
      <x:c r="A143" s="12" t="str">
        <x:v>NEED-0035</x:v>
      </x:c>
      <x:c r="B143" s="12" t="str">
        <x:v>CAP-0008</x:v>
      </x:c>
      <x:c r="C143" s="12" t="str">
        <x:v>Requires / relates to</x:v>
      </x:c>
      <x:c r="D143" s="12" t="str">
        <x:v>Primary</x:v>
      </x:c>
    </x:row>
    <x:row r="144">
      <x:c r="A144" s="12" t="str">
        <x:v>NEED-0035</x:v>
      </x:c>
      <x:c r="B144" s="12" t="str">
        <x:v>CAP-0012</x:v>
      </x:c>
      <x:c r="C144" s="12" t="str">
        <x:v>Requires / relates to</x:v>
      </x:c>
      <x:c r="D144" s="12" t="str">
        <x:v>Secondary</x:v>
      </x:c>
    </x:row>
    <x:row r="145">
      <x:c r="A145" s="12" t="str">
        <x:v>NEED-0035</x:v>
      </x:c>
      <x:c r="B145" s="12" t="str">
        <x:v>CAP-0019</x:v>
      </x:c>
      <x:c r="C145" s="12" t="str">
        <x:v>Requires / relates to</x:v>
      </x:c>
      <x:c r="D145" s="12" t="str">
        <x:v>Secondary</x:v>
      </x:c>
    </x:row>
    <x:row r="146">
      <x:c r="A146" s="12" t="str">
        <x:v>NEED-0036</x:v>
      </x:c>
      <x:c r="B146" s="12" t="str">
        <x:v>CAP-0008</x:v>
      </x:c>
      <x:c r="C146" s="12" t="str">
        <x:v>Requires / relates to</x:v>
      </x:c>
      <x:c r="D146" s="12" t="str">
        <x:v>Primary</x:v>
      </x:c>
    </x:row>
    <x:row r="147">
      <x:c r="A147" s="12" t="str">
        <x:v>NEED-0036</x:v>
      </x:c>
      <x:c r="B147" s="12" t="str">
        <x:v>CAP-0013</x:v>
      </x:c>
      <x:c r="C147" s="12" t="str">
        <x:v>Requires / relates to</x:v>
      </x:c>
      <x:c r="D147" s="12" t="str">
        <x:v>Secondary</x:v>
      </x:c>
    </x:row>
    <x:row r="148">
      <x:c r="A148" s="12" t="str">
        <x:v>NEED-0036</x:v>
      </x:c>
      <x:c r="B148" s="12" t="str">
        <x:v>CAP-0022</x:v>
      </x:c>
      <x:c r="C148" s="12" t="str">
        <x:v>Requires / relates to</x:v>
      </x:c>
      <x:c r="D148" s="12" t="str">
        <x:v>Secondary</x:v>
      </x:c>
    </x:row>
    <x:row r="149">
      <x:c r="A149" s="12" t="str">
        <x:v>NEED-0037</x:v>
      </x:c>
      <x:c r="B149" s="12" t="str">
        <x:v>CAP-0008</x:v>
      </x:c>
      <x:c r="C149" s="12" t="str">
        <x:v>Requires / relates to</x:v>
      </x:c>
      <x:c r="D149" s="12" t="str">
        <x:v>Primary</x:v>
      </x:c>
    </x:row>
    <x:row r="150">
      <x:c r="A150" s="12" t="str">
        <x:v>NEED-0037</x:v>
      </x:c>
      <x:c r="B150" s="12" t="str">
        <x:v>CAP-0011</x:v>
      </x:c>
      <x:c r="C150" s="12" t="str">
        <x:v>Requires / relates to</x:v>
      </x:c>
      <x:c r="D150" s="12" t="str">
        <x:v>Secondary</x:v>
      </x:c>
    </x:row>
    <x:row r="151">
      <x:c r="A151" s="12" t="str">
        <x:v>NEED-0037</x:v>
      </x:c>
      <x:c r="B151" s="12" t="str">
        <x:v>CAP-0014</x:v>
      </x:c>
      <x:c r="C151" s="12" t="str">
        <x:v>Requires / relates to</x:v>
      </x:c>
      <x:c r="D151" s="12" t="str">
        <x:v>Secondary</x:v>
      </x:c>
    </x:row>
    <x:row r="152">
      <x:c r="A152" s="12" t="str">
        <x:v>NEED-0037</x:v>
      </x:c>
      <x:c r="B152" s="12" t="str">
        <x:v>CAP-0015</x:v>
      </x:c>
      <x:c r="C152" s="12" t="str">
        <x:v>Requires / relates to</x:v>
      </x:c>
      <x:c r="D152" s="12" t="str">
        <x:v>Secondary</x:v>
      </x:c>
    </x:row>
    <x:row r="153">
      <x:c r="A153" s="12" t="str">
        <x:v>NEED-0037</x:v>
      </x:c>
      <x:c r="B153" s="12" t="str">
        <x:v>CAP-0020</x:v>
      </x:c>
      <x:c r="C153" s="12" t="str">
        <x:v>Requires / relates to</x:v>
      </x:c>
      <x:c r="D153" s="12" t="str">
        <x:v>Secondary</x:v>
      </x:c>
    </x:row>
    <x:row r="154">
      <x:c r="A154" s="12" t="str">
        <x:v>NEED-0037</x:v>
      </x:c>
      <x:c r="B154" s="12" t="str">
        <x:v>CAP-0021</x:v>
      </x:c>
      <x:c r="C154" s="12" t="str">
        <x:v>Requires / relates to</x:v>
      </x:c>
      <x:c r="D154" s="12" t="str">
        <x:v>Secondary</x:v>
      </x:c>
    </x:row>
    <x:row r="155">
      <x:c r="A155" s="12" t="str">
        <x:v>NEED-0038</x:v>
      </x:c>
      <x:c r="B155" s="12" t="str">
        <x:v>CAP-0008</x:v>
      </x:c>
      <x:c r="C155" s="12" t="str">
        <x:v>Requires / relates to</x:v>
      </x:c>
      <x:c r="D155" s="12" t="str">
        <x:v>Primary</x:v>
      </x:c>
    </x:row>
    <x:row r="156">
      <x:c r="A156" s="12" t="str">
        <x:v>NEED-0038</x:v>
      </x:c>
      <x:c r="B156" s="12" t="str">
        <x:v>CAP-0011</x:v>
      </x:c>
      <x:c r="C156" s="12" t="str">
        <x:v>Requires / relates to</x:v>
      </x:c>
      <x:c r="D156" s="12" t="str">
        <x:v>Secondary</x:v>
      </x:c>
    </x:row>
    <x:row r="157">
      <x:c r="A157" s="12" t="str">
        <x:v>NEED-0038</x:v>
      </x:c>
      <x:c r="B157" s="12" t="str">
        <x:v>CAP-0014</x:v>
      </x:c>
      <x:c r="C157" s="12" t="str">
        <x:v>Requires / relates to</x:v>
      </x:c>
      <x:c r="D157" s="12" t="str">
        <x:v>Secondary</x:v>
      </x:c>
    </x:row>
    <x:row r="158">
      <x:c r="A158" s="12" t="str">
        <x:v>NEED-0038</x:v>
      </x:c>
      <x:c r="B158" s="12" t="str">
        <x:v>CAP-0021</x:v>
      </x:c>
      <x:c r="C158" s="12" t="str">
        <x:v>Requires / relates to</x:v>
      </x:c>
      <x:c r="D158" s="12" t="str">
        <x:v>Secondary</x:v>
      </x:c>
    </x:row>
    <x:row r="159">
      <x:c r="A159" s="12" t="str">
        <x:v>NEED-0039</x:v>
      </x:c>
      <x:c r="B159" s="12" t="str">
        <x:v>CAP-0008</x:v>
      </x:c>
      <x:c r="C159" s="12" t="str">
        <x:v>Requires / relates to</x:v>
      </x:c>
      <x:c r="D159" s="12" t="str">
        <x:v>Primary</x:v>
      </x:c>
    </x:row>
    <x:row r="160">
      <x:c r="A160" s="12" t="str">
        <x:v>NEED-0039</x:v>
      </x:c>
      <x:c r="B160" s="12" t="str">
        <x:v>CAP-0014</x:v>
      </x:c>
      <x:c r="C160" s="12" t="str">
        <x:v>Requires / relates to</x:v>
      </x:c>
      <x:c r="D160" s="12" t="str">
        <x:v>Secondary</x:v>
      </x:c>
    </x:row>
    <x:row r="161">
      <x:c r="A161" s="12" t="str">
        <x:v>NEED-0040</x:v>
      </x:c>
      <x:c r="B161" s="12" t="str">
        <x:v>CAP-0008</x:v>
      </x:c>
      <x:c r="C161" s="12" t="str">
        <x:v>Requires / relates to</x:v>
      </x:c>
      <x:c r="D161" s="12" t="str">
        <x:v>Primary</x:v>
      </x:c>
    </x:row>
    <x:row r="162">
      <x:c r="A162" s="12" t="str">
        <x:v>NEED-0040</x:v>
      </x:c>
      <x:c r="B162" s="12" t="str">
        <x:v>CAP-0009</x:v>
      </x:c>
      <x:c r="C162" s="12" t="str">
        <x:v>Requires / relates to</x:v>
      </x:c>
      <x:c r="D162" s="12" t="str">
        <x:v>Secondary</x:v>
      </x:c>
    </x:row>
    <x:row r="163">
      <x:c r="A163" s="12" t="str">
        <x:v>NEED-0040</x:v>
      </x:c>
      <x:c r="B163" s="12" t="str">
        <x:v>CAP-0013</x:v>
      </x:c>
      <x:c r="C163" s="12" t="str">
        <x:v>Requires / relates to</x:v>
      </x:c>
      <x:c r="D163" s="12" t="str">
        <x:v>Secondary</x:v>
      </x:c>
    </x:row>
    <x:row r="164">
      <x:c r="A164" s="12" t="str">
        <x:v>NEED-0041</x:v>
      </x:c>
      <x:c r="B164" s="12" t="str">
        <x:v>CAP-0006</x:v>
      </x:c>
      <x:c r="C164" s="12" t="str">
        <x:v>Requires / relates to</x:v>
      </x:c>
      <x:c r="D164" s="12" t="str">
        <x:v>Primary</x:v>
      </x:c>
    </x:row>
    <x:row r="165">
      <x:c r="A165" s="12" t="str">
        <x:v>NEED-0041</x:v>
      </x:c>
      <x:c r="B165" s="12" t="str">
        <x:v>CAP-0008</x:v>
      </x:c>
      <x:c r="C165" s="12" t="str">
        <x:v>Requires / relates to</x:v>
      </x:c>
      <x:c r="D165" s="12" t="str">
        <x:v>Secondary</x:v>
      </x:c>
    </x:row>
    <x:row r="166">
      <x:c r="A166" s="12" t="str">
        <x:v>NEED-0041</x:v>
      </x:c>
      <x:c r="B166" s="12" t="str">
        <x:v>CAP-0014</x:v>
      </x:c>
      <x:c r="C166" s="12" t="str">
        <x:v>Requires / relates to</x:v>
      </x:c>
      <x:c r="D166" s="12" t="str">
        <x:v>Secondary</x:v>
      </x:c>
    </x:row>
    <x:row r="167">
      <x:c r="A167" s="12" t="str">
        <x:v>NEED-0041</x:v>
      </x:c>
      <x:c r="B167" s="12" t="str">
        <x:v>CAP-0022</x:v>
      </x:c>
      <x:c r="C167" s="12" t="str">
        <x:v>Requires / relates to</x:v>
      </x:c>
      <x:c r="D167" s="12" t="str">
        <x:v>Secondary</x:v>
      </x:c>
    </x:row>
    <x:row r="168">
      <x:c r="A168" s="12" t="str">
        <x:v>NEED-0042</x:v>
      </x:c>
      <x:c r="B168" s="12" t="str">
        <x:v>CAP-0008</x:v>
      </x:c>
      <x:c r="C168" s="12" t="str">
        <x:v>Requires / relates to</x:v>
      </x:c>
      <x:c r="D168" s="12" t="str">
        <x:v>Primary</x:v>
      </x:c>
    </x:row>
    <x:row r="169">
      <x:c r="A169" s="12" t="str">
        <x:v>NEED-0042</x:v>
      </x:c>
      <x:c r="B169" s="12" t="str">
        <x:v>CAP-0011</x:v>
      </x:c>
      <x:c r="C169" s="12" t="str">
        <x:v>Requires / relates to</x:v>
      </x:c>
      <x:c r="D169" s="12" t="str">
        <x:v>Secondary</x:v>
      </x:c>
    </x:row>
    <x:row r="170">
      <x:c r="A170" s="12" t="str">
        <x:v>NEED-0042</x:v>
      </x:c>
      <x:c r="B170" s="12" t="str">
        <x:v>CAP-0013</x:v>
      </x:c>
      <x:c r="C170" s="12" t="str">
        <x:v>Requires / relates to</x:v>
      </x:c>
      <x:c r="D170" s="12" t="str">
        <x:v>Secondary</x:v>
      </x:c>
    </x:row>
    <x:row r="171">
      <x:c r="A171" s="12" t="str">
        <x:v>NEED-0042</x:v>
      </x:c>
      <x:c r="B171" s="12" t="str">
        <x:v>CAP-0020</x:v>
      </x:c>
      <x:c r="C171" s="12" t="str">
        <x:v>Requires / relates to</x:v>
      </x:c>
      <x:c r="D171" s="12" t="str">
        <x:v>Secondary</x:v>
      </x:c>
    </x:row>
    <x:row r="172">
      <x:c r="A172" s="12" t="str">
        <x:v>NEED-0043</x:v>
      </x:c>
      <x:c r="B172" s="12" t="str">
        <x:v>CAP-0008</x:v>
      </x:c>
      <x:c r="C172" s="12" t="str">
        <x:v>Requires / relates to</x:v>
      </x:c>
      <x:c r="D172" s="12" t="str">
        <x:v>Primary</x:v>
      </x:c>
    </x:row>
    <x:row r="173">
      <x:c r="A173" s="12" t="str">
        <x:v>NEED-0043</x:v>
      </x:c>
      <x:c r="B173" s="12" t="str">
        <x:v>CAP-0011</x:v>
      </x:c>
      <x:c r="C173" s="12" t="str">
        <x:v>Requires / relates to</x:v>
      </x:c>
      <x:c r="D173" s="12" t="str">
        <x:v>Secondary</x:v>
      </x:c>
    </x:row>
    <x:row r="174">
      <x:c r="A174" s="12" t="str">
        <x:v>NEED-0044</x:v>
      </x:c>
      <x:c r="B174" s="12" t="str">
        <x:v>CAP-0008</x:v>
      </x:c>
      <x:c r="C174" s="12" t="str">
        <x:v>Requires / relates to</x:v>
      </x:c>
      <x:c r="D174" s="12" t="str">
        <x:v>Primary</x:v>
      </x:c>
    </x:row>
    <x:row r="175">
      <x:c r="A175" s="12" t="str">
        <x:v>NEED-0044</x:v>
      </x:c>
      <x:c r="B175" s="12" t="str">
        <x:v>CAP-0021</x:v>
      </x:c>
      <x:c r="C175" s="12" t="str">
        <x:v>Requires / relates to</x:v>
      </x:c>
      <x:c r="D175" s="12" t="str">
        <x:v>Secondary</x:v>
      </x:c>
    </x:row>
    <x:row r="176">
      <x:c r="A176" s="12" t="str">
        <x:v>NEED-0045</x:v>
      </x:c>
      <x:c r="B176" s="12" t="str">
        <x:v>CAP-0008</x:v>
      </x:c>
      <x:c r="C176" s="12" t="str">
        <x:v>Requires / relates to</x:v>
      </x:c>
      <x:c r="D176" s="12" t="str">
        <x:v>Primary</x:v>
      </x:c>
    </x:row>
    <x:row r="177">
      <x:c r="A177" s="12" t="str">
        <x:v>NEED-0046</x:v>
      </x:c>
      <x:c r="B177" s="12" t="str">
        <x:v>CAP-0008</x:v>
      </x:c>
      <x:c r="C177" s="12" t="str">
        <x:v>Requires / relates to</x:v>
      </x:c>
      <x:c r="D177" s="12" t="str">
        <x:v>Primary</x:v>
      </x:c>
    </x:row>
    <x:row r="178">
      <x:c r="A178" s="12" t="str">
        <x:v>NEED-0047</x:v>
      </x:c>
      <x:c r="B178" s="12" t="str">
        <x:v>CAP-0006</x:v>
      </x:c>
      <x:c r="C178" s="12" t="str">
        <x:v>Requires / relates to</x:v>
      </x:c>
      <x:c r="D178" s="12" t="str">
        <x:v>Primary</x:v>
      </x:c>
    </x:row>
    <x:row r="179">
      <x:c r="A179" s="12" t="str">
        <x:v>NEED-0047</x:v>
      </x:c>
      <x:c r="B179" s="12" t="str">
        <x:v>CAP-0010</x:v>
      </x:c>
      <x:c r="C179" s="12" t="str">
        <x:v>Requires / relates to</x:v>
      </x:c>
      <x:c r="D179" s="12" t="str">
        <x:v>Secondary</x:v>
      </x:c>
    </x:row>
    <x:row r="180">
      <x:c r="A180" s="12" t="str">
        <x:v>NEED-0047</x:v>
      </x:c>
      <x:c r="B180" s="12" t="str">
        <x:v>CAP-0011</x:v>
      </x:c>
      <x:c r="C180" s="12" t="str">
        <x:v>Requires / relates to</x:v>
      </x:c>
      <x:c r="D180" s="12" t="str">
        <x:v>Secondary</x:v>
      </x:c>
    </x:row>
    <x:row r="181">
      <x:c r="A181" s="12" t="str">
        <x:v>NEED-0047</x:v>
      </x:c>
      <x:c r="B181" s="12" t="str">
        <x:v>CAP-0015</x:v>
      </x:c>
      <x:c r="C181" s="12" t="str">
        <x:v>Requires / relates to</x:v>
      </x:c>
      <x:c r="D181" s="12" t="str">
        <x:v>Secondary</x:v>
      </x:c>
    </x:row>
    <x:row r="182">
      <x:c r="A182" s="12" t="str">
        <x:v>NEED-0047</x:v>
      </x:c>
      <x:c r="B182" s="12" t="str">
        <x:v>CAP-0020</x:v>
      </x:c>
      <x:c r="C182" s="12" t="str">
        <x:v>Requires / relates to</x:v>
      </x:c>
      <x:c r="D182" s="12" t="str">
        <x:v>Secondary</x:v>
      </x:c>
    </x:row>
    <x:row r="183">
      <x:c r="A183" s="12" t="str">
        <x:v>NEED-0047</x:v>
      </x:c>
      <x:c r="B183" s="12" t="str">
        <x:v>CAP-0021</x:v>
      </x:c>
      <x:c r="C183" s="12" t="str">
        <x:v>Requires / relates to</x:v>
      </x:c>
      <x:c r="D183" s="12" t="str">
        <x:v>Secondary</x:v>
      </x:c>
    </x:row>
    <x:row r="184">
      <x:c r="A184" s="12" t="str">
        <x:v>NEED-0048</x:v>
      </x:c>
      <x:c r="B184" s="12" t="str">
        <x:v>CAP-0008</x:v>
      </x:c>
      <x:c r="C184" s="12" t="str">
        <x:v>Requires / relates to</x:v>
      </x:c>
      <x:c r="D184" s="12" t="str">
        <x:v>Primary</x:v>
      </x:c>
    </x:row>
    <x:row r="185">
      <x:c r="A185" s="12" t="str">
        <x:v>NEED-0048</x:v>
      </x:c>
      <x:c r="B185" s="12" t="str">
        <x:v>CAP-0010</x:v>
      </x:c>
      <x:c r="C185" s="12" t="str">
        <x:v>Requires / relates to</x:v>
      </x:c>
      <x:c r="D185" s="12" t="str">
        <x:v>Secondary</x:v>
      </x:c>
    </x:row>
    <x:row r="186">
      <x:c r="A186" s="12" t="str">
        <x:v>NEED-0048</x:v>
      </x:c>
      <x:c r="B186" s="12" t="str">
        <x:v>CAP-0014</x:v>
      </x:c>
      <x:c r="C186" s="12" t="str">
        <x:v>Requires / relates to</x:v>
      </x:c>
      <x:c r="D186" s="12" t="str">
        <x:v>Secondary</x:v>
      </x:c>
    </x:row>
    <x:row r="187">
      <x:c r="A187" s="12" t="str">
        <x:v>NEED-0048</x:v>
      </x:c>
      <x:c r="B187" s="12" t="str">
        <x:v>CAP-0015</x:v>
      </x:c>
      <x:c r="C187" s="12" t="str">
        <x:v>Requires / relates to</x:v>
      </x:c>
      <x:c r="D187" s="12" t="str">
        <x:v>Secondary</x:v>
      </x:c>
    </x:row>
    <x:row r="188">
      <x:c r="A188" s="12" t="str">
        <x:v>NEED-0049</x:v>
      </x:c>
      <x:c r="B188" s="12" t="str">
        <x:v>CAP-0001</x:v>
      </x:c>
      <x:c r="C188" s="12" t="str">
        <x:v>Requires / relates to</x:v>
      </x:c>
      <x:c r="D188" s="12" t="str">
        <x:v>Primary</x:v>
      </x:c>
    </x:row>
    <x:row r="189">
      <x:c r="A189" s="12" t="str">
        <x:v>NEED-0049</x:v>
      </x:c>
      <x:c r="B189" s="12" t="str">
        <x:v>CAP-0008</x:v>
      </x:c>
      <x:c r="C189" s="12" t="str">
        <x:v>Requires / relates to</x:v>
      </x:c>
      <x:c r="D189" s="12" t="str">
        <x:v>Secondary</x:v>
      </x:c>
    </x:row>
    <x:row r="190">
      <x:c r="A190" s="12" t="str">
        <x:v>NEED-0049</x:v>
      </x:c>
      <x:c r="B190" s="12" t="str">
        <x:v>CAP-0009</x:v>
      </x:c>
      <x:c r="C190" s="12" t="str">
        <x:v>Requires / relates to</x:v>
      </x:c>
      <x:c r="D190" s="12" t="str">
        <x:v>Secondary</x:v>
      </x:c>
    </x:row>
    <x:row r="191">
      <x:c r="A191" s="12" t="str">
        <x:v>NEED-0049</x:v>
      </x:c>
      <x:c r="B191" s="12" t="str">
        <x:v>CAP-0010</x:v>
      </x:c>
      <x:c r="C191" s="12" t="str">
        <x:v>Requires / relates to</x:v>
      </x:c>
      <x:c r="D191" s="12" t="str">
        <x:v>Secondary</x:v>
      </x:c>
    </x:row>
    <x:row r="192">
      <x:c r="A192" s="12" t="str">
        <x:v>NEED-0049</x:v>
      </x:c>
      <x:c r="B192" s="12" t="str">
        <x:v>CAP-0011</x:v>
      </x:c>
      <x:c r="C192" s="12" t="str">
        <x:v>Requires / relates to</x:v>
      </x:c>
      <x:c r="D192" s="12" t="str">
        <x:v>Secondary</x:v>
      </x:c>
    </x:row>
    <x:row r="193">
      <x:c r="A193" s="12" t="str">
        <x:v>NEED-0049</x:v>
      </x:c>
      <x:c r="B193" s="12" t="str">
        <x:v>CAP-0012</x:v>
      </x:c>
      <x:c r="C193" s="12" t="str">
        <x:v>Requires / relates to</x:v>
      </x:c>
      <x:c r="D193" s="12" t="str">
        <x:v>Secondary</x:v>
      </x:c>
    </x:row>
    <x:row r="194">
      <x:c r="A194" s="12" t="str">
        <x:v>NEED-0049</x:v>
      </x:c>
      <x:c r="B194" s="12" t="str">
        <x:v>CAP-0013</x:v>
      </x:c>
      <x:c r="C194" s="12" t="str">
        <x:v>Requires / relates to</x:v>
      </x:c>
      <x:c r="D194" s="12" t="str">
        <x:v>Secondary</x:v>
      </x:c>
    </x:row>
    <x:row r="195">
      <x:c r="A195" s="12" t="str">
        <x:v>NEED-0049</x:v>
      </x:c>
      <x:c r="B195" s="12" t="str">
        <x:v>CAP-0014</x:v>
      </x:c>
      <x:c r="C195" s="12" t="str">
        <x:v>Requires / relates to</x:v>
      </x:c>
      <x:c r="D195" s="12" t="str">
        <x:v>Secondary</x:v>
      </x:c>
    </x:row>
    <x:row r="196">
      <x:c r="A196" s="12" t="str">
        <x:v>NEED-0049</x:v>
      </x:c>
      <x:c r="B196" s="12" t="str">
        <x:v>CAP-0017</x:v>
      </x:c>
      <x:c r="C196" s="12" t="str">
        <x:v>Requires / relates to</x:v>
      </x:c>
      <x:c r="D196" s="12" t="str">
        <x:v>Secondary</x:v>
      </x:c>
    </x:row>
    <x:row r="197">
      <x:c r="A197" s="12" t="str">
        <x:v>NEED-0049</x:v>
      </x:c>
      <x:c r="B197" s="12" t="str">
        <x:v>CAP-0020</x:v>
      </x:c>
      <x:c r="C197" s="12" t="str">
        <x:v>Requires / relates to</x:v>
      </x:c>
      <x:c r="D197" s="12" t="str">
        <x:v>Secondary</x:v>
      </x:c>
    </x:row>
    <x:row r="198">
      <x:c r="A198" s="12" t="str">
        <x:v>NEED-0049</x:v>
      </x:c>
      <x:c r="B198" s="12" t="str">
        <x:v>CAP-0021</x:v>
      </x:c>
      <x:c r="C198" s="12" t="str">
        <x:v>Requires / relates to</x:v>
      </x:c>
      <x:c r="D198" s="12" t="str">
        <x:v>Secondary</x:v>
      </x:c>
    </x:row>
    <x:row r="199">
      <x:c r="A199" s="12" t="str">
        <x:v>NEED-0049</x:v>
      </x:c>
      <x:c r="B199" s="12" t="str">
        <x:v>CAP-0022</x:v>
      </x:c>
      <x:c r="C199" s="12" t="str">
        <x:v>Requires / relates to</x:v>
      </x:c>
      <x:c r="D199" s="12" t="str">
        <x:v>Secondary</x:v>
      </x:c>
    </x:row>
    <x:row r="200">
      <x:c r="A200" s="12" t="str">
        <x:v>NEED-0050</x:v>
      </x:c>
      <x:c r="B200" s="12" t="str">
        <x:v>CAP-0008</x:v>
      </x:c>
      <x:c r="C200" s="12" t="str">
        <x:v>Requires / relates to</x:v>
      </x:c>
      <x:c r="D200" s="12" t="str">
        <x:v>Primary</x:v>
      </x:c>
    </x:row>
    <x:row r="201">
      <x:c r="A201" s="12" t="str">
        <x:v>NEED-0050</x:v>
      </x:c>
      <x:c r="B201" s="12" t="str">
        <x:v>CAP-0010</x:v>
      </x:c>
      <x:c r="C201" s="12" t="str">
        <x:v>Requires / relates to</x:v>
      </x:c>
      <x:c r="D201" s="12" t="str">
        <x:v>Secondary</x:v>
      </x:c>
    </x:row>
    <x:row r="202">
      <x:c r="A202" s="12" t="str">
        <x:v>NEED-0050</x:v>
      </x:c>
      <x:c r="B202" s="12" t="str">
        <x:v>CAP-0011</x:v>
      </x:c>
      <x:c r="C202" s="12" t="str">
        <x:v>Requires / relates to</x:v>
      </x:c>
      <x:c r="D202" s="12" t="str">
        <x:v>Secondary</x:v>
      </x:c>
    </x:row>
    <x:row r="203">
      <x:c r="A203" s="12" t="str">
        <x:v>NEED-0050</x:v>
      </x:c>
      <x:c r="B203" s="12" t="str">
        <x:v>CAP-0012</x:v>
      </x:c>
      <x:c r="C203" s="12" t="str">
        <x:v>Requires / relates to</x:v>
      </x:c>
      <x:c r="D203" s="12" t="str">
        <x:v>Secondary</x:v>
      </x:c>
    </x:row>
    <x:row r="204">
      <x:c r="A204" s="12" t="str">
        <x:v>NEED-0050</x:v>
      </x:c>
      <x:c r="B204" s="12" t="str">
        <x:v>CAP-0014</x:v>
      </x:c>
      <x:c r="C204" s="12" t="str">
        <x:v>Requires / relates to</x:v>
      </x:c>
      <x:c r="D204" s="12" t="str">
        <x:v>Secondary</x:v>
      </x:c>
    </x:row>
    <x:row r="205">
      <x:c r="A205" s="12" t="str">
        <x:v>NEED-0050</x:v>
      </x:c>
      <x:c r="B205" s="12" t="str">
        <x:v>CAP-0017</x:v>
      </x:c>
      <x:c r="C205" s="12" t="str">
        <x:v>Requires / relates to</x:v>
      </x:c>
      <x:c r="D205" s="12" t="str">
        <x:v>Secondary</x:v>
      </x:c>
    </x:row>
    <x:row r="206">
      <x:c r="A206" s="12" t="str">
        <x:v>NEED-0050</x:v>
      </x:c>
      <x:c r="B206" s="12" t="str">
        <x:v>CAP-0020</x:v>
      </x:c>
      <x:c r="C206" s="12" t="str">
        <x:v>Requires / relates to</x:v>
      </x:c>
      <x:c r="D206" s="12" t="str">
        <x:v>Secondary</x:v>
      </x:c>
    </x:row>
    <x:row r="207">
      <x:c r="A207" s="12" t="str">
        <x:v>NEED-0051</x:v>
      </x:c>
      <x:c r="B207" s="12" t="str">
        <x:v>CAP-0008</x:v>
      </x:c>
      <x:c r="C207" s="12" t="str">
        <x:v>Requires / relates to</x:v>
      </x:c>
      <x:c r="D207" s="12" t="str">
        <x:v>Primary</x:v>
      </x:c>
    </x:row>
    <x:row r="208">
      <x:c r="A208" s="12" t="str">
        <x:v>NEED-0051</x:v>
      </x:c>
      <x:c r="B208" s="12" t="str">
        <x:v>CAP-0010</x:v>
      </x:c>
      <x:c r="C208" s="12" t="str">
        <x:v>Requires / relates to</x:v>
      </x:c>
      <x:c r="D208" s="12" t="str">
        <x:v>Secondary</x:v>
      </x:c>
    </x:row>
    <x:row r="209">
      <x:c r="A209" s="12" t="str">
        <x:v>NEED-0051</x:v>
      </x:c>
      <x:c r="B209" s="12" t="str">
        <x:v>CAP-0013</x:v>
      </x:c>
      <x:c r="C209" s="12" t="str">
        <x:v>Requires / relates to</x:v>
      </x:c>
      <x:c r="D209" s="12" t="str">
        <x:v>Secondary</x:v>
      </x:c>
    </x:row>
    <x:row r="210">
      <x:c r="A210" s="12" t="str">
        <x:v>NEED-0051</x:v>
      </x:c>
      <x:c r="B210" s="12" t="str">
        <x:v>CAP-0014</x:v>
      </x:c>
      <x:c r="C210" s="12" t="str">
        <x:v>Requires / relates to</x:v>
      </x:c>
      <x:c r="D210" s="12" t="str">
        <x:v>Secondary</x:v>
      </x:c>
    </x:row>
    <x:row r="211">
      <x:c r="A211" s="12" t="str">
        <x:v>NEED-0051</x:v>
      </x:c>
      <x:c r="B211" s="12" t="str">
        <x:v>CAP-0017</x:v>
      </x:c>
      <x:c r="C211" s="12" t="str">
        <x:v>Requires / relates to</x:v>
      </x:c>
      <x:c r="D211" s="12" t="str">
        <x:v>Secondary</x:v>
      </x:c>
    </x:row>
    <x:row r="212">
      <x:c r="A212" s="12" t="str">
        <x:v>NEED-0051</x:v>
      </x:c>
      <x:c r="B212" s="12" t="str">
        <x:v>CAP-0022</x:v>
      </x:c>
      <x:c r="C212" s="12" t="str">
        <x:v>Requires / relates to</x:v>
      </x:c>
      <x:c r="D212" s="12" t="str">
        <x:v>Secondary</x:v>
      </x:c>
    </x:row>
    <x:row r="213">
      <x:c r="A213" s="12" t="str">
        <x:v>NEED-0052</x:v>
      </x:c>
      <x:c r="B213" s="12" t="str">
        <x:v>CAP-0008</x:v>
      </x:c>
      <x:c r="C213" s="12" t="str">
        <x:v>Requires / relates to</x:v>
      </x:c>
      <x:c r="D213" s="12" t="str">
        <x:v>Primary</x:v>
      </x:c>
    </x:row>
    <x:row r="214">
      <x:c r="A214" s="12" t="str">
        <x:v>NEED-0052</x:v>
      </x:c>
      <x:c r="B214" s="12" t="str">
        <x:v>CAP-0010</x:v>
      </x:c>
      <x:c r="C214" s="12" t="str">
        <x:v>Requires / relates to</x:v>
      </x:c>
      <x:c r="D214" s="12" t="str">
        <x:v>Secondary</x:v>
      </x:c>
    </x:row>
    <x:row r="215">
      <x:c r="A215" s="12" t="str">
        <x:v>NEED-0052</x:v>
      </x:c>
      <x:c r="B215" s="12" t="str">
        <x:v>CAP-0011</x:v>
      </x:c>
      <x:c r="C215" s="12" t="str">
        <x:v>Requires / relates to</x:v>
      </x:c>
      <x:c r="D215" s="12" t="str">
        <x:v>Secondary</x:v>
      </x:c>
    </x:row>
    <x:row r="216">
      <x:c r="A216" s="12" t="str">
        <x:v>NEED-0052</x:v>
      </x:c>
      <x:c r="B216" s="12" t="str">
        <x:v>CAP-0014</x:v>
      </x:c>
      <x:c r="C216" s="12" t="str">
        <x:v>Requires / relates to</x:v>
      </x:c>
      <x:c r="D216" s="12" t="str">
        <x:v>Secondary</x:v>
      </x:c>
    </x:row>
    <x:row r="217">
      <x:c r="A217" s="12" t="str">
        <x:v>NEED-0052</x:v>
      </x:c>
      <x:c r="B217" s="12" t="str">
        <x:v>CAP-0017</x:v>
      </x:c>
      <x:c r="C217" s="12" t="str">
        <x:v>Requires / relates to</x:v>
      </x:c>
      <x:c r="D217" s="12" t="str">
        <x:v>Secondary</x:v>
      </x:c>
    </x:row>
    <x:row r="218">
      <x:c r="A218" s="12" t="str">
        <x:v>NEED-0053</x:v>
      </x:c>
      <x:c r="B218" s="12" t="str">
        <x:v>CAP-0009</x:v>
      </x:c>
      <x:c r="C218" s="12" t="str">
        <x:v>Requires / relates to</x:v>
      </x:c>
      <x:c r="D218" s="12" t="str">
        <x:v>Primary</x:v>
      </x:c>
    </x:row>
    <x:row r="219">
      <x:c r="A219" s="12" t="str">
        <x:v>NEED-0053</x:v>
      </x:c>
      <x:c r="B219" s="12" t="str">
        <x:v>CAP-0010</x:v>
      </x:c>
      <x:c r="C219" s="12" t="str">
        <x:v>Requires / relates to</x:v>
      </x:c>
      <x:c r="D219" s="12" t="str">
        <x:v>Secondary</x:v>
      </x:c>
    </x:row>
    <x:row r="220">
      <x:c r="A220" s="12" t="str">
        <x:v>NEED-0053</x:v>
      </x:c>
      <x:c r="B220" s="12" t="str">
        <x:v>CAP-0014</x:v>
      </x:c>
      <x:c r="C220" s="12" t="str">
        <x:v>Requires / relates to</x:v>
      </x:c>
      <x:c r="D220" s="12" t="str">
        <x:v>Secondary</x:v>
      </x:c>
    </x:row>
    <x:row r="221">
      <x:c r="A221" s="12" t="str">
        <x:v>NEED-0054</x:v>
      </x:c>
      <x:c r="B221" s="12" t="str">
        <x:v>CAP-0001</x:v>
      </x:c>
      <x:c r="C221" s="12" t="str">
        <x:v>Requires / relates to</x:v>
      </x:c>
      <x:c r="D221" s="12" t="str">
        <x:v>Primary</x:v>
      </x:c>
    </x:row>
    <x:row r="222">
      <x:c r="A222" s="12" t="str">
        <x:v>NEED-0054</x:v>
      </x:c>
      <x:c r="B222" s="12" t="str">
        <x:v>CAP-0008</x:v>
      </x:c>
      <x:c r="C222" s="12" t="str">
        <x:v>Requires / relates to</x:v>
      </x:c>
      <x:c r="D222" s="12" t="str">
        <x:v>Secondary</x:v>
      </x:c>
    </x:row>
    <x:row r="223">
      <x:c r="A223" s="12" t="str">
        <x:v>NEED-0054</x:v>
      </x:c>
      <x:c r="B223" s="12" t="str">
        <x:v>CAP-0010</x:v>
      </x:c>
      <x:c r="C223" s="12" t="str">
        <x:v>Requires / relates to</x:v>
      </x:c>
      <x:c r="D223" s="12" t="str">
        <x:v>Secondary</x:v>
      </x:c>
    </x:row>
    <x:row r="224">
      <x:c r="A224" s="12" t="str">
        <x:v>NEED-0054</x:v>
      </x:c>
      <x:c r="B224" s="12" t="str">
        <x:v>CAP-0017</x:v>
      </x:c>
      <x:c r="C224" s="12" t="str">
        <x:v>Requires / relates to</x:v>
      </x:c>
      <x:c r="D224" s="12" t="str">
        <x:v>Secondary</x:v>
      </x:c>
    </x:row>
    <x:row r="225">
      <x:c r="A225" s="12" t="str">
        <x:v>NEED-0055</x:v>
      </x:c>
      <x:c r="B225" s="12" t="str">
        <x:v>CAP-0008</x:v>
      </x:c>
      <x:c r="C225" s="12" t="str">
        <x:v>Requires / relates to</x:v>
      </x:c>
      <x:c r="D225" s="12" t="str">
        <x:v>Primary</x:v>
      </x:c>
    </x:row>
    <x:row r="226">
      <x:c r="A226" s="12" t="str">
        <x:v>NEED-0055</x:v>
      </x:c>
      <x:c r="B226" s="12" t="str">
        <x:v>CAP-0010</x:v>
      </x:c>
      <x:c r="C226" s="12" t="str">
        <x:v>Requires / relates to</x:v>
      </x:c>
      <x:c r="D226" s="12" t="str">
        <x:v>Secondary</x:v>
      </x:c>
    </x:row>
    <x:row r="227">
      <x:c r="A227" s="12" t="str">
        <x:v>NEED-0055</x:v>
      </x:c>
      <x:c r="B227" s="12" t="str">
        <x:v>CAP-0014</x:v>
      </x:c>
      <x:c r="C227" s="12" t="str">
        <x:v>Requires / relates to</x:v>
      </x:c>
      <x:c r="D227" s="12" t="str">
        <x:v>Secondary</x:v>
      </x:c>
    </x:row>
    <x:row r="228">
      <x:c r="A228" s="12" t="str">
        <x:v>NEED-0055</x:v>
      </x:c>
      <x:c r="B228" s="12" t="str">
        <x:v>CAP-0022</x:v>
      </x:c>
      <x:c r="C228" s="12" t="str">
        <x:v>Requires / relates to</x:v>
      </x:c>
      <x:c r="D228" s="12" t="str">
        <x:v>Secondary</x:v>
      </x:c>
    </x:row>
    <x:row r="229">
      <x:c r="A229" s="12" t="str">
        <x:v>NEED-0056</x:v>
      </x:c>
      <x:c r="B229" s="12" t="str">
        <x:v>CAP-0008</x:v>
      </x:c>
      <x:c r="C229" s="12" t="str">
        <x:v>Requires / relates to</x:v>
      </x:c>
      <x:c r="D229" s="12" t="str">
        <x:v>Primary</x:v>
      </x:c>
    </x:row>
    <x:row r="230">
      <x:c r="A230" s="12" t="str">
        <x:v>NEED-0056</x:v>
      </x:c>
      <x:c r="B230" s="12" t="str">
        <x:v>CAP-0009</x:v>
      </x:c>
      <x:c r="C230" s="12" t="str">
        <x:v>Requires / relates to</x:v>
      </x:c>
      <x:c r="D230" s="12" t="str">
        <x:v>Secondary</x:v>
      </x:c>
    </x:row>
    <x:row r="231">
      <x:c r="A231" s="12" t="str">
        <x:v>NEED-0056</x:v>
      </x:c>
      <x:c r="B231" s="12" t="str">
        <x:v>CAP-0010</x:v>
      </x:c>
      <x:c r="C231" s="12" t="str">
        <x:v>Requires / relates to</x:v>
      </x:c>
      <x:c r="D231" s="12" t="str">
        <x:v>Secondary</x:v>
      </x:c>
    </x:row>
    <x:row r="232">
      <x:c r="A232" s="12" t="str">
        <x:v>NEED-0056</x:v>
      </x:c>
      <x:c r="B232" s="12" t="str">
        <x:v>CAP-0011</x:v>
      </x:c>
      <x:c r="C232" s="12" t="str">
        <x:v>Requires / relates to</x:v>
      </x:c>
      <x:c r="D232" s="12" t="str">
        <x:v>Secondary</x:v>
      </x:c>
    </x:row>
    <x:row r="233">
      <x:c r="A233" s="12" t="str">
        <x:v>NEED-0056</x:v>
      </x:c>
      <x:c r="B233" s="12" t="str">
        <x:v>CAP-0012</x:v>
      </x:c>
      <x:c r="C233" s="12" t="str">
        <x:v>Requires / relates to</x:v>
      </x:c>
      <x:c r="D233" s="12" t="str">
        <x:v>Secondary</x:v>
      </x:c>
    </x:row>
    <x:row r="234">
      <x:c r="A234" s="12" t="str">
        <x:v>NEED-0056</x:v>
      </x:c>
      <x:c r="B234" s="12" t="str">
        <x:v>CAP-0017</x:v>
      </x:c>
      <x:c r="C234" s="12" t="str">
        <x:v>Requires / relates to</x:v>
      </x:c>
      <x:c r="D234" s="12" t="str">
        <x:v>Secondary</x:v>
      </x:c>
    </x:row>
    <x:row r="235">
      <x:c r="A235" s="12" t="str">
        <x:v>NEED-0057</x:v>
      </x:c>
      <x:c r="B235" s="12" t="str">
        <x:v>CAP-0009</x:v>
      </x:c>
      <x:c r="C235" s="12" t="str">
        <x:v>Requires / relates to</x:v>
      </x:c>
      <x:c r="D235" s="12" t="str">
        <x:v>Primary</x:v>
      </x:c>
    </x:row>
    <x:row r="236">
      <x:c r="A236" s="12" t="str">
        <x:v>NEED-0057</x:v>
      </x:c>
      <x:c r="B236" s="12" t="str">
        <x:v>CAP-0010</x:v>
      </x:c>
      <x:c r="C236" s="12" t="str">
        <x:v>Requires / relates to</x:v>
      </x:c>
      <x:c r="D236" s="12" t="str">
        <x:v>Secondary</x:v>
      </x:c>
    </x:row>
    <x:row r="237">
      <x:c r="A237" s="12" t="str">
        <x:v>NEED-0057</x:v>
      </x:c>
      <x:c r="B237" s="12" t="str">
        <x:v>CAP-0011</x:v>
      </x:c>
      <x:c r="C237" s="12" t="str">
        <x:v>Requires / relates to</x:v>
      </x:c>
      <x:c r="D237" s="12" t="str">
        <x:v>Secondary</x:v>
      </x:c>
    </x:row>
    <x:row r="238">
      <x:c r="A238" s="12" t="str">
        <x:v>NEED-0057</x:v>
      </x:c>
      <x:c r="B238" s="12" t="str">
        <x:v>CAP-0014</x:v>
      </x:c>
      <x:c r="C238" s="12" t="str">
        <x:v>Requires / relates to</x:v>
      </x:c>
      <x:c r="D238" s="12" t="str">
        <x:v>Secondary</x:v>
      </x:c>
    </x:row>
    <x:row r="239">
      <x:c r="A239" s="12" t="str">
        <x:v>NEED-0057</x:v>
      </x:c>
      <x:c r="B239" s="12" t="str">
        <x:v>CAP-0017</x:v>
      </x:c>
      <x:c r="C239" s="12" t="str">
        <x:v>Requires / relates to</x:v>
      </x:c>
      <x:c r="D239" s="12" t="str">
        <x:v>Secondary</x:v>
      </x:c>
    </x:row>
    <x:row r="240">
      <x:c r="A240" s="12" t="str">
        <x:v>NEED-0058</x:v>
      </x:c>
      <x:c r="B240" s="12" t="str">
        <x:v>CAP-0010</x:v>
      </x:c>
      <x:c r="C240" s="12" t="str">
        <x:v>Requires / relates to</x:v>
      </x:c>
      <x:c r="D240" s="12" t="str">
        <x:v>Primary</x:v>
      </x:c>
    </x:row>
    <x:row r="241">
      <x:c r="A241" s="12" t="str">
        <x:v>NEED-0058</x:v>
      </x:c>
      <x:c r="B241" s="12" t="str">
        <x:v>CAP-0019</x:v>
      </x:c>
      <x:c r="C241" s="12" t="str">
        <x:v>Requires / relates to</x:v>
      </x:c>
      <x:c r="D241" s="12" t="str">
        <x:v>Secondary</x:v>
      </x:c>
    </x:row>
    <x:row r="242">
      <x:c r="A242" s="12" t="str">
        <x:v>NEED-0058</x:v>
      </x:c>
      <x:c r="B242" s="12" t="str">
        <x:v>CAP-0020</x:v>
      </x:c>
      <x:c r="C242" s="12" t="str">
        <x:v>Requires / relates to</x:v>
      </x:c>
      <x:c r="D242" s="12" t="str">
        <x:v>Secondary</x:v>
      </x:c>
    </x:row>
    <x:row r="243">
      <x:c r="A243" s="12" t="str">
        <x:v>NEED-0058</x:v>
      </x:c>
      <x:c r="B243" s="12" t="str">
        <x:v>CAP-0022</x:v>
      </x:c>
      <x:c r="C243" s="12" t="str">
        <x:v>Requires / relates to</x:v>
      </x:c>
      <x:c r="D243" s="12" t="str">
        <x:v>Secondary</x:v>
      </x:c>
    </x:row>
    <x:row r="244">
      <x:c r="A244" s="12" t="str">
        <x:v>NEED-0059</x:v>
      </x:c>
      <x:c r="B244" s="12" t="str">
        <x:v>CAP-0009</x:v>
      </x:c>
      <x:c r="C244" s="12" t="str">
        <x:v>Requires / relates to</x:v>
      </x:c>
      <x:c r="D244" s="12" t="str">
        <x:v>Primary</x:v>
      </x:c>
    </x:row>
    <x:row r="245">
      <x:c r="A245" s="12" t="str">
        <x:v>NEED-0059</x:v>
      </x:c>
      <x:c r="B245" s="12" t="str">
        <x:v>CAP-0010</x:v>
      </x:c>
      <x:c r="C245" s="12" t="str">
        <x:v>Requires / relates to</x:v>
      </x:c>
      <x:c r="D245" s="12" t="str">
        <x:v>Secondary</x:v>
      </x:c>
    </x:row>
    <x:row r="246">
      <x:c r="A246" s="12" t="str">
        <x:v>NEED-0059</x:v>
      </x:c>
      <x:c r="B246" s="12" t="str">
        <x:v>CAP-0011</x:v>
      </x:c>
      <x:c r="C246" s="12" t="str">
        <x:v>Requires / relates to</x:v>
      </x:c>
      <x:c r="D246" s="12" t="str">
        <x:v>Secondary</x:v>
      </x:c>
    </x:row>
    <x:row r="247">
      <x:c r="A247" s="12" t="str">
        <x:v>NEED-0059</x:v>
      </x:c>
      <x:c r="B247" s="12" t="str">
        <x:v>CAP-0015</x:v>
      </x:c>
      <x:c r="C247" s="12" t="str">
        <x:v>Requires / relates to</x:v>
      </x:c>
      <x:c r="D247" s="12" t="str">
        <x:v>Secondary</x:v>
      </x:c>
    </x:row>
    <x:row r="248">
      <x:c r="A248" s="12" t="str">
        <x:v>NEED-0059</x:v>
      </x:c>
      <x:c r="B248" s="12" t="str">
        <x:v>CAP-0022</x:v>
      </x:c>
      <x:c r="C248" s="12" t="str">
        <x:v>Requires / relates to</x:v>
      </x:c>
      <x:c r="D248" s="12" t="str">
        <x:v>Secondary</x:v>
      </x:c>
    </x:row>
    <x:row r="249">
      <x:c r="A249" s="12" t="str">
        <x:v>NEED-0060</x:v>
      </x:c>
      <x:c r="B249" s="12" t="str">
        <x:v>CAP-0001</x:v>
      </x:c>
      <x:c r="C249" s="12" t="str">
        <x:v>Requires / relates to</x:v>
      </x:c>
      <x:c r="D249" s="12" t="str">
        <x:v>Primary</x:v>
      </x:c>
    </x:row>
    <x:row r="250">
      <x:c r="A250" s="12" t="str">
        <x:v>NEED-0060</x:v>
      </x:c>
      <x:c r="B250" s="12" t="str">
        <x:v>CAP-0008</x:v>
      </x:c>
      <x:c r="C250" s="12" t="str">
        <x:v>Requires / relates to</x:v>
      </x:c>
      <x:c r="D250" s="12" t="str">
        <x:v>Secondary</x:v>
      </x:c>
    </x:row>
    <x:row r="251">
      <x:c r="A251" s="12" t="str">
        <x:v>NEED-0060</x:v>
      </x:c>
      <x:c r="B251" s="12" t="str">
        <x:v>CAP-0010</x:v>
      </x:c>
      <x:c r="C251" s="12" t="str">
        <x:v>Requires / relates to</x:v>
      </x:c>
      <x:c r="D251" s="12" t="str">
        <x:v>Secondary</x:v>
      </x:c>
    </x:row>
    <x:row r="252">
      <x:c r="A252" s="12" t="str">
        <x:v>NEED-0060</x:v>
      </x:c>
      <x:c r="B252" s="12" t="str">
        <x:v>CAP-0012</x:v>
      </x:c>
      <x:c r="C252" s="12" t="str">
        <x:v>Requires / relates to</x:v>
      </x:c>
      <x:c r="D252" s="12" t="str">
        <x:v>Secondary</x:v>
      </x:c>
    </x:row>
    <x:row r="253">
      <x:c r="A253" s="12" t="str">
        <x:v>NEED-0061</x:v>
      </x:c>
      <x:c r="B253" s="12" t="str">
        <x:v>CAP-0008</x:v>
      </x:c>
      <x:c r="C253" s="12" t="str">
        <x:v>Requires / relates to</x:v>
      </x:c>
      <x:c r="D253" s="12" t="str">
        <x:v>Primary</x:v>
      </x:c>
    </x:row>
    <x:row r="254">
      <x:c r="A254" s="12" t="str">
        <x:v>NEED-0061</x:v>
      </x:c>
      <x:c r="B254" s="12" t="str">
        <x:v>CAP-0017</x:v>
      </x:c>
      <x:c r="C254" s="12" t="str">
        <x:v>Requires / relates to</x:v>
      </x:c>
      <x:c r="D254" s="12" t="str">
        <x:v>Secondary</x:v>
      </x:c>
    </x:row>
    <x:row r="255">
      <x:c r="A255" s="12" t="str">
        <x:v>NEED-0062</x:v>
      </x:c>
      <x:c r="B255" s="12" t="str">
        <x:v>CAP-0011</x:v>
      </x:c>
      <x:c r="C255" s="12" t="str">
        <x:v>Requires / relates to</x:v>
      </x:c>
      <x:c r="D255" s="12" t="str">
        <x:v>Primary</x:v>
      </x:c>
    </x:row>
    <x:row r="256">
      <x:c r="A256" s="12" t="str">
        <x:v>NEED-0062</x:v>
      </x:c>
      <x:c r="B256" s="12" t="str">
        <x:v>CAP-0014</x:v>
      </x:c>
      <x:c r="C256" s="12" t="str">
        <x:v>Requires / relates to</x:v>
      </x:c>
      <x:c r="D256" s="12" t="str">
        <x:v>Secondary</x:v>
      </x:c>
    </x:row>
    <x:row r="257">
      <x:c r="A257" s="12" t="str">
        <x:v>NEED-0062</x:v>
      </x:c>
      <x:c r="B257" s="12" t="str">
        <x:v>CAP-0017</x:v>
      </x:c>
      <x:c r="C257" s="12" t="str">
        <x:v>Requires / relates to</x:v>
      </x:c>
      <x:c r="D257" s="12" t="str">
        <x:v>Secondary</x:v>
      </x:c>
    </x:row>
    <x:row r="258">
      <x:c r="A258" s="12" t="str">
        <x:v>NEED-0063</x:v>
      </x:c>
      <x:c r="B258" s="12" t="str">
        <x:v>CAP-0010</x:v>
      </x:c>
      <x:c r="C258" s="12" t="str">
        <x:v>Requires / relates to</x:v>
      </x:c>
      <x:c r="D258" s="12" t="str">
        <x:v>Primary</x:v>
      </x:c>
    </x:row>
    <x:row r="259">
      <x:c r="A259" s="12" t="str">
        <x:v>NEED-0063</x:v>
      </x:c>
      <x:c r="B259" s="12" t="str">
        <x:v>CAP-0012</x:v>
      </x:c>
      <x:c r="C259" s="12" t="str">
        <x:v>Requires / relates to</x:v>
      </x:c>
      <x:c r="D259" s="12" t="str">
        <x:v>Secondary</x:v>
      </x:c>
    </x:row>
    <x:row r="260">
      <x:c r="A260" s="12" t="str">
        <x:v>NEED-0064</x:v>
      </x:c>
      <x:c r="B260" s="12" t="str">
        <x:v>CAP-0010</x:v>
      </x:c>
      <x:c r="C260" s="12" t="str">
        <x:v>Requires / relates to</x:v>
      </x:c>
      <x:c r="D260" s="12" t="str">
        <x:v>Primary</x:v>
      </x:c>
    </x:row>
    <x:row r="261">
      <x:c r="A261" s="12" t="str">
        <x:v>NEED-0065</x:v>
      </x:c>
      <x:c r="B261" s="12" t="str">
        <x:v>CAP-0010</x:v>
      </x:c>
      <x:c r="C261" s="12" t="str">
        <x:v>Requires / relates to</x:v>
      </x:c>
      <x:c r="D261" s="12" t="str">
        <x:v>Primary</x:v>
      </x:c>
    </x:row>
    <x:row r="262">
      <x:c r="A262" s="12" t="str">
        <x:v>NEED-0065</x:v>
      </x:c>
      <x:c r="B262" s="12" t="str">
        <x:v>CAP-0017</x:v>
      </x:c>
      <x:c r="C262" s="12" t="str">
        <x:v>Requires / relates to</x:v>
      </x:c>
      <x:c r="D262" s="12" t="str">
        <x:v>Secondary</x:v>
      </x:c>
    </x:row>
    <x:row r="263">
      <x:c r="A263" s="12" t="str">
        <x:v>NEED-0065</x:v>
      </x:c>
      <x:c r="B263" s="12" t="str">
        <x:v>CAP-0022</x:v>
      </x:c>
      <x:c r="C263" s="12" t="str">
        <x:v>Requires / relates to</x:v>
      </x:c>
      <x:c r="D263" s="12" t="str">
        <x:v>Secondary</x:v>
      </x:c>
    </x:row>
    <x:row r="264">
      <x:c r="A264" s="12" t="str">
        <x:v>NEED-0066</x:v>
      </x:c>
      <x:c r="B264" s="12" t="str">
        <x:v>CAP-0010</x:v>
      </x:c>
      <x:c r="C264" s="12" t="str">
        <x:v>Requires / relates to</x:v>
      </x:c>
      <x:c r="D264" s="12" t="str">
        <x:v>Primary</x:v>
      </x:c>
    </x:row>
    <x:row r="265">
      <x:c r="A265" s="12" t="str">
        <x:v>NEED-0067</x:v>
      </x:c>
      <x:c r="B265" s="12" t="str">
        <x:v>CAP-0010</x:v>
      </x:c>
      <x:c r="C265" s="12" t="str">
        <x:v>Requires / relates to</x:v>
      </x:c>
      <x:c r="D265" s="12" t="str">
        <x:v>Primary</x:v>
      </x:c>
    </x:row>
    <x:row r="266">
      <x:c r="A266" s="12" t="str">
        <x:v>NEED-0068</x:v>
      </x:c>
      <x:c r="B266" s="12" t="str">
        <x:v>CAP-0010</x:v>
      </x:c>
      <x:c r="C266" s="12" t="str">
        <x:v>Requires / relates to</x:v>
      </x:c>
      <x:c r="D266" s="12" t="str">
        <x:v>Primary</x:v>
      </x:c>
    </x:row>
    <x:row r="267">
      <x:c r="A267" s="12" t="str">
        <x:v>NEED-0068</x:v>
      </x:c>
      <x:c r="B267" s="12" t="str">
        <x:v>CAP-0013</x:v>
      </x:c>
      <x:c r="C267" s="12" t="str">
        <x:v>Requires / relates to</x:v>
      </x:c>
      <x:c r="D267" s="12" t="str">
        <x:v>Secondary</x:v>
      </x:c>
    </x:row>
    <x:row r="268">
      <x:c r="A268" s="12" t="str">
        <x:v>NEED-0068</x:v>
      </x:c>
      <x:c r="B268" s="12" t="str">
        <x:v>CAP-0017</x:v>
      </x:c>
      <x:c r="C268" s="12" t="str">
        <x:v>Requires / relates to</x:v>
      </x:c>
      <x:c r="D268" s="12" t="str">
        <x:v>Secondary</x:v>
      </x:c>
    </x:row>
    <x:row r="269">
      <x:c r="A269" s="12" t="str">
        <x:v>NEED-0069</x:v>
      </x:c>
      <x:c r="B269" s="12" t="str">
        <x:v>CAP-0010</x:v>
      </x:c>
      <x:c r="C269" s="12" t="str">
        <x:v>Requires / relates to</x:v>
      </x:c>
      <x:c r="D269" s="12" t="str">
        <x:v>Primary</x:v>
      </x:c>
    </x:row>
    <x:row r="270">
      <x:c r="A270" s="12" t="str">
        <x:v>NEED-0070</x:v>
      </x:c>
      <x:c r="B270" s="12" t="str">
        <x:v>CAP-0010</x:v>
      </x:c>
      <x:c r="C270" s="12" t="str">
        <x:v>Requires / relates to</x:v>
      </x:c>
      <x:c r="D270" s="12" t="str">
        <x:v>Primary</x:v>
      </x:c>
    </x:row>
    <x:row r="271">
      <x:c r="A271" s="12" t="str">
        <x:v>NEED-0071</x:v>
      </x:c>
      <x:c r="B271" s="12" t="str">
        <x:v>CAP-0009</x:v>
      </x:c>
      <x:c r="C271" s="12" t="str">
        <x:v>Requires / relates to</x:v>
      </x:c>
      <x:c r="D271" s="12" t="str">
        <x:v>Primary</x:v>
      </x:c>
    </x:row>
    <x:row r="272">
      <x:c r="A272" s="12" t="str">
        <x:v>NEED-0071</x:v>
      </x:c>
      <x:c r="B272" s="12" t="str">
        <x:v>CAP-0011</x:v>
      </x:c>
      <x:c r="C272" s="12" t="str">
        <x:v>Requires / relates to</x:v>
      </x:c>
      <x:c r="D272" s="12" t="str">
        <x:v>Secondary</x:v>
      </x:c>
    </x:row>
    <x:row r="273">
      <x:c r="A273" s="12" t="str">
        <x:v>NEED-0071</x:v>
      </x:c>
      <x:c r="B273" s="12" t="str">
        <x:v>CAP-0022</x:v>
      </x:c>
      <x:c r="C273" s="12" t="str">
        <x:v>Requires / relates to</x:v>
      </x:c>
      <x:c r="D273" s="12" t="str">
        <x:v>Secondary</x:v>
      </x:c>
    </x:row>
    <x:row r="274">
      <x:c r="A274" s="12" t="str">
        <x:v>NEED-0072</x:v>
      </x:c>
      <x:c r="B274" s="12" t="str">
        <x:v>CAP-0009</x:v>
      </x:c>
      <x:c r="C274" s="12" t="str">
        <x:v>Requires / relates to</x:v>
      </x:c>
      <x:c r="D274" s="12" t="str">
        <x:v>Primary</x:v>
      </x:c>
    </x:row>
    <x:row r="275">
      <x:c r="A275" s="12" t="str">
        <x:v>NEED-0072</x:v>
      </x:c>
      <x:c r="B275" s="12" t="str">
        <x:v>CAP-0011</x:v>
      </x:c>
      <x:c r="C275" s="12" t="str">
        <x:v>Requires / relates to</x:v>
      </x:c>
      <x:c r="D275" s="12" t="str">
        <x:v>Secondary</x:v>
      </x:c>
    </x:row>
    <x:row r="276">
      <x:c r="A276" s="12" t="str">
        <x:v>NEED-0072</x:v>
      </x:c>
      <x:c r="B276" s="12" t="str">
        <x:v>CAP-0012</x:v>
      </x:c>
      <x:c r="C276" s="12" t="str">
        <x:v>Requires / relates to</x:v>
      </x:c>
      <x:c r="D276" s="12" t="str">
        <x:v>Secondary</x:v>
      </x:c>
    </x:row>
    <x:row r="277">
      <x:c r="A277" s="12" t="str">
        <x:v>NEED-0072</x:v>
      </x:c>
      <x:c r="B277" s="12" t="str">
        <x:v>CAP-0018</x:v>
      </x:c>
      <x:c r="C277" s="12" t="str">
        <x:v>Requires / relates to</x:v>
      </x:c>
      <x:c r="D277" s="12" t="str">
        <x:v>Secondary</x:v>
      </x:c>
    </x:row>
    <x:row r="278">
      <x:c r="A278" s="12" t="str">
        <x:v>NEED-0073</x:v>
      </x:c>
      <x:c r="B278" s="12" t="str">
        <x:v>CAP-0011</x:v>
      </x:c>
      <x:c r="C278" s="12" t="str">
        <x:v>Requires / relates to</x:v>
      </x:c>
      <x:c r="D278" s="12" t="str">
        <x:v>Primary</x:v>
      </x:c>
    </x:row>
    <x:row r="279">
      <x:c r="A279" s="12" t="str">
        <x:v>NEED-0073</x:v>
      </x:c>
      <x:c r="B279" s="12" t="str">
        <x:v>CAP-0021</x:v>
      </x:c>
      <x:c r="C279" s="12" t="str">
        <x:v>Requires / relates to</x:v>
      </x:c>
      <x:c r="D279" s="12" t="str">
        <x:v>Secondary</x:v>
      </x:c>
    </x:row>
    <x:row r="280">
      <x:c r="A280" s="12" t="str">
        <x:v>NEED-0074</x:v>
      </x:c>
      <x:c r="B280" s="12" t="str">
        <x:v>CAP-0011</x:v>
      </x:c>
      <x:c r="C280" s="12" t="str">
        <x:v>Requires / relates to</x:v>
      </x:c>
      <x:c r="D280" s="12" t="str">
        <x:v>Primary</x:v>
      </x:c>
    </x:row>
    <x:row r="281">
      <x:c r="A281" s="12" t="str">
        <x:v>NEED-0074</x:v>
      </x:c>
      <x:c r="B281" s="12" t="str">
        <x:v>CAP-0012</x:v>
      </x:c>
      <x:c r="C281" s="12" t="str">
        <x:v>Requires / relates to</x:v>
      </x:c>
      <x:c r="D281" s="12" t="str">
        <x:v>Secondary</x:v>
      </x:c>
    </x:row>
    <x:row r="282">
      <x:c r="A282" s="12" t="str">
        <x:v>NEED-0074</x:v>
      </x:c>
      <x:c r="B282" s="12" t="str">
        <x:v>CAP-0014</x:v>
      </x:c>
      <x:c r="C282" s="12" t="str">
        <x:v>Requires / relates to</x:v>
      </x:c>
      <x:c r="D282" s="12" t="str">
        <x:v>Secondary</x:v>
      </x:c>
    </x:row>
    <x:row r="283">
      <x:c r="A283" s="12" t="str">
        <x:v>NEED-0074</x:v>
      </x:c>
      <x:c r="B283" s="12" t="str">
        <x:v>CAP-0015</x:v>
      </x:c>
      <x:c r="C283" s="12" t="str">
        <x:v>Requires / relates to</x:v>
      </x:c>
      <x:c r="D283" s="12" t="str">
        <x:v>Secondary</x:v>
      </x:c>
    </x:row>
    <x:row r="284">
      <x:c r="A284" s="12" t="str">
        <x:v>NEED-0074</x:v>
      </x:c>
      <x:c r="B284" s="12" t="str">
        <x:v>CAP-0022</x:v>
      </x:c>
      <x:c r="C284" s="12" t="str">
        <x:v>Requires / relates to</x:v>
      </x:c>
      <x:c r="D284" s="12" t="str">
        <x:v>Secondary</x:v>
      </x:c>
    </x:row>
    <x:row r="285">
      <x:c r="A285" s="12" t="str">
        <x:v>NEED-0075</x:v>
      </x:c>
      <x:c r="B285" s="12" t="str">
        <x:v>CAP-0011</x:v>
      </x:c>
      <x:c r="C285" s="12" t="str">
        <x:v>Requires / relates to</x:v>
      </x:c>
      <x:c r="D285" s="12" t="str">
        <x:v>Primary</x:v>
      </x:c>
    </x:row>
    <x:row r="286">
      <x:c r="A286" s="12" t="str">
        <x:v>NEED-0075</x:v>
      </x:c>
      <x:c r="B286" s="12" t="str">
        <x:v>CAP-0015</x:v>
      </x:c>
      <x:c r="C286" s="12" t="str">
        <x:v>Requires / relates to</x:v>
      </x:c>
      <x:c r="D286" s="12" t="str">
        <x:v>Secondary</x:v>
      </x:c>
    </x:row>
    <x:row r="287">
      <x:c r="A287" s="12" t="str">
        <x:v>NEED-0076</x:v>
      </x:c>
      <x:c r="B287" s="12" t="str">
        <x:v>CAP-0009</x:v>
      </x:c>
      <x:c r="C287" s="12" t="str">
        <x:v>Requires / relates to</x:v>
      </x:c>
      <x:c r="D287" s="12" t="str">
        <x:v>Primary</x:v>
      </x:c>
    </x:row>
    <x:row r="288">
      <x:c r="A288" s="12" t="str">
        <x:v>NEED-0076</x:v>
      </x:c>
      <x:c r="B288" s="12" t="str">
        <x:v>CAP-0011</x:v>
      </x:c>
      <x:c r="C288" s="12" t="str">
        <x:v>Requires / relates to</x:v>
      </x:c>
      <x:c r="D288" s="12" t="str">
        <x:v>Secondary</x:v>
      </x:c>
    </x:row>
    <x:row r="289">
      <x:c r="A289" s="12" t="str">
        <x:v>NEED-0076</x:v>
      </x:c>
      <x:c r="B289" s="12" t="str">
        <x:v>CAP-0014</x:v>
      </x:c>
      <x:c r="C289" s="12" t="str">
        <x:v>Requires / relates to</x:v>
      </x:c>
      <x:c r="D289" s="12" t="str">
        <x:v>Secondary</x:v>
      </x:c>
    </x:row>
    <x:row r="290">
      <x:c r="A290" s="12" t="str">
        <x:v>NEED-0077</x:v>
      </x:c>
      <x:c r="B290" s="12" t="str">
        <x:v>CAP-0011</x:v>
      </x:c>
      <x:c r="C290" s="12" t="str">
        <x:v>Requires / relates to</x:v>
      </x:c>
      <x:c r="D290" s="12" t="str">
        <x:v>Primary</x:v>
      </x:c>
    </x:row>
    <x:row r="291">
      <x:c r="A291" s="12" t="str">
        <x:v>NEED-0078</x:v>
      </x:c>
      <x:c r="B291" s="12" t="str">
        <x:v>CAP-0011</x:v>
      </x:c>
      <x:c r="C291" s="12" t="str">
        <x:v>Requires / relates to</x:v>
      </x:c>
      <x:c r="D291" s="12" t="str">
        <x:v>Primary</x:v>
      </x:c>
    </x:row>
    <x:row r="292">
      <x:c r="A292" s="12" t="str">
        <x:v>NEED-0078</x:v>
      </x:c>
      <x:c r="B292" s="12" t="str">
        <x:v>CAP-0012</x:v>
      </x:c>
      <x:c r="C292" s="12" t="str">
        <x:v>Requires / relates to</x:v>
      </x:c>
      <x:c r="D292" s="12" t="str">
        <x:v>Secondary</x:v>
      </x:c>
    </x:row>
    <x:row r="293">
      <x:c r="A293" s="12" t="str">
        <x:v>NEED-0078</x:v>
      </x:c>
      <x:c r="B293" s="12" t="str">
        <x:v>CAP-0018</x:v>
      </x:c>
      <x:c r="C293" s="12" t="str">
        <x:v>Requires / relates to</x:v>
      </x:c>
      <x:c r="D293" s="12" t="str">
        <x:v>Secondary</x:v>
      </x:c>
    </x:row>
    <x:row r="294">
      <x:c r="A294" s="12" t="str">
        <x:v>NEED-0079</x:v>
      </x:c>
      <x:c r="B294" s="12" t="str">
        <x:v>CAP-0011</x:v>
      </x:c>
      <x:c r="C294" s="12" t="str">
        <x:v>Requires / relates to</x:v>
      </x:c>
      <x:c r="D294" s="12" t="str">
        <x:v>Primary</x:v>
      </x:c>
    </x:row>
    <x:row r="295">
      <x:c r="A295" s="12" t="str">
        <x:v>NEED-0079</x:v>
      </x:c>
      <x:c r="B295" s="12" t="str">
        <x:v>CAP-0015</x:v>
      </x:c>
      <x:c r="C295" s="12" t="str">
        <x:v>Requires / relates to</x:v>
      </x:c>
      <x:c r="D295" s="12" t="str">
        <x:v>Secondary</x:v>
      </x:c>
    </x:row>
    <x:row r="296">
      <x:c r="A296" s="12" t="str">
        <x:v>NEED-0079</x:v>
      </x:c>
      <x:c r="B296" s="12" t="str">
        <x:v>CAP-0021</x:v>
      </x:c>
      <x:c r="C296" s="12" t="str">
        <x:v>Requires / relates to</x:v>
      </x:c>
      <x:c r="D296" s="12" t="str">
        <x:v>Secondary</x:v>
      </x:c>
    </x:row>
    <x:row r="297">
      <x:c r="A297" s="12" t="str">
        <x:v>NEED-0079</x:v>
      </x:c>
      <x:c r="B297" s="12" t="str">
        <x:v>CAP-0022</x:v>
      </x:c>
      <x:c r="C297" s="12" t="str">
        <x:v>Requires / relates to</x:v>
      </x:c>
      <x:c r="D297" s="12" t="str">
        <x:v>Secondary</x:v>
      </x:c>
    </x:row>
    <x:row r="298">
      <x:c r="A298" s="12" t="str">
        <x:v>NEED-0080</x:v>
      </x:c>
      <x:c r="B298" s="12" t="str">
        <x:v>CAP-0011</x:v>
      </x:c>
      <x:c r="C298" s="12" t="str">
        <x:v>Requires / relates to</x:v>
      </x:c>
      <x:c r="D298" s="12" t="str">
        <x:v>Primary</x:v>
      </x:c>
    </x:row>
    <x:row r="299">
      <x:c r="A299" s="12" t="str">
        <x:v>NEED-0080</x:v>
      </x:c>
      <x:c r="B299" s="12" t="str">
        <x:v>CAP-0012</x:v>
      </x:c>
      <x:c r="C299" s="12" t="str">
        <x:v>Requires / relates to</x:v>
      </x:c>
      <x:c r="D299" s="12" t="str">
        <x:v>Secondary</x:v>
      </x:c>
    </x:row>
    <x:row r="300">
      <x:c r="A300" s="12" t="str">
        <x:v>NEED-0080</x:v>
      </x:c>
      <x:c r="B300" s="12" t="str">
        <x:v>CAP-0017</x:v>
      </x:c>
      <x:c r="C300" s="12" t="str">
        <x:v>Requires / relates to</x:v>
      </x:c>
      <x:c r="D300" s="12" t="str">
        <x:v>Secondary</x:v>
      </x:c>
    </x:row>
    <x:row r="301">
      <x:c r="A301" s="12" t="str">
        <x:v>NEED-0080</x:v>
      </x:c>
      <x:c r="B301" s="12" t="str">
        <x:v>CAP-0018</x:v>
      </x:c>
      <x:c r="C301" s="12" t="str">
        <x:v>Requires / relates to</x:v>
      </x:c>
      <x:c r="D301" s="12" t="str">
        <x:v>Secondary</x:v>
      </x:c>
    </x:row>
    <x:row r="302">
      <x:c r="A302" s="12" t="str">
        <x:v>NEED-0080</x:v>
      </x:c>
      <x:c r="B302" s="12" t="str">
        <x:v>CAP-0022</x:v>
      </x:c>
      <x:c r="C302" s="12" t="str">
        <x:v>Requires / relates to</x:v>
      </x:c>
      <x:c r="D302" s="12" t="str">
        <x:v>Secondary</x:v>
      </x:c>
    </x:row>
    <x:row r="303">
      <x:c r="A303" s="12" t="str">
        <x:v>NEED-0081</x:v>
      </x:c>
      <x:c r="B303" s="12" t="str">
        <x:v>CAP-0011</x:v>
      </x:c>
      <x:c r="C303" s="12" t="str">
        <x:v>Requires / relates to</x:v>
      </x:c>
      <x:c r="D303" s="12" t="str">
        <x:v>Primary</x:v>
      </x:c>
    </x:row>
    <x:row r="304">
      <x:c r="A304" s="12" t="str">
        <x:v>NEED-0082</x:v>
      </x:c>
      <x:c r="B304" s="12" t="str">
        <x:v>CAP-0011</x:v>
      </x:c>
      <x:c r="C304" s="12" t="str">
        <x:v>Requires / relates to</x:v>
      </x:c>
      <x:c r="D304" s="12" t="str">
        <x:v>Primary</x:v>
      </x:c>
    </x:row>
    <x:row r="305">
      <x:c r="A305" s="12" t="str">
        <x:v>NEED-0082</x:v>
      </x:c>
      <x:c r="B305" s="12" t="str">
        <x:v>CAP-0015</x:v>
      </x:c>
      <x:c r="C305" s="12" t="str">
        <x:v>Requires / relates to</x:v>
      </x:c>
      <x:c r="D305" s="12" t="str">
        <x:v>Secondary</x:v>
      </x:c>
    </x:row>
    <x:row r="306">
      <x:c r="A306" s="12" t="str">
        <x:v>NEED-0082</x:v>
      </x:c>
      <x:c r="B306" s="12" t="str">
        <x:v>CAP-0021</x:v>
      </x:c>
      <x:c r="C306" s="12" t="str">
        <x:v>Requires / relates to</x:v>
      </x:c>
      <x:c r="D306" s="12" t="str">
        <x:v>Secondary</x:v>
      </x:c>
    </x:row>
    <x:row r="307">
      <x:c r="A307" s="12" t="str">
        <x:v>NEED-0082</x:v>
      </x:c>
      <x:c r="B307" s="12" t="str">
        <x:v>CAP-0022</x:v>
      </x:c>
      <x:c r="C307" s="12" t="str">
        <x:v>Requires / relates to</x:v>
      </x:c>
      <x:c r="D307" s="12" t="str">
        <x:v>Secondary</x:v>
      </x:c>
    </x:row>
    <x:row r="308">
      <x:c r="A308" s="12" t="str">
        <x:v>NEED-0083</x:v>
      </x:c>
      <x:c r="B308" s="12" t="str">
        <x:v>CAP-0011</x:v>
      </x:c>
      <x:c r="C308" s="12" t="str">
        <x:v>Requires / relates to</x:v>
      </x:c>
      <x:c r="D308" s="12" t="str">
        <x:v>Primary</x:v>
      </x:c>
    </x:row>
    <x:row r="309">
      <x:c r="A309" s="12" t="str">
        <x:v>NEED-0083</x:v>
      </x:c>
      <x:c r="B309" s="12" t="str">
        <x:v>CAP-0021</x:v>
      </x:c>
      <x:c r="C309" s="12" t="str">
        <x:v>Requires / relates to</x:v>
      </x:c>
      <x:c r="D309" s="12" t="str">
        <x:v>Secondary</x:v>
      </x:c>
    </x:row>
    <x:row r="310">
      <x:c r="A310" s="12" t="str">
        <x:v>NEED-0084</x:v>
      </x:c>
      <x:c r="B310" s="12" t="str">
        <x:v>CAP-0011</x:v>
      </x:c>
      <x:c r="C310" s="12" t="str">
        <x:v>Requires / relates to</x:v>
      </x:c>
      <x:c r="D310" s="12" t="str">
        <x:v>Primary</x:v>
      </x:c>
    </x:row>
    <x:row r="311">
      <x:c r="A311" s="12" t="str">
        <x:v>NEED-0084</x:v>
      </x:c>
      <x:c r="B311" s="12" t="str">
        <x:v>CAP-0013</x:v>
      </x:c>
      <x:c r="C311" s="12" t="str">
        <x:v>Requires / relates to</x:v>
      </x:c>
      <x:c r="D311" s="12" t="str">
        <x:v>Secondary</x:v>
      </x:c>
    </x:row>
    <x:row r="312">
      <x:c r="A312" s="12" t="str">
        <x:v>NEED-0085</x:v>
      </x:c>
      <x:c r="B312" s="12" t="str">
        <x:v>CAP-0011</x:v>
      </x:c>
      <x:c r="C312" s="12" t="str">
        <x:v>Requires / relates to</x:v>
      </x:c>
      <x:c r="D312" s="12" t="str">
        <x:v>Primary</x:v>
      </x:c>
    </x:row>
    <x:row r="313">
      <x:c r="A313" s="12" t="str">
        <x:v>NEED-0086</x:v>
      </x:c>
      <x:c r="B313" s="12" t="str">
        <x:v>CAP-0011</x:v>
      </x:c>
      <x:c r="C313" s="12" t="str">
        <x:v>Requires / relates to</x:v>
      </x:c>
      <x:c r="D313" s="12" t="str">
        <x:v>Primary</x:v>
      </x:c>
    </x:row>
    <x:row r="314">
      <x:c r="A314" s="12" t="str">
        <x:v>NEED-0086</x:v>
      </x:c>
      <x:c r="B314" s="12" t="str">
        <x:v>CAP-0012</x:v>
      </x:c>
      <x:c r="C314" s="12" t="str">
        <x:v>Requires / relates to</x:v>
      </x:c>
      <x:c r="D314" s="12" t="str">
        <x:v>Secondary</x:v>
      </x:c>
    </x:row>
    <x:row r="315">
      <x:c r="A315" s="12" t="str">
        <x:v>NEED-0086</x:v>
      </x:c>
      <x:c r="B315" s="12" t="str">
        <x:v>CAP-0018</x:v>
      </x:c>
      <x:c r="C315" s="12" t="str">
        <x:v>Requires / relates to</x:v>
      </x:c>
      <x:c r="D315" s="12" t="str">
        <x:v>Secondary</x:v>
      </x:c>
    </x:row>
    <x:row r="316">
      <x:c r="A316" s="12" t="str">
        <x:v>NEED-0087</x:v>
      </x:c>
      <x:c r="B316" s="12" t="str">
        <x:v>CAP-0011</x:v>
      </x:c>
      <x:c r="C316" s="12" t="str">
        <x:v>Requires / relates to</x:v>
      </x:c>
      <x:c r="D316" s="12" t="str">
        <x:v>Primary</x:v>
      </x:c>
    </x:row>
    <x:row r="317">
      <x:c r="A317" s="12" t="str">
        <x:v>NEED-0087</x:v>
      </x:c>
      <x:c r="B317" s="12" t="str">
        <x:v>CAP-0018</x:v>
      </x:c>
      <x:c r="C317" s="12" t="str">
        <x:v>Requires / relates to</x:v>
      </x:c>
      <x:c r="D317" s="12" t="str">
        <x:v>Secondary</x:v>
      </x:c>
    </x:row>
    <x:row r="318">
      <x:c r="A318" s="12" t="str">
        <x:v>NEED-0088</x:v>
      </x:c>
      <x:c r="B318" s="12" t="str">
        <x:v>CAP-0011</x:v>
      </x:c>
      <x:c r="C318" s="12" t="str">
        <x:v>Requires / relates to</x:v>
      </x:c>
      <x:c r="D318" s="12" t="str">
        <x:v>Primary</x:v>
      </x:c>
    </x:row>
    <x:row r="319">
      <x:c r="A319" s="12" t="str">
        <x:v>NEED-0089</x:v>
      </x:c>
      <x:c r="B319" s="12" t="str">
        <x:v>CAP-0011</x:v>
      </x:c>
      <x:c r="C319" s="12" t="str">
        <x:v>Requires / relates to</x:v>
      </x:c>
      <x:c r="D319" s="12" t="str">
        <x:v>Primary</x:v>
      </x:c>
    </x:row>
    <x:row r="320">
      <x:c r="A320" s="12" t="str">
        <x:v>NEED-0089</x:v>
      </x:c>
      <x:c r="B320" s="12" t="str">
        <x:v>CAP-0018</x:v>
      </x:c>
      <x:c r="C320" s="12" t="str">
        <x:v>Requires / relates to</x:v>
      </x:c>
      <x:c r="D320" s="12" t="str">
        <x:v>Secondary</x:v>
      </x:c>
    </x:row>
    <x:row r="321">
      <x:c r="A321" s="12" t="str">
        <x:v>NEED-0090</x:v>
      </x:c>
      <x:c r="B321" s="12" t="str">
        <x:v>CAP-0001</x:v>
      </x:c>
      <x:c r="C321" s="12" t="str">
        <x:v>Requires / relates to</x:v>
      </x:c>
      <x:c r="D321" s="12" t="str">
        <x:v>Primary</x:v>
      </x:c>
    </x:row>
    <x:row r="322">
      <x:c r="A322" s="12" t="str">
        <x:v>NEED-0090</x:v>
      </x:c>
      <x:c r="B322" s="12" t="str">
        <x:v>CAP-0011</x:v>
      </x:c>
      <x:c r="C322" s="12" t="str">
        <x:v>Requires / relates to</x:v>
      </x:c>
      <x:c r="D322" s="12" t="str">
        <x:v>Secondary</x:v>
      </x:c>
    </x:row>
    <x:row r="323">
      <x:c r="A323" s="12" t="str">
        <x:v>NEED-0091</x:v>
      </x:c>
      <x:c r="B323" s="12" t="str">
        <x:v>CAP-0009</x:v>
      </x:c>
      <x:c r="C323" s="12" t="str">
        <x:v>Requires / relates to</x:v>
      </x:c>
      <x:c r="D323" s="12" t="str">
        <x:v>Primary</x:v>
      </x:c>
    </x:row>
    <x:row r="324">
      <x:c r="A324" s="12" t="str">
        <x:v>NEED-0091</x:v>
      </x:c>
      <x:c r="B324" s="12" t="str">
        <x:v>CAP-0011</x:v>
      </x:c>
      <x:c r="C324" s="12" t="str">
        <x:v>Requires / relates to</x:v>
      </x:c>
      <x:c r="D324" s="12" t="str">
        <x:v>Secondary</x:v>
      </x:c>
    </x:row>
    <x:row r="325">
      <x:c r="A325" s="12" t="str">
        <x:v>NEED-0091</x:v>
      </x:c>
      <x:c r="B325" s="12" t="str">
        <x:v>CAP-0012</x:v>
      </x:c>
      <x:c r="C325" s="12" t="str">
        <x:v>Requires / relates to</x:v>
      </x:c>
      <x:c r="D325" s="12" t="str">
        <x:v>Secondary</x:v>
      </x:c>
    </x:row>
    <x:row r="326">
      <x:c r="A326" s="12" t="str">
        <x:v>NEED-0092</x:v>
      </x:c>
      <x:c r="B326" s="12" t="str">
        <x:v>CAP-0011</x:v>
      </x:c>
      <x:c r="C326" s="12" t="str">
        <x:v>Requires / relates to</x:v>
      </x:c>
      <x:c r="D326" s="12" t="str">
        <x:v>Primary</x:v>
      </x:c>
    </x:row>
    <x:row r="327">
      <x:c r="A327" s="12" t="str">
        <x:v>NEED-0092</x:v>
      </x:c>
      <x:c r="B327" s="12" t="str">
        <x:v>CAP-0018</x:v>
      </x:c>
      <x:c r="C327" s="12" t="str">
        <x:v>Requires / relates to</x:v>
      </x:c>
      <x:c r="D327" s="12" t="str">
        <x:v>Secondary</x:v>
      </x:c>
    </x:row>
    <x:row r="328">
      <x:c r="A328" s="12" t="str">
        <x:v>NEED-0093</x:v>
      </x:c>
      <x:c r="B328" s="12" t="str">
        <x:v>CAP-0002</x:v>
      </x:c>
      <x:c r="C328" s="12" t="str">
        <x:v>Requires / relates to</x:v>
      </x:c>
      <x:c r="D328" s="12" t="str">
        <x:v>Primary</x:v>
      </x:c>
    </x:row>
    <x:row r="329">
      <x:c r="A329" s="12" t="str">
        <x:v>NEED-0094</x:v>
      </x:c>
      <x:c r="B329" s="12" t="str">
        <x:v>CAP-0002</x:v>
      </x:c>
      <x:c r="C329" s="12" t="str">
        <x:v>Requires / relates to</x:v>
      </x:c>
      <x:c r="D329" s="12" t="str">
        <x:v>Primary</x:v>
      </x:c>
    </x:row>
    <x:row r="330">
      <x:c r="A330" s="12" t="str">
        <x:v>NEED-0095</x:v>
      </x:c>
      <x:c r="B330" s="12" t="str">
        <x:v>CAP-0002</x:v>
      </x:c>
      <x:c r="C330" s="12" t="str">
        <x:v>Requires / relates to</x:v>
      </x:c>
      <x:c r="D330" s="12" t="str">
        <x:v>Primary</x:v>
      </x:c>
    </x:row>
    <x:row r="331">
      <x:c r="A331" s="12" t="str">
        <x:v>NEED-0096</x:v>
      </x:c>
      <x:c r="B331" s="12" t="str">
        <x:v>CAP-0015</x:v>
      </x:c>
      <x:c r="C331" s="12" t="str">
        <x:v>Requires / relates to</x:v>
      </x:c>
      <x:c r="D331" s="12" t="str">
        <x:v>Primary</x:v>
      </x:c>
    </x:row>
    <x:row r="332">
      <x:c r="A332" s="12" t="str">
        <x:v>NEED-0096</x:v>
      </x:c>
      <x:c r="B332" s="12" t="str">
        <x:v>CAP-0016</x:v>
      </x:c>
      <x:c r="C332" s="12" t="str">
        <x:v>Requires / relates to</x:v>
      </x:c>
      <x:c r="D332" s="12" t="str">
        <x:v>Secondary</x:v>
      </x:c>
    </x:row>
    <x:row r="333">
      <x:c r="A333" s="12" t="str">
        <x:v>NEED-0096</x:v>
      </x:c>
      <x:c r="B333" s="12" t="str">
        <x:v>CAP-0022</x:v>
      </x:c>
      <x:c r="C333" s="12" t="str">
        <x:v>Requires / relates to</x:v>
      </x:c>
      <x:c r="D333" s="12" t="str">
        <x:v>Secondary</x:v>
      </x:c>
    </x:row>
    <x:row r="334">
      <x:c r="A334" s="12" t="str">
        <x:v>NEED-0097</x:v>
      </x:c>
      <x:c r="B334" s="12" t="str">
        <x:v>CAP-0016</x:v>
      </x:c>
      <x:c r="C334" s="12" t="str">
        <x:v>Requires / relates to</x:v>
      </x:c>
      <x:c r="D334" s="12" t="str">
        <x:v>Primary</x:v>
      </x:c>
    </x:row>
    <x:row r="335">
      <x:c r="A335" s="12" t="str">
        <x:v>NEED-0097</x:v>
      </x:c>
      <x:c r="B335" s="12" t="str">
        <x:v>CAP-0018</x:v>
      </x:c>
      <x:c r="C335" s="12" t="str">
        <x:v>Requires / relates to</x:v>
      </x:c>
      <x:c r="D335" s="12" t="str">
        <x:v>Secondary</x:v>
      </x:c>
    </x:row>
    <x:row r="336">
      <x:c r="A336" s="12" t="str">
        <x:v>NEED-0098</x:v>
      </x:c>
      <x:c r="B336" s="12" t="str">
        <x:v>CAP-0016</x:v>
      </x:c>
      <x:c r="C336" s="12" t="str">
        <x:v>Requires / relates to</x:v>
      </x:c>
      <x:c r="D336" s="12" t="str">
        <x:v>Primary</x:v>
      </x:c>
    </x:row>
    <x:row r="337">
      <x:c r="A337" s="12" t="str">
        <x:v>NEED-0099</x:v>
      </x:c>
      <x:c r="B337" s="12" t="str">
        <x:v>CAP-0016</x:v>
      </x:c>
      <x:c r="C337" s="12" t="str">
        <x:v>Requires / relates to</x:v>
      </x:c>
      <x:c r="D337" s="12" t="str">
        <x:v>Primary</x:v>
      </x:c>
    </x:row>
    <x:row r="338">
      <x:c r="A338" s="12" t="str">
        <x:v>NEED-0100</x:v>
      </x:c>
      <x:c r="B338" s="12" t="str">
        <x:v>CAP-0016</x:v>
      </x:c>
      <x:c r="C338" s="12" t="str">
        <x:v>Requires / relates to</x:v>
      </x:c>
      <x:c r="D338" s="12" t="str">
        <x:v>Primary</x:v>
      </x:c>
    </x:row>
    <x:row r="339">
      <x:c r="A339" s="12" t="str">
        <x:v>NEED-0101</x:v>
      </x:c>
      <x:c r="B339" s="12" t="str">
        <x:v>CAP-0012</x:v>
      </x:c>
      <x:c r="C339" s="12" t="str">
        <x:v>Requires / relates to</x:v>
      </x:c>
      <x:c r="D339" s="12" t="str">
        <x:v>Primary</x:v>
      </x:c>
    </x:row>
    <x:row r="340">
      <x:c r="A340" s="12" t="str">
        <x:v>NEED-0102</x:v>
      </x:c>
      <x:c r="B340" s="12" t="str">
        <x:v>CAP-0006</x:v>
      </x:c>
      <x:c r="C340" s="12" t="str">
        <x:v>Requires / relates to</x:v>
      </x:c>
      <x:c r="D340" s="12" t="str">
        <x:v>Primary</x:v>
      </x:c>
    </x:row>
    <x:row r="341">
      <x:c r="A341" s="12" t="str">
        <x:v>NEED-0103</x:v>
      </x:c>
      <x:c r="B341" s="12" t="str">
        <x:v>CAP-0009</x:v>
      </x:c>
      <x:c r="C341" s="12" t="str">
        <x:v>Requires / relates to</x:v>
      </x:c>
      <x:c r="D341" s="12" t="str">
        <x:v>Primary</x:v>
      </x:c>
    </x:row>
    <x:row r="342">
      <x:c r="A342" s="12" t="str">
        <x:v>NEED-0103</x:v>
      </x:c>
      <x:c r="B342" s="12" t="str">
        <x:v>CAP-0011</x:v>
      </x:c>
      <x:c r="C342" s="12" t="str">
        <x:v>Requires / relates to</x:v>
      </x:c>
      <x:c r="D342" s="12" t="str">
        <x:v>Secondary</x:v>
      </x:c>
    </x:row>
    <x:row r="343">
      <x:c r="A343" s="12" t="str">
        <x:v>NEED-0103</x:v>
      </x:c>
      <x:c r="B343" s="12" t="str">
        <x:v>CAP-0014</x:v>
      </x:c>
      <x:c r="C343" s="12" t="str">
        <x:v>Requires / relates to</x:v>
      </x:c>
      <x:c r="D343" s="12" t="str">
        <x:v>Secondary</x:v>
      </x:c>
    </x:row>
    <x:row r="344">
      <x:c r="A344" s="12" t="str">
        <x:v>NEED-0104</x:v>
      </x:c>
      <x:c r="B344" s="12" t="str">
        <x:v>CAP-0009</x:v>
      </x:c>
      <x:c r="C344" s="12" t="str">
        <x:v>Requires / relates to</x:v>
      </x:c>
      <x:c r="D344" s="12" t="str">
        <x:v>Primary</x:v>
      </x:c>
    </x:row>
    <x:row r="345">
      <x:c r="A345" s="12" t="str">
        <x:v>NEED-0104</x:v>
      </x:c>
      <x:c r="B345" s="12" t="str">
        <x:v>CAP-0018</x:v>
      </x:c>
      <x:c r="C345" s="12" t="str">
        <x:v>Requires / relates to</x:v>
      </x:c>
      <x:c r="D345" s="12" t="str">
        <x:v>Secondary</x:v>
      </x:c>
    </x:row>
    <x:row r="346">
      <x:c r="A346" s="12" t="str">
        <x:v>NEED-0104</x:v>
      </x:c>
      <x:c r="B346" s="12" t="str">
        <x:v>CAP-0022</x:v>
      </x:c>
      <x:c r="C346" s="12" t="str">
        <x:v>Requires / relates to</x:v>
      </x:c>
      <x:c r="D346" s="12" t="str">
        <x:v>Secondary</x:v>
      </x:c>
    </x:row>
    <x:row r="347">
      <x:c r="A347" s="12" t="str">
        <x:v>NEED-0105</x:v>
      </x:c>
      <x:c r="B347" s="12" t="str">
        <x:v>CAP-0009</x:v>
      </x:c>
      <x:c r="C347" s="12" t="str">
        <x:v>Requires / relates to</x:v>
      </x:c>
      <x:c r="D347" s="12" t="str">
        <x:v>Primary</x:v>
      </x:c>
    </x:row>
    <x:row r="348">
      <x:c r="A348" s="12" t="str">
        <x:v>NEED-0105</x:v>
      </x:c>
      <x:c r="B348" s="12" t="str">
        <x:v>CAP-0011</x:v>
      </x:c>
      <x:c r="C348" s="12" t="str">
        <x:v>Requires / relates to</x:v>
      </x:c>
      <x:c r="D348" s="12" t="str">
        <x:v>Secondary</x:v>
      </x:c>
    </x:row>
    <x:row r="349">
      <x:c r="A349" s="12" t="str">
        <x:v>NEED-0106</x:v>
      </x:c>
      <x:c r="B349" s="12" t="str">
        <x:v>CAP-0009</x:v>
      </x:c>
      <x:c r="C349" s="12" t="str">
        <x:v>Requires / relates to</x:v>
      </x:c>
      <x:c r="D349" s="12" t="str">
        <x:v>Primary</x:v>
      </x:c>
    </x:row>
    <x:row r="350">
      <x:c r="A350" s="12" t="str">
        <x:v>NEED-0106</x:v>
      </x:c>
      <x:c r="B350" s="12" t="str">
        <x:v>CAP-0017</x:v>
      </x:c>
      <x:c r="C350" s="12" t="str">
        <x:v>Requires / relates to</x:v>
      </x:c>
      <x:c r="D350" s="12" t="str">
        <x:v>Secondary</x:v>
      </x:c>
    </x:row>
    <x:row r="351">
      <x:c r="A351" s="12" t="str">
        <x:v>NEED-0107</x:v>
      </x:c>
      <x:c r="B351" s="12" t="str">
        <x:v>CAP-0011</x:v>
      </x:c>
      <x:c r="C351" s="12" t="str">
        <x:v>Requires / relates to</x:v>
      </x:c>
      <x:c r="D351" s="12" t="str">
        <x:v>Primary</x:v>
      </x:c>
    </x:row>
    <x:row r="352">
      <x:c r="A352" s="12" t="str">
        <x:v>NEED-0108</x:v>
      </x:c>
      <x:c r="B352" s="12" t="str">
        <x:v>CAP-0009</x:v>
      </x:c>
      <x:c r="C352" s="12" t="str">
        <x:v>Requires / relates to</x:v>
      </x:c>
      <x:c r="D352" s="12" t="str">
        <x:v>Primary</x:v>
      </x:c>
    </x:row>
    <x:row r="353">
      <x:c r="A353" s="12" t="str">
        <x:v>NEED-0108</x:v>
      </x:c>
      <x:c r="B353" s="12" t="str">
        <x:v>CAP-0018</x:v>
      </x:c>
      <x:c r="C353" s="12" t="str">
        <x:v>Requires / relates to</x:v>
      </x:c>
      <x:c r="D353" s="12" t="str">
        <x:v>Secondary</x:v>
      </x:c>
    </x:row>
    <x:row r="354">
      <x:c r="A354" s="12" t="str">
        <x:v>NEED-0109</x:v>
      </x:c>
      <x:c r="B354" s="12" t="str">
        <x:v>CAP-0011</x:v>
      </x:c>
      <x:c r="C354" s="12" t="str">
        <x:v>Requires / relates to</x:v>
      </x:c>
      <x:c r="D354" s="12" t="str">
        <x:v>Primary</x:v>
      </x:c>
    </x:row>
    <x:row r="355">
      <x:c r="A355" s="12" t="str">
        <x:v>NEED-0110</x:v>
      </x:c>
      <x:c r="B355" s="12" t="str">
        <x:v>CAP-0009</x:v>
      </x:c>
      <x:c r="C355" s="12" t="str">
        <x:v>Requires / relates to</x:v>
      </x:c>
      <x:c r="D355" s="12" t="str">
        <x:v>Primary</x:v>
      </x:c>
    </x:row>
    <x:row r="356">
      <x:c r="A356" s="12" t="str">
        <x:v>NEED-0111</x:v>
      </x:c>
      <x:c r="B356" s="12" t="str">
        <x:v>CAP-0022</x:v>
      </x:c>
      <x:c r="C356" s="12" t="str">
        <x:v>Requires / relates to</x:v>
      </x:c>
      <x:c r="D356" s="12" t="str">
        <x:v>Primary</x:v>
      </x:c>
    </x:row>
    <x:row r="357">
      <x:c r="A357" s="12" t="str">
        <x:v>NEED-0112</x:v>
      </x:c>
      <x:c r="B357" s="12" t="str">
        <x:v>CAP-0011</x:v>
      </x:c>
      <x:c r="C357" s="12" t="str">
        <x:v>Requires / relates to</x:v>
      </x:c>
      <x:c r="D357" s="12" t="str">
        <x:v>Primary</x:v>
      </x:c>
    </x:row>
    <x:row r="358">
      <x:c r="A358" s="12" t="str">
        <x:v>NEED-0113</x:v>
      </x:c>
      <x:c r="B358" s="12" t="str">
        <x:v>CAP-0018</x:v>
      </x:c>
      <x:c r="C358" s="12" t="str">
        <x:v>Requires / relates to</x:v>
      </x:c>
      <x:c r="D358" s="12" t="str">
        <x:v>Primary</x:v>
      </x:c>
    </x:row>
    <x:row r="359">
      <x:c r="A359" s="12" t="str">
        <x:v>NEED-0114</x:v>
      </x:c>
      <x:c r="B359" s="12" t="str">
        <x:v>CAP-0018</x:v>
      </x:c>
      <x:c r="C359" s="12" t="str">
        <x:v>Requires / relates to</x:v>
      </x:c>
      <x:c r="D359" s="12" t="str">
        <x:v>Primary</x:v>
      </x:c>
    </x:row>
    <x:row r="360">
      <x:c r="A360" s="12" t="str">
        <x:v>NEED-0115</x:v>
      </x:c>
      <x:c r="B360" s="12" t="str">
        <x:v>CAP-0018</x:v>
      </x:c>
      <x:c r="C360" s="12" t="str">
        <x:v>Requires / relates to</x:v>
      </x:c>
      <x:c r="D360" s="12" t="str">
        <x:v>Primary</x:v>
      </x:c>
    </x:row>
    <x:row r="361">
      <x:c r="A361" s="12" t="str">
        <x:v>NEED-0116</x:v>
      </x:c>
      <x:c r="B361" s="12" t="str">
        <x:v>CAP-0018</x:v>
      </x:c>
      <x:c r="C361" s="12" t="str">
        <x:v>Requires / relates to</x:v>
      </x:c>
      <x:c r="D361" s="12" t="str">
        <x:v>Primary</x:v>
      </x:c>
    </x:row>
    <x:row r="362">
      <x:c r="A362" s="12" t="str">
        <x:v>NEED-0117</x:v>
      </x:c>
      <x:c r="B362" s="12" t="str">
        <x:v>CAP-0015</x:v>
      </x:c>
      <x:c r="C362" s="12" t="str">
        <x:v>Requires / relates to</x:v>
      </x:c>
      <x:c r="D362" s="12" t="str">
        <x:v>Primary</x:v>
      </x:c>
    </x:row>
    <x:row r="363">
      <x:c r="A363" s="12" t="str">
        <x:v>NEED-0117</x:v>
      </x:c>
      <x:c r="B363" s="12" t="str">
        <x:v>CAP-0018</x:v>
      </x:c>
      <x:c r="C363" s="12" t="str">
        <x:v>Requires / relates to</x:v>
      </x:c>
      <x:c r="D363" s="12" t="str">
        <x:v>Secondary</x:v>
      </x:c>
    </x:row>
    <x:row r="364">
      <x:c r="A364" s="12" t="str">
        <x:v>NEED-0118</x:v>
      </x:c>
      <x:c r="B364" s="12" t="str">
        <x:v>CAP-0018</x:v>
      </x:c>
      <x:c r="C364" s="12" t="str">
        <x:v>Requires / relates to</x:v>
      </x:c>
      <x:c r="D364" s="12" t="str">
        <x:v>Primary</x:v>
      </x:c>
    </x:row>
    <x:row r="365">
      <x:c r="A365" s="12" t="str">
        <x:v>NEED-0119</x:v>
      </x:c>
      <x:c r="B365" s="12" t="str">
        <x:v>CAP-0007</x:v>
      </x:c>
      <x:c r="C365" s="12" t="str">
        <x:v>Requires / relates to</x:v>
      </x:c>
      <x:c r="D365" s="12" t="str">
        <x:v>Primary</x:v>
      </x:c>
    </x:row>
    <x:row r="366">
      <x:c r="A366" s="12" t="str">
        <x:v>NEED-0119</x:v>
      </x:c>
      <x:c r="B366" s="12" t="str">
        <x:v>CAP-0012</x:v>
      </x:c>
      <x:c r="C366" s="12" t="str">
        <x:v>Requires / relates to</x:v>
      </x:c>
      <x:c r="D366" s="12" t="str">
        <x:v>Secondary</x:v>
      </x:c>
    </x:row>
    <x:row r="367">
      <x:c r="A367" s="12" t="str">
        <x:v>NEED-0120</x:v>
      </x:c>
      <x:c r="B367" s="12" t="str">
        <x:v>CAP-0007</x:v>
      </x:c>
      <x:c r="C367" s="12" t="str">
        <x:v>Requires / relates to</x:v>
      </x:c>
      <x:c r="D367" s="12" t="str">
        <x:v>Primary</x:v>
      </x:c>
    </x:row>
    <x:row r="368">
      <x:c r="A368" s="12" t="str">
        <x:v>NEED-0120</x:v>
      </x:c>
      <x:c r="B368" s="12" t="str">
        <x:v>CAP-0012</x:v>
      </x:c>
      <x:c r="C368" s="12" t="str">
        <x:v>Requires / relates to</x:v>
      </x:c>
      <x:c r="D368" s="12" t="str">
        <x:v>Secondary</x:v>
      </x:c>
    </x:row>
    <x:row r="369">
      <x:c r="A369" s="12" t="str">
        <x:v>NEED-0121</x:v>
      </x:c>
      <x:c r="B369" s="12" t="str">
        <x:v>CAP-0001</x:v>
      </x:c>
      <x:c r="C369" s="12" t="str">
        <x:v>Requires / relates to</x:v>
      </x:c>
      <x:c r="D369" s="12" t="str">
        <x:v>Primary</x:v>
      </x:c>
    </x:row>
    <x:row r="370">
      <x:c r="A370" s="12" t="str">
        <x:v>NEED-0121</x:v>
      </x:c>
      <x:c r="B370" s="12" t="str">
        <x:v>CAP-0007</x:v>
      </x:c>
      <x:c r="C370" s="12" t="str">
        <x:v>Requires / relates to</x:v>
      </x:c>
      <x:c r="D370" s="12" t="str">
        <x:v>Secondary</x:v>
      </x:c>
    </x:row>
    <x:row r="371">
      <x:c r="A371" s="12" t="str">
        <x:v>NEED-0121</x:v>
      </x:c>
      <x:c r="B371" s="12" t="str">
        <x:v>CAP-0015</x:v>
      </x:c>
      <x:c r="C371" s="12" t="str">
        <x:v>Requires / relates to</x:v>
      </x:c>
      <x:c r="D371" s="12" t="str">
        <x:v>Secondary</x:v>
      </x:c>
    </x:row>
    <x:row r="372">
      <x:c r="A372" s="12" t="str">
        <x:v>NEED-0122</x:v>
      </x:c>
      <x:c r="B372" s="12" t="str">
        <x:v>CAP-0007</x:v>
      </x:c>
      <x:c r="C372" s="12" t="str">
        <x:v>Requires / relates to</x:v>
      </x:c>
      <x:c r="D372" s="12" t="str">
        <x:v>Primary</x:v>
      </x:c>
    </x:row>
    <x:row r="373">
      <x:c r="A373" s="12" t="str">
        <x:v>NEED-0122</x:v>
      </x:c>
      <x:c r="B373" s="12" t="str">
        <x:v>CAP-0022</x:v>
      </x:c>
      <x:c r="C373" s="12" t="str">
        <x:v>Requires / relates to</x:v>
      </x:c>
      <x:c r="D373" s="12" t="str">
        <x:v>Secondary</x:v>
      </x:c>
    </x:row>
    <x:row r="374">
      <x:c r="A374" s="12" t="str">
        <x:v>NEED-0123</x:v>
      </x:c>
      <x:c r="B374" s="12" t="str">
        <x:v>CAP-0007</x:v>
      </x:c>
      <x:c r="C374" s="12" t="str">
        <x:v>Requires / relates to</x:v>
      </x:c>
      <x:c r="D374" s="12" t="str">
        <x:v>Primary</x:v>
      </x:c>
    </x:row>
    <x:row r="375">
      <x:c r="A375" s="12" t="str">
        <x:v>NEED-0124</x:v>
      </x:c>
      <x:c r="B375" s="12" t="str">
        <x:v>CAP-0007</x:v>
      </x:c>
      <x:c r="C375" s="12" t="str">
        <x:v>Requires / relates to</x:v>
      </x:c>
      <x:c r="D375" s="12" t="str">
        <x:v>Primary</x:v>
      </x:c>
    </x:row>
    <x:row r="376">
      <x:c r="A376" s="12" t="str">
        <x:v>NEED-0125</x:v>
      </x:c>
      <x:c r="B376" s="12" t="str">
        <x:v>CAP-0007</x:v>
      </x:c>
      <x:c r="C376" s="12" t="str">
        <x:v>Requires / relates to</x:v>
      </x:c>
      <x:c r="D376" s="12" t="str">
        <x:v>Primary</x:v>
      </x:c>
    </x:row>
    <x:row r="377">
      <x:c r="A377" s="12" t="str">
        <x:v>NEED-0125</x:v>
      </x:c>
      <x:c r="B377" s="12" t="str">
        <x:v>CAP-0014</x:v>
      </x:c>
      <x:c r="C377" s="12" t="str">
        <x:v>Requires / relates to</x:v>
      </x:c>
      <x:c r="D377" s="12" t="str">
        <x:v>Secondary</x:v>
      </x:c>
    </x:row>
    <x:row r="378">
      <x:c r="A378" s="12" t="str">
        <x:v>NEED-0126</x:v>
      </x:c>
      <x:c r="B378" s="12" t="str">
        <x:v>CAP-0004</x:v>
      </x:c>
      <x:c r="C378" s="12" t="str">
        <x:v>Requires / relates to</x:v>
      </x:c>
      <x:c r="D378" s="12" t="str">
        <x:v>Primary</x:v>
      </x:c>
    </x:row>
    <x:row r="379">
      <x:c r="A379" s="12" t="str">
        <x:v>NEED-0126</x:v>
      </x:c>
      <x:c r="B379" s="12" t="str">
        <x:v>CAP-0006</x:v>
      </x:c>
      <x:c r="C379" s="12" t="str">
        <x:v>Requires / relates to</x:v>
      </x:c>
      <x:c r="D379" s="12" t="str">
        <x:v>Secondary</x:v>
      </x:c>
    </x:row>
    <x:row r="380">
      <x:c r="A380" s="12" t="str">
        <x:v>NEED-0126</x:v>
      </x:c>
      <x:c r="B380" s="12" t="str">
        <x:v>CAP-0007</x:v>
      </x:c>
      <x:c r="C380" s="12" t="str">
        <x:v>Requires / relates to</x:v>
      </x:c>
      <x:c r="D380" s="12" t="str">
        <x:v>Secondary</x:v>
      </x:c>
    </x:row>
    <x:row r="381">
      <x:c r="A381" s="12" t="str">
        <x:v>NEED-0126</x:v>
      </x:c>
      <x:c r="B381" s="12" t="str">
        <x:v>CAP-0022</x:v>
      </x:c>
      <x:c r="C381" s="12" t="str">
        <x:v>Requires / relates to</x:v>
      </x:c>
      <x:c r="D381" s="12" t="str">
        <x:v>Secondary</x:v>
      </x:c>
    </x:row>
    <x:row r="382">
      <x:c r="A382" s="12" t="str">
        <x:v>NEED-0127</x:v>
      </x:c>
      <x:c r="B382" s="12" t="str">
        <x:v>CAP-0007</x:v>
      </x:c>
      <x:c r="C382" s="12" t="str">
        <x:v>Requires / relates to</x:v>
      </x:c>
      <x:c r="D382" s="12" t="str">
        <x:v>Primary</x:v>
      </x:c>
    </x:row>
    <x:row r="383">
      <x:c r="A383" s="12" t="str">
        <x:v>NEED-0127</x:v>
      </x:c>
      <x:c r="B383" s="12" t="str">
        <x:v>CAP-0014</x:v>
      </x:c>
      <x:c r="C383" s="12" t="str">
        <x:v>Requires / relates to</x:v>
      </x:c>
      <x:c r="D383" s="12" t="str">
        <x:v>Secondary</x:v>
      </x:c>
    </x:row>
    <x:row r="384">
      <x:c r="A384" s="12" t="str">
        <x:v>NEED-0128</x:v>
      </x:c>
      <x:c r="B384" s="12" t="str">
        <x:v>CAP-0007</x:v>
      </x:c>
      <x:c r="C384" s="12" t="str">
        <x:v>Requires / relates to</x:v>
      </x:c>
      <x:c r="D384" s="12" t="str">
        <x:v>Primary</x:v>
      </x:c>
    </x:row>
    <x:row r="385">
      <x:c r="A385" s="12" t="str">
        <x:v>NEED-0129</x:v>
      </x:c>
      <x:c r="B385" s="12" t="str">
        <x:v>CAP-0007</x:v>
      </x:c>
      <x:c r="C385" s="12" t="str">
        <x:v>Requires / relates to</x:v>
      </x:c>
      <x:c r="D385" s="12" t="str">
        <x:v>Primary</x:v>
      </x:c>
    </x:row>
    <x:row r="386">
      <x:c r="A386" s="12" t="str">
        <x:v>NEED-0129</x:v>
      </x:c>
      <x:c r="B386" s="12" t="str">
        <x:v>CAP-0012</x:v>
      </x:c>
      <x:c r="C386" s="12" t="str">
        <x:v>Requires / relates to</x:v>
      </x:c>
      <x:c r="D386" s="12" t="str">
        <x:v>Secondary</x:v>
      </x:c>
    </x:row>
    <x:row r="387">
      <x:c r="A387" s="12" t="str">
        <x:v>NEED-0130</x:v>
      </x:c>
      <x:c r="B387" s="12" t="str">
        <x:v>CAP-0006</x:v>
      </x:c>
      <x:c r="C387" s="12" t="str">
        <x:v>Requires / relates to</x:v>
      </x:c>
      <x:c r="D387" s="12" t="str">
        <x:v>Primary</x:v>
      </x:c>
    </x:row>
    <x:row r="388">
      <x:c r="A388" s="12" t="str">
        <x:v>NEED-0130</x:v>
      </x:c>
      <x:c r="B388" s="12" t="str">
        <x:v>CAP-0007</x:v>
      </x:c>
      <x:c r="C388" s="12" t="str">
        <x:v>Requires / relates to</x:v>
      </x:c>
      <x:c r="D388" s="12" t="str">
        <x:v>Secondary</x:v>
      </x:c>
    </x:row>
    <x:row r="389">
      <x:c r="A389" s="12" t="str">
        <x:v>NEED-0131</x:v>
      </x:c>
      <x:c r="B389" s="12" t="str">
        <x:v>CAP-0007</x:v>
      </x:c>
      <x:c r="C389" s="12" t="str">
        <x:v>Requires / relates to</x:v>
      </x:c>
      <x:c r="D389" s="12" t="str">
        <x:v>Primary</x:v>
      </x:c>
    </x:row>
    <x:row r="390">
      <x:c r="A390" s="12" t="str">
        <x:v>NEED-0132</x:v>
      </x:c>
      <x:c r="B390" s="12" t="str">
        <x:v>CAP-0007</x:v>
      </x:c>
      <x:c r="C390" s="12" t="str">
        <x:v>Requires / relates to</x:v>
      </x:c>
      <x:c r="D390" s="12" t="str">
        <x:v>Primary</x:v>
      </x:c>
    </x:row>
    <x:row r="391">
      <x:c r="A391" s="12" t="str">
        <x:v>NEED-0132</x:v>
      </x:c>
      <x:c r="B391" s="12" t="str">
        <x:v>CAP-0022</x:v>
      </x:c>
      <x:c r="C391" s="12" t="str">
        <x:v>Requires / relates to</x:v>
      </x:c>
      <x:c r="D391" s="12" t="str">
        <x:v>Secondary</x:v>
      </x:c>
    </x:row>
    <x:row r="392">
      <x:c r="A392" s="12" t="str">
        <x:v>NEED-0133</x:v>
      </x:c>
      <x:c r="B392" s="12" t="str">
        <x:v>CAP-0007</x:v>
      </x:c>
      <x:c r="C392" s="12" t="str">
        <x:v>Requires / relates to</x:v>
      </x:c>
      <x:c r="D392" s="12" t="str">
        <x:v>Primary</x:v>
      </x:c>
    </x:row>
    <x:row r="393">
      <x:c r="A393" s="12" t="str">
        <x:v>NEED-0133</x:v>
      </x:c>
      <x:c r="B393" s="12" t="str">
        <x:v>CAP-0022</x:v>
      </x:c>
      <x:c r="C393" s="12" t="str">
        <x:v>Requires / relates to</x:v>
      </x:c>
      <x:c r="D393" s="12" t="str">
        <x:v>Secondary</x:v>
      </x:c>
    </x:row>
    <x:row r="394">
      <x:c r="A394" s="12" t="str">
        <x:v>NEED-0134</x:v>
      </x:c>
      <x:c r="B394" s="12" t="str">
        <x:v>CAP-0007</x:v>
      </x:c>
      <x:c r="C394" s="12" t="str">
        <x:v>Requires / relates to</x:v>
      </x:c>
      <x:c r="D394" s="12" t="str">
        <x:v>Primary</x:v>
      </x:c>
    </x:row>
    <x:row r="395">
      <x:c r="A395" s="12" t="str">
        <x:v>NEED-0135</x:v>
      </x:c>
      <x:c r="B395" s="12" t="str">
        <x:v>CAP-0007</x:v>
      </x:c>
      <x:c r="C395" s="12" t="str">
        <x:v>Requires / relates to</x:v>
      </x:c>
      <x:c r="D395" s="12" t="str">
        <x:v>Primary</x:v>
      </x:c>
    </x:row>
    <x:row r="396">
      <x:c r="A396" s="12" t="str">
        <x:v>NEED-0136</x:v>
      </x:c>
      <x:c r="B396" s="12" t="str">
        <x:v>CAP-0007</x:v>
      </x:c>
      <x:c r="C396" s="12" t="str">
        <x:v>Requires / relates to</x:v>
      </x:c>
      <x:c r="D396" s="12" t="str">
        <x:v>Primary</x:v>
      </x:c>
    </x:row>
    <x:row r="397">
      <x:c r="A397" s="12" t="str">
        <x:v>NEED-0137</x:v>
      </x:c>
      <x:c r="B397" s="12" t="str">
        <x:v>CAP-0007</x:v>
      </x:c>
      <x:c r="C397" s="12" t="str">
        <x:v>Requires / relates to</x:v>
      </x:c>
      <x:c r="D397" s="12" t="str">
        <x:v>Primary</x:v>
      </x:c>
    </x:row>
    <x:row r="398">
      <x:c r="A398" s="12" t="str">
        <x:v>NEED-0137</x:v>
      </x:c>
      <x:c r="B398" s="12" t="str">
        <x:v>CAP-0012</x:v>
      </x:c>
      <x:c r="C398" s="12" t="str">
        <x:v>Requires / relates to</x:v>
      </x:c>
      <x:c r="D398" s="12" t="str">
        <x:v>Secondary</x:v>
      </x:c>
    </x:row>
    <x:row r="399">
      <x:c r="A399" s="12" t="str">
        <x:v>NEED-0138</x:v>
      </x:c>
      <x:c r="B399" s="12" t="str">
        <x:v>CAP-0007</x:v>
      </x:c>
      <x:c r="C399" s="12" t="str">
        <x:v>Requires / relates to</x:v>
      </x:c>
      <x:c r="D399" s="12" t="str">
        <x:v>Primary</x:v>
      </x:c>
    </x:row>
    <x:row r="400">
      <x:c r="A400" s="12" t="str">
        <x:v>NEED-0139</x:v>
      </x:c>
      <x:c r="B400" s="12" t="str">
        <x:v>CAP-0007</x:v>
      </x:c>
      <x:c r="C400" s="12" t="str">
        <x:v>Requires / relates to</x:v>
      </x:c>
      <x:c r="D400" s="12" t="str">
        <x:v>Primary</x:v>
      </x:c>
    </x:row>
    <x:row r="401">
      <x:c r="A401" s="12" t="str">
        <x:v>NEED-0140</x:v>
      </x:c>
      <x:c r="B401" s="12" t="str">
        <x:v>CAP-0007</x:v>
      </x:c>
      <x:c r="C401" s="12" t="str">
        <x:v>Requires / relates to</x:v>
      </x:c>
      <x:c r="D401" s="12" t="str">
        <x:v>Primary</x:v>
      </x:c>
    </x:row>
    <x:row r="402">
      <x:c r="A402" s="12" t="str">
        <x:v>NEED-0141</x:v>
      </x:c>
      <x:c r="B402" s="12" t="str">
        <x:v>CAP-0001</x:v>
      </x:c>
      <x:c r="C402" s="12" t="str">
        <x:v>Requires / relates to</x:v>
      </x:c>
      <x:c r="D402" s="12" t="str">
        <x:v>Primary</x:v>
      </x:c>
    </x:row>
    <x:row r="403">
      <x:c r="A403" s="12" t="str">
        <x:v>NEED-0141</x:v>
      </x:c>
      <x:c r="B403" s="12" t="str">
        <x:v>CAP-0004</x:v>
      </x:c>
      <x:c r="C403" s="12" t="str">
        <x:v>Requires / relates to</x:v>
      </x:c>
      <x:c r="D403" s="12" t="str">
        <x:v>Secondary</x:v>
      </x:c>
    </x:row>
    <x:row r="404">
      <x:c r="A404" s="12" t="str">
        <x:v>NEED-0141</x:v>
      </x:c>
      <x:c r="B404" s="12" t="str">
        <x:v>CAP-0007</x:v>
      </x:c>
      <x:c r="C404" s="12" t="str">
        <x:v>Requires / relates to</x:v>
      </x:c>
      <x:c r="D404" s="12" t="str">
        <x:v>Secondary</x:v>
      </x:c>
    </x:row>
    <x:row r="405">
      <x:c r="A405" s="12" t="str">
        <x:v>NEED-0141</x:v>
      </x:c>
      <x:c r="B405" s="12" t="str">
        <x:v>CAP-0015</x:v>
      </x:c>
      <x:c r="C405" s="12" t="str">
        <x:v>Requires / relates to</x:v>
      </x:c>
      <x:c r="D405" s="12" t="str">
        <x:v>Secondary</x:v>
      </x:c>
    </x:row>
    <x:row r="406">
      <x:c r="A406" s="12" t="str">
        <x:v>NEED-0141</x:v>
      </x:c>
      <x:c r="B406" s="12" t="str">
        <x:v>CAP-0022</x:v>
      </x:c>
      <x:c r="C406" s="12" t="str">
        <x:v>Requires / relates to</x:v>
      </x:c>
      <x:c r="D406" s="12" t="str">
        <x:v>Secondary</x:v>
      </x:c>
    </x:row>
    <x:row r="407">
      <x:c r="A407" s="12" t="str">
        <x:v>NEED-0142</x:v>
      </x:c>
      <x:c r="B407" s="12" t="str">
        <x:v>CAP-0015</x:v>
      </x:c>
      <x:c r="C407" s="12" t="str">
        <x:v>Requires / relates to</x:v>
      </x:c>
      <x:c r="D407" s="12" t="str">
        <x:v>Primary</x:v>
      </x:c>
    </x:row>
    <x:row r="408">
      <x:c r="A408" s="12" t="str">
        <x:v>NEED-0143</x:v>
      </x:c>
      <x:c r="B408" s="12" t="str">
        <x:v>CAP-0012</x:v>
      </x:c>
      <x:c r="C408" s="12" t="str">
        <x:v>Requires / relates to</x:v>
      </x:c>
      <x:c r="D408" s="12" t="str">
        <x:v>Primary</x:v>
      </x:c>
    </x:row>
    <x:row r="409">
      <x:c r="A409" s="12" t="str">
        <x:v>NEED-0143</x:v>
      </x:c>
      <x:c r="B409" s="12" t="str">
        <x:v>CAP-0020</x:v>
      </x:c>
      <x:c r="C409" s="12" t="str">
        <x:v>Requires / relates to</x:v>
      </x:c>
      <x:c r="D409" s="12" t="str">
        <x:v>Secondary</x:v>
      </x:c>
    </x:row>
    <x:row r="410">
      <x:c r="A410" s="12" t="str">
        <x:v>NEED-0143</x:v>
      </x:c>
      <x:c r="B410" s="12" t="str">
        <x:v>CAP-0021</x:v>
      </x:c>
      <x:c r="C410" s="12" t="str">
        <x:v>Requires / relates to</x:v>
      </x:c>
      <x:c r="D410" s="12" t="str">
        <x:v>Secondary</x:v>
      </x:c>
    </x:row>
    <x:row r="411">
      <x:c r="A411" s="12" t="str">
        <x:v>NEED-0144</x:v>
      </x:c>
      <x:c r="B411" s="12" t="str">
        <x:v>CAP-0020</x:v>
      </x:c>
      <x:c r="C411" s="12" t="str">
        <x:v>Requires / relates to</x:v>
      </x:c>
      <x:c r="D411" s="12" t="str">
        <x:v>Primary</x:v>
      </x:c>
    </x:row>
    <x:row r="412">
      <x:c r="A412" s="12" t="str">
        <x:v>NEED-0145</x:v>
      </x:c>
      <x:c r="B412" s="12" t="str">
        <x:v>CAP-0011</x:v>
      </x:c>
      <x:c r="C412" s="12" t="str">
        <x:v>Requires / relates to</x:v>
      </x:c>
      <x:c r="D412" s="12" t="str">
        <x:v>Primary</x:v>
      </x:c>
    </x:row>
    <x:row r="413">
      <x:c r="A413" s="12" t="str">
        <x:v>NEED-0145</x:v>
      </x:c>
      <x:c r="B413" s="12" t="str">
        <x:v>CAP-0014</x:v>
      </x:c>
      <x:c r="C413" s="12" t="str">
        <x:v>Requires / relates to</x:v>
      </x:c>
      <x:c r="D413" s="12" t="str">
        <x:v>Secondary</x:v>
      </x:c>
    </x:row>
    <x:row r="414">
      <x:c r="A414" s="12" t="str">
        <x:v>NEED-0145</x:v>
      </x:c>
      <x:c r="B414" s="12" t="str">
        <x:v>CAP-0020</x:v>
      </x:c>
      <x:c r="C414" s="12" t="str">
        <x:v>Requires / relates to</x:v>
      </x:c>
      <x:c r="D414" s="12" t="str">
        <x:v>Secondary</x:v>
      </x:c>
    </x:row>
    <x:row r="415">
      <x:c r="A415" s="12" t="str">
        <x:v>NEED-0145</x:v>
      </x:c>
      <x:c r="B415" s="12" t="str">
        <x:v>CAP-0022</x:v>
      </x:c>
      <x:c r="C415" s="12" t="str">
        <x:v>Requires / relates to</x:v>
      </x:c>
      <x:c r="D415" s="12" t="str">
        <x:v>Secondary</x:v>
      </x:c>
    </x:row>
    <x:row r="416">
      <x:c r="A416" s="12" t="str">
        <x:v>NEED-0146</x:v>
      </x:c>
      <x:c r="B416" s="12" t="str">
        <x:v>CAP-0020</x:v>
      </x:c>
      <x:c r="C416" s="12" t="str">
        <x:v>Requires / relates to</x:v>
      </x:c>
      <x:c r="D416" s="12" t="str">
        <x:v>Primary</x:v>
      </x:c>
    </x:row>
    <x:row r="417">
      <x:c r="A417" s="12" t="str">
        <x:v>NEED-0146</x:v>
      </x:c>
      <x:c r="B417" s="12" t="str">
        <x:v>CAP-0021</x:v>
      </x:c>
      <x:c r="C417" s="12" t="str">
        <x:v>Requires / relates to</x:v>
      </x:c>
      <x:c r="D417" s="12" t="str">
        <x:v>Secondary</x:v>
      </x:c>
    </x:row>
    <x:row r="418">
      <x:c r="A418" s="12" t="str">
        <x:v>NEED-0147</x:v>
      </x:c>
      <x:c r="B418" s="12" t="str">
        <x:v>CAP-0020</x:v>
      </x:c>
      <x:c r="C418" s="12" t="str">
        <x:v>Requires / relates to</x:v>
      </x:c>
      <x:c r="D418" s="12" t="str">
        <x:v>Primary</x:v>
      </x:c>
    </x:row>
    <x:row r="419">
      <x:c r="A419" s="12" t="str">
        <x:v>NEED-0148</x:v>
      </x:c>
      <x:c r="B419" s="12" t="str">
        <x:v>CAP-0020</x:v>
      </x:c>
      <x:c r="C419" s="12" t="str">
        <x:v>Requires / relates to</x:v>
      </x:c>
      <x:c r="D419" s="12" t="str">
        <x:v>Primary</x:v>
      </x:c>
    </x:row>
    <x:row r="420">
      <x:c r="A420" s="12" t="str">
        <x:v>NEED-0148</x:v>
      </x:c>
      <x:c r="B420" s="12" t="str">
        <x:v>CAP-0021</x:v>
      </x:c>
      <x:c r="C420" s="12" t="str">
        <x:v>Requires / relates to</x:v>
      </x:c>
      <x:c r="D420" s="12" t="str">
        <x:v>Secondary</x:v>
      </x:c>
    </x:row>
    <x:row r="421">
      <x:c r="A421" s="12" t="str">
        <x:v>NEED-0149</x:v>
      </x:c>
      <x:c r="B421" s="12" t="str">
        <x:v>CAP-0020</x:v>
      </x:c>
      <x:c r="C421" s="12" t="str">
        <x:v>Requires / relates to</x:v>
      </x:c>
      <x:c r="D421" s="12" t="str">
        <x:v>Primary</x:v>
      </x:c>
    </x:row>
    <x:row r="422">
      <x:c r="A422" s="12" t="str">
        <x:v>NEED-0150</x:v>
      </x:c>
      <x:c r="B422" s="12" t="str">
        <x:v>CAP-0018</x:v>
      </x:c>
      <x:c r="C422" s="12" t="str">
        <x:v>Requires / relates to</x:v>
      </x:c>
      <x:c r="D422" s="12" t="str">
        <x:v>Primary</x:v>
      </x:c>
    </x:row>
    <x:row r="423">
      <x:c r="A423" s="12" t="str">
        <x:v>NEED-0150</x:v>
      </x:c>
      <x:c r="B423" s="12" t="str">
        <x:v>CAP-0020</x:v>
      </x:c>
      <x:c r="C423" s="12" t="str">
        <x:v>Requires / relates to</x:v>
      </x:c>
      <x:c r="D423" s="12" t="str">
        <x:v>Secondary</x:v>
      </x:c>
    </x:row>
    <x:row r="424">
      <x:c r="A424" s="12" t="str">
        <x:v>NEED-0151</x:v>
      </x:c>
      <x:c r="B424" s="12" t="str">
        <x:v>CAP-0020</x:v>
      </x:c>
      <x:c r="C424" s="12" t="str">
        <x:v>Requires / relates to</x:v>
      </x:c>
      <x:c r="D424" s="12" t="str">
        <x:v>Primary</x:v>
      </x:c>
    </x:row>
    <x:row r="425">
      <x:c r="A425" s="12" t="str">
        <x:v>NEED-0152</x:v>
      </x:c>
      <x:c r="B425" s="12" t="str">
        <x:v>CAP-0020</x:v>
      </x:c>
      <x:c r="C425" s="12" t="str">
        <x:v>Requires / relates to</x:v>
      </x:c>
      <x:c r="D425" s="12" t="str">
        <x:v>Primary</x:v>
      </x:c>
    </x:row>
    <x:row r="426">
      <x:c r="A426" s="12" t="str">
        <x:v>NEED-0153</x:v>
      </x:c>
      <x:c r="B426" s="12" t="str">
        <x:v>CAP-0020</x:v>
      </x:c>
      <x:c r="C426" s="12" t="str">
        <x:v>Requires / relates to</x:v>
      </x:c>
      <x:c r="D426" s="12" t="str">
        <x:v>Primary</x:v>
      </x:c>
    </x:row>
    <x:row r="427">
      <x:c r="A427" s="12" t="str">
        <x:v>NEED-0154</x:v>
      </x:c>
      <x:c r="B427" s="12" t="str">
        <x:v>CAP-0011</x:v>
      </x:c>
      <x:c r="C427" s="12" t="str">
        <x:v>Requires / relates to</x:v>
      </x:c>
      <x:c r="D427" s="12" t="str">
        <x:v>Primary</x:v>
      </x:c>
    </x:row>
    <x:row r="428">
      <x:c r="A428" s="12" t="str">
        <x:v>NEED-0154</x:v>
      </x:c>
      <x:c r="B428" s="12" t="str">
        <x:v>CAP-0020</x:v>
      </x:c>
      <x:c r="C428" s="12" t="str">
        <x:v>Requires / relates to</x:v>
      </x:c>
      <x:c r="D428" s="12" t="str">
        <x:v>Secondary</x:v>
      </x:c>
    </x:row>
    <x:row r="429">
      <x:c r="A429" s="12" t="str">
        <x:v>NEED-0155</x:v>
      </x:c>
      <x:c r="B429" s="12" t="str">
        <x:v>CAP-0020</x:v>
      </x:c>
      <x:c r="C429" s="12" t="str">
        <x:v>Requires / relates to</x:v>
      </x:c>
      <x:c r="D429" s="12" t="str">
        <x:v>Primary</x:v>
      </x:c>
    </x:row>
    <x:row r="430">
      <x:c r="A430" s="12" t="str">
        <x:v>NEED-0155</x:v>
      </x:c>
      <x:c r="B430" s="12" t="str">
        <x:v>CAP-0021</x:v>
      </x:c>
      <x:c r="C430" s="12" t="str">
        <x:v>Requires / relates to</x:v>
      </x:c>
      <x:c r="D430" s="12" t="str">
        <x:v>Secondary</x:v>
      </x:c>
    </x:row>
    <x:row r="431">
      <x:c r="A431" s="12" t="str">
        <x:v>NEED-0156</x:v>
      </x:c>
      <x:c r="B431" s="12" t="str">
        <x:v>CAP-0020</x:v>
      </x:c>
      <x:c r="C431" s="12" t="str">
        <x:v>Requires / relates to</x:v>
      </x:c>
      <x:c r="D431" s="12" t="str">
        <x:v>Primary</x:v>
      </x:c>
    </x:row>
    <x:row r="432">
      <x:c r="A432" s="12" t="str">
        <x:v>NEED-0157</x:v>
      </x:c>
      <x:c r="B432" s="12" t="str">
        <x:v>CAP-0020</x:v>
      </x:c>
      <x:c r="C432" s="12" t="str">
        <x:v>Requires / relates to</x:v>
      </x:c>
      <x:c r="D432" s="12" t="str">
        <x:v>Primary</x:v>
      </x:c>
    </x:row>
    <x:row r="433">
      <x:c r="A433" s="12" t="str">
        <x:v>NEED-0157</x:v>
      </x:c>
      <x:c r="B433" s="12" t="str">
        <x:v>CAP-0022</x:v>
      </x:c>
      <x:c r="C433" s="12" t="str">
        <x:v>Requires / relates to</x:v>
      </x:c>
      <x:c r="D433" s="12" t="str">
        <x:v>Secondary</x:v>
      </x:c>
    </x:row>
    <x:row r="434">
      <x:c r="A434" s="12" t="str">
        <x:v>NEED-0158</x:v>
      </x:c>
      <x:c r="B434" s="12" t="str">
        <x:v>CAP-0020</x:v>
      </x:c>
      <x:c r="C434" s="12" t="str">
        <x:v>Requires / relates to</x:v>
      </x:c>
      <x:c r="D434" s="12" t="str">
        <x:v>Primary</x:v>
      </x:c>
    </x:row>
    <x:row r="435">
      <x:c r="A435" s="12" t="str">
        <x:v>NEED-0159</x:v>
      </x:c>
      <x:c r="B435" s="12" t="str">
        <x:v>CAP-0011</x:v>
      </x:c>
      <x:c r="C435" s="12" t="str">
        <x:v>Requires / relates to</x:v>
      </x:c>
      <x:c r="D435" s="12" t="str">
        <x:v>Primary</x:v>
      </x:c>
    </x:row>
    <x:row r="436">
      <x:c r="A436" s="12" t="str">
        <x:v>NEED-0159</x:v>
      </x:c>
      <x:c r="B436" s="12" t="str">
        <x:v>CAP-0012</x:v>
      </x:c>
      <x:c r="C436" s="12" t="str">
        <x:v>Requires / relates to</x:v>
      </x:c>
      <x:c r="D436" s="12" t="str">
        <x:v>Secondary</x:v>
      </x:c>
    </x:row>
    <x:row r="437">
      <x:c r="A437" s="12" t="str">
        <x:v>NEED-0160</x:v>
      </x:c>
      <x:c r="B437" s="12" t="str">
        <x:v>CAP-0012</x:v>
      </x:c>
      <x:c r="C437" s="12" t="str">
        <x:v>Requires / relates to</x:v>
      </x:c>
      <x:c r="D437" s="12" t="str">
        <x:v>Primary</x:v>
      </x:c>
    </x:row>
    <x:row r="438">
      <x:c r="A438" s="12" t="str">
        <x:v>NEED-0160</x:v>
      </x:c>
      <x:c r="B438" s="12" t="str">
        <x:v>CAP-0019</x:v>
      </x:c>
      <x:c r="C438" s="12" t="str">
        <x:v>Requires / relates to</x:v>
      </x:c>
      <x:c r="D438" s="12" t="str">
        <x:v>Secondary</x:v>
      </x:c>
    </x:row>
    <x:row r="439">
      <x:c r="A439" s="12" t="str">
        <x:v>NEED-0161</x:v>
      </x:c>
      <x:c r="B439" s="12" t="str">
        <x:v>CAP-0019</x:v>
      </x:c>
      <x:c r="C439" s="12" t="str">
        <x:v>Requires / relates to</x:v>
      </x:c>
      <x:c r="D439" s="12" t="str">
        <x:v>Primary</x:v>
      </x:c>
    </x:row>
    <x:row r="440">
      <x:c r="A440" s="12" t="str">
        <x:v>NEED-0162</x:v>
      </x:c>
      <x:c r="B440" s="12" t="str">
        <x:v>CAP-0019</x:v>
      </x:c>
      <x:c r="C440" s="12" t="str">
        <x:v>Requires / relates to</x:v>
      </x:c>
      <x:c r="D440" s="12" t="str">
        <x:v>Primary</x:v>
      </x:c>
    </x:row>
    <x:row r="441">
      <x:c r="A441" s="12" t="str">
        <x:v>NEED-0163</x:v>
      </x:c>
      <x:c r="B441" s="12" t="str">
        <x:v>CAP-0019</x:v>
      </x:c>
      <x:c r="C441" s="12" t="str">
        <x:v>Requires / relates to</x:v>
      </x:c>
      <x:c r="D441" s="12" t="str">
        <x:v>Primary</x:v>
      </x:c>
    </x:row>
    <x:row r="442">
      <x:c r="A442" s="12" t="str">
        <x:v>NEED-0164</x:v>
      </x:c>
      <x:c r="B442" s="12" t="str">
        <x:v>CAP-0012</x:v>
      </x:c>
      <x:c r="C442" s="12" t="str">
        <x:v>Requires / relates to</x:v>
      </x:c>
      <x:c r="D442" s="12" t="str">
        <x:v>Primary</x:v>
      </x:c>
    </x:row>
    <x:row r="443">
      <x:c r="A443" s="12" t="str">
        <x:v>NEED-0164</x:v>
      </x:c>
      <x:c r="B443" s="12" t="str">
        <x:v>CAP-0021</x:v>
      </x:c>
      <x:c r="C443" s="12" t="str">
        <x:v>Requires / relates to</x:v>
      </x:c>
      <x:c r="D443" s="12" t="str">
        <x:v>Secondary</x:v>
      </x:c>
    </x:row>
    <x:row r="444">
      <x:c r="A444" s="12" t="str">
        <x:v>NEED-0165</x:v>
      </x:c>
      <x:c r="B444" s="12" t="str">
        <x:v>CAP-0003</x:v>
      </x:c>
      <x:c r="C444" s="12" t="str">
        <x:v>Requires / relates to</x:v>
      </x:c>
      <x:c r="D444" s="12" t="str">
        <x:v>Primary</x:v>
      </x:c>
    </x:row>
    <x:row r="445">
      <x:c r="A445" s="12" t="str">
        <x:v>NEED-0165</x:v>
      </x:c>
      <x:c r="B445" s="12" t="str">
        <x:v>CAP-0014</x:v>
      </x:c>
      <x:c r="C445" s="12" t="str">
        <x:v>Requires / relates to</x:v>
      </x:c>
      <x:c r="D445" s="12" t="str">
        <x:v>Secondary</x:v>
      </x:c>
    </x:row>
    <x:row r="446">
      <x:c r="A446" s="12" t="str">
        <x:v>NEED-0165</x:v>
      </x:c>
      <x:c r="B446" s="12" t="str">
        <x:v>CAP-0021</x:v>
      </x:c>
      <x:c r="C446" s="12" t="str">
        <x:v>Requires / relates to</x:v>
      </x:c>
      <x:c r="D446" s="12" t="str">
        <x:v>Secondary</x:v>
      </x:c>
    </x:row>
    <x:row r="447">
      <x:c r="A447" s="12" t="str">
        <x:v>NEED-0166</x:v>
      </x:c>
      <x:c r="B447" s="12" t="str">
        <x:v>CAP-0003</x:v>
      </x:c>
      <x:c r="C447" s="12" t="str">
        <x:v>Requires / relates to</x:v>
      </x:c>
      <x:c r="D447" s="12" t="str">
        <x:v>Primary</x:v>
      </x:c>
    </x:row>
    <x:row r="448">
      <x:c r="A448" s="12" t="str">
        <x:v>NEED-0167</x:v>
      </x:c>
      <x:c r="B448" s="12" t="str">
        <x:v>CAP-0003</x:v>
      </x:c>
      <x:c r="C448" s="12" t="str">
        <x:v>Requires / relates to</x:v>
      </x:c>
      <x:c r="D448" s="12" t="str">
        <x:v>Primary</x:v>
      </x:c>
    </x:row>
    <x:row r="449">
      <x:c r="A449" s="12" t="str">
        <x:v>NEED-0167</x:v>
      </x:c>
      <x:c r="B449" s="12" t="str">
        <x:v>CAP-0015</x:v>
      </x:c>
      <x:c r="C449" s="12" t="str">
        <x:v>Requires / relates to</x:v>
      </x:c>
      <x:c r="D449" s="12" t="str">
        <x:v>Secondary</x:v>
      </x:c>
    </x:row>
    <x:row r="450">
      <x:c r="A450" s="12" t="str">
        <x:v>NEED-0167</x:v>
      </x:c>
      <x:c r="B450" s="12" t="str">
        <x:v>CAP-0021</x:v>
      </x:c>
      <x:c r="C450" s="12" t="str">
        <x:v>Requires / relates to</x:v>
      </x:c>
      <x:c r="D450" s="12" t="str">
        <x:v>Secondary</x:v>
      </x:c>
    </x:row>
    <x:row r="451">
      <x:c r="A451" s="12" t="str">
        <x:v>NEED-0167</x:v>
      </x:c>
      <x:c r="B451" s="12" t="str">
        <x:v>CAP-0022</x:v>
      </x:c>
      <x:c r="C451" s="12" t="str">
        <x:v>Requires / relates to</x:v>
      </x:c>
      <x:c r="D451" s="12" t="str">
        <x:v>Secondary</x:v>
      </x:c>
    </x:row>
    <x:row r="452">
      <x:c r="A452" s="12" t="str">
        <x:v>NEED-0168</x:v>
      </x:c>
      <x:c r="B452" s="12" t="str">
        <x:v>CAP-0021</x:v>
      </x:c>
      <x:c r="C452" s="12" t="str">
        <x:v>Requires / relates to</x:v>
      </x:c>
      <x:c r="D452" s="12" t="str">
        <x:v>Primary</x:v>
      </x:c>
    </x:row>
    <x:row r="453">
      <x:c r="A453" s="12" t="str">
        <x:v>NEED-0168</x:v>
      </x:c>
      <x:c r="B453" s="12" t="str">
        <x:v>CAP-0022</x:v>
      </x:c>
      <x:c r="C453" s="12" t="str">
        <x:v>Requires / relates to</x:v>
      </x:c>
      <x:c r="D453" s="12" t="str">
        <x:v>Secondary</x:v>
      </x:c>
    </x:row>
    <x:row r="454">
      <x:c r="A454" s="12" t="str">
        <x:v>NEED-0169</x:v>
      </x:c>
      <x:c r="B454" s="12" t="str">
        <x:v>CAP-0003</x:v>
      </x:c>
      <x:c r="C454" s="12" t="str">
        <x:v>Requires / relates to</x:v>
      </x:c>
      <x:c r="D454" s="12" t="str">
        <x:v>Primary</x:v>
      </x:c>
    </x:row>
    <x:row r="455">
      <x:c r="A455" s="12" t="str">
        <x:v>NEED-0169</x:v>
      </x:c>
      <x:c r="B455" s="12" t="str">
        <x:v>CAP-0006</x:v>
      </x:c>
      <x:c r="C455" s="12" t="str">
        <x:v>Requires / relates to</x:v>
      </x:c>
      <x:c r="D455" s="12" t="str">
        <x:v>Secondary</x:v>
      </x:c>
    </x:row>
    <x:row r="456">
      <x:c r="A456" s="12" t="str">
        <x:v>NEED-0170</x:v>
      </x:c>
      <x:c r="B456" s="12" t="str">
        <x:v>CAP-0003</x:v>
      </x:c>
      <x:c r="C456" s="12" t="str">
        <x:v>Requires / relates to</x:v>
      </x:c>
      <x:c r="D456" s="12" t="str">
        <x:v>Primary</x:v>
      </x:c>
    </x:row>
    <x:row r="457">
      <x:c r="A457" s="12" t="str">
        <x:v>NEED-0170</x:v>
      </x:c>
      <x:c r="B457" s="12" t="str">
        <x:v>CAP-0004</x:v>
      </x:c>
      <x:c r="C457" s="12" t="str">
        <x:v>Requires / relates to</x:v>
      </x:c>
      <x:c r="D457" s="12" t="str">
        <x:v>Secondary</x:v>
      </x:c>
    </x:row>
    <x:row r="458">
      <x:c r="A458" s="12" t="str">
        <x:v>NEED-0170</x:v>
      </x:c>
      <x:c r="B458" s="12" t="str">
        <x:v>CAP-0011</x:v>
      </x:c>
      <x:c r="C458" s="12" t="str">
        <x:v>Requires / relates to</x:v>
      </x:c>
      <x:c r="D458" s="12" t="str">
        <x:v>Secondary</x:v>
      </x:c>
    </x:row>
    <x:row r="459">
      <x:c r="A459" s="12" t="str">
        <x:v>NEED-0170</x:v>
      </x:c>
      <x:c r="B459" s="12" t="str">
        <x:v>CAP-0015</x:v>
      </x:c>
      <x:c r="C459" s="12" t="str">
        <x:v>Requires / relates to</x:v>
      </x:c>
      <x:c r="D459" s="12" t="str">
        <x:v>Secondary</x:v>
      </x:c>
    </x:row>
    <x:row r="460">
      <x:c r="A460" s="12" t="str">
        <x:v>NEED-0170</x:v>
      </x:c>
      <x:c r="B460" s="12" t="str">
        <x:v>CAP-0021</x:v>
      </x:c>
      <x:c r="C460" s="12" t="str">
        <x:v>Requires / relates to</x:v>
      </x:c>
      <x:c r="D460" s="12" t="str">
        <x:v>Secondary</x:v>
      </x:c>
    </x:row>
    <x:row r="461">
      <x:c r="A461" s="12" t="str">
        <x:v>NEED-0171</x:v>
      </x:c>
      <x:c r="B461" s="12" t="str">
        <x:v>CAP-0011</x:v>
      </x:c>
      <x:c r="C461" s="12" t="str">
        <x:v>Requires / relates to</x:v>
      </x:c>
      <x:c r="D461" s="12" t="str">
        <x:v>Primary</x:v>
      </x:c>
    </x:row>
    <x:row r="462">
      <x:c r="A462" s="12" t="str">
        <x:v>NEED-0171</x:v>
      </x:c>
      <x:c r="B462" s="12" t="str">
        <x:v>CAP-0014</x:v>
      </x:c>
      <x:c r="C462" s="12" t="str">
        <x:v>Requires / relates to</x:v>
      </x:c>
      <x:c r="D462" s="12" t="str">
        <x:v>Secondary</x:v>
      </x:c>
    </x:row>
    <x:row r="463">
      <x:c r="A463" s="12" t="str">
        <x:v>NEED-0171</x:v>
      </x:c>
      <x:c r="B463" s="12" t="str">
        <x:v>CAP-0022</x:v>
      </x:c>
      <x:c r="C463" s="12" t="str">
        <x:v>Requires / relates to</x:v>
      </x:c>
      <x:c r="D463" s="12" t="str">
        <x:v>Secondary</x:v>
      </x:c>
    </x:row>
    <x:row r="464">
      <x:c r="A464" s="12" t="str">
        <x:v>NEED-0172</x:v>
      </x:c>
      <x:c r="B464" s="12" t="str">
        <x:v>CAP-0021</x:v>
      </x:c>
      <x:c r="C464" s="12" t="str">
        <x:v>Requires / relates to</x:v>
      </x:c>
      <x:c r="D464" s="12" t="str">
        <x:v>Primary</x:v>
      </x:c>
    </x:row>
    <x:row r="465">
      <x:c r="A465" s="12" t="str">
        <x:v>NEED-0173</x:v>
      </x:c>
      <x:c r="B465" s="12" t="str">
        <x:v>CAP-0003</x:v>
      </x:c>
      <x:c r="C465" s="12" t="str">
        <x:v>Requires / relates to</x:v>
      </x:c>
      <x:c r="D465" s="12" t="str">
        <x:v>Primary</x:v>
      </x:c>
    </x:row>
    <x:row r="466">
      <x:c r="A466" s="12" t="str">
        <x:v>NEED-0173</x:v>
      </x:c>
      <x:c r="B466" s="12" t="str">
        <x:v>CAP-0011</x:v>
      </x:c>
      <x:c r="C466" s="12" t="str">
        <x:v>Requires / relates to</x:v>
      </x:c>
      <x:c r="D466" s="12" t="str">
        <x:v>Secondary</x:v>
      </x:c>
    </x:row>
    <x:row r="467">
      <x:c r="A467" s="12" t="str">
        <x:v>NEED-0173</x:v>
      </x:c>
      <x:c r="B467" s="12" t="str">
        <x:v>CAP-0014</x:v>
      </x:c>
      <x:c r="C467" s="12" t="str">
        <x:v>Requires / relates to</x:v>
      </x:c>
      <x:c r="D467" s="12" t="str">
        <x:v>Secondary</x:v>
      </x:c>
    </x:row>
    <x:row r="468">
      <x:c r="A468" s="12" t="str">
        <x:v>NEED-0173</x:v>
      </x:c>
      <x:c r="B468" s="12" t="str">
        <x:v>CAP-0020</x:v>
      </x:c>
      <x:c r="C468" s="12" t="str">
        <x:v>Requires / relates to</x:v>
      </x:c>
      <x:c r="D468" s="12" t="str">
        <x:v>Secondary</x:v>
      </x:c>
    </x:row>
    <x:row r="469">
      <x:c r="A469" s="12" t="str">
        <x:v>NEED-0173</x:v>
      </x:c>
      <x:c r="B469" s="12" t="str">
        <x:v>CAP-0021</x:v>
      </x:c>
      <x:c r="C469" s="12" t="str">
        <x:v>Requires / relates to</x:v>
      </x:c>
      <x:c r="D469" s="12" t="str">
        <x:v>Secondary</x:v>
      </x:c>
    </x:row>
    <x:row r="470">
      <x:c r="A470" s="12" t="str">
        <x:v>NEED-0174</x:v>
      </x:c>
      <x:c r="B470" s="12" t="str">
        <x:v>CAP-0003</x:v>
      </x:c>
      <x:c r="C470" s="12" t="str">
        <x:v>Requires / relates to</x:v>
      </x:c>
      <x:c r="D470" s="12" t="str">
        <x:v>Primary</x:v>
      </x:c>
    </x:row>
    <x:row r="471">
      <x:c r="A471" s="12" t="str">
        <x:v>NEED-0174</x:v>
      </x:c>
      <x:c r="B471" s="12" t="str">
        <x:v>CAP-0020</x:v>
      </x:c>
      <x:c r="C471" s="12" t="str">
        <x:v>Requires / relates to</x:v>
      </x:c>
      <x:c r="D471" s="12" t="str">
        <x:v>Secondary</x:v>
      </x:c>
    </x:row>
    <x:row r="472">
      <x:c r="A472" s="12" t="str">
        <x:v>NEED-0175</x:v>
      </x:c>
      <x:c r="B472" s="12" t="str">
        <x:v>CAP-0014</x:v>
      </x:c>
      <x:c r="C472" s="12" t="str">
        <x:v>Requires / relates to</x:v>
      </x:c>
      <x:c r="D472" s="12" t="str">
        <x:v>Primary</x:v>
      </x:c>
    </x:row>
    <x:row r="473">
      <x:c r="A473" s="12" t="str">
        <x:v>NEED-0175</x:v>
      </x:c>
      <x:c r="B473" s="12" t="str">
        <x:v>CAP-0015</x:v>
      </x:c>
      <x:c r="C473" s="12" t="str">
        <x:v>Requires / relates to</x:v>
      </x:c>
      <x:c r="D473" s="12" t="str">
        <x:v>Secondary</x:v>
      </x:c>
    </x:row>
    <x:row r="474">
      <x:c r="A474" s="12" t="str">
        <x:v>NEED-0175</x:v>
      </x:c>
      <x:c r="B474" s="12" t="str">
        <x:v>CAP-0020</x:v>
      </x:c>
      <x:c r="C474" s="12" t="str">
        <x:v>Requires / relates to</x:v>
      </x:c>
      <x:c r="D474" s="12" t="str">
        <x:v>Secondary</x:v>
      </x:c>
    </x:row>
    <x:row r="475">
      <x:c r="A475" s="12" t="str">
        <x:v>NEED-0176</x:v>
      </x:c>
      <x:c r="B475" s="12" t="str">
        <x:v>CAP-0011</x:v>
      </x:c>
      <x:c r="C475" s="12" t="str">
        <x:v>Requires / relates to</x:v>
      </x:c>
      <x:c r="D475" s="12" t="str">
        <x:v>Primary</x:v>
      </x:c>
    </x:row>
    <x:row r="476">
      <x:c r="A476" s="12" t="str">
        <x:v>NEED-0176</x:v>
      </x:c>
      <x:c r="B476" s="12" t="str">
        <x:v>CAP-0014</x:v>
      </x:c>
      <x:c r="C476" s="12" t="str">
        <x:v>Requires / relates to</x:v>
      </x:c>
      <x:c r="D476" s="12" t="str">
        <x:v>Secondary</x:v>
      </x:c>
    </x:row>
    <x:row r="477">
      <x:c r="A477" s="12" t="str">
        <x:v>NEED-0176</x:v>
      </x:c>
      <x:c r="B477" s="12" t="str">
        <x:v>CAP-0018</x:v>
      </x:c>
      <x:c r="C477" s="12" t="str">
        <x:v>Requires / relates to</x:v>
      </x:c>
      <x:c r="D477" s="12" t="str">
        <x:v>Secondary</x:v>
      </x:c>
    </x:row>
    <x:row r="478">
      <x:c r="A478" s="12" t="str">
        <x:v>NEED-0176</x:v>
      </x:c>
      <x:c r="B478" s="12" t="str">
        <x:v>CAP-0020</x:v>
      </x:c>
      <x:c r="C478" s="12" t="str">
        <x:v>Requires / relates to</x:v>
      </x:c>
      <x:c r="D478" s="12" t="str">
        <x:v>Secondary</x:v>
      </x:c>
    </x:row>
    <x:row r="479">
      <x:c r="A479" s="12" t="str">
        <x:v>NEED-0176</x:v>
      </x:c>
      <x:c r="B479" s="12" t="str">
        <x:v>CAP-0022</x:v>
      </x:c>
      <x:c r="C479" s="12" t="str">
        <x:v>Requires / relates to</x:v>
      </x:c>
      <x:c r="D479" s="12" t="str">
        <x:v>Secondary</x:v>
      </x:c>
    </x:row>
    <x:row r="480">
      <x:c r="A480" s="12" t="str">
        <x:v>NEED-0177</x:v>
      </x:c>
      <x:c r="B480" s="12" t="str">
        <x:v>CAP-0011</x:v>
      </x:c>
      <x:c r="C480" s="12" t="str">
        <x:v>Requires / relates to</x:v>
      </x:c>
      <x:c r="D480" s="12" t="str">
        <x:v>Primary</x:v>
      </x:c>
    </x:row>
    <x:row r="481">
      <x:c r="A481" s="12" t="str">
        <x:v>NEED-0177</x:v>
      </x:c>
      <x:c r="B481" s="12" t="str">
        <x:v>CAP-0012</x:v>
      </x:c>
      <x:c r="C481" s="12" t="str">
        <x:v>Requires / relates to</x:v>
      </x:c>
      <x:c r="D481" s="12" t="str">
        <x:v>Secondary</x:v>
      </x:c>
    </x:row>
    <x:row r="482">
      <x:c r="A482" s="12" t="str">
        <x:v>NEED-0177</x:v>
      </x:c>
      <x:c r="B482" s="12" t="str">
        <x:v>CAP-0013</x:v>
      </x:c>
      <x:c r="C482" s="12" t="str">
        <x:v>Requires / relates to</x:v>
      </x:c>
      <x:c r="D482" s="12" t="str">
        <x:v>Secondary</x:v>
      </x:c>
    </x:row>
    <x:row r="483">
      <x:c r="A483" s="12" t="str">
        <x:v>NEED-0177</x:v>
      </x:c>
      <x:c r="B483" s="12" t="str">
        <x:v>CAP-0021</x:v>
      </x:c>
      <x:c r="C483" s="12" t="str">
        <x:v>Requires / relates to</x:v>
      </x:c>
      <x:c r="D483" s="12" t="str">
        <x:v>Secondary</x:v>
      </x:c>
    </x:row>
    <x:row r="484">
      <x:c r="A484" s="12" t="str">
        <x:v>NEED-0178</x:v>
      </x:c>
      <x:c r="B484" s="12" t="str">
        <x:v>CAP-0003</x:v>
      </x:c>
      <x:c r="C484" s="12" t="str">
        <x:v>Requires / relates to</x:v>
      </x:c>
      <x:c r="D484" s="12" t="str">
        <x:v>Primary</x:v>
      </x:c>
    </x:row>
    <x:row r="485">
      <x:c r="A485" s="12" t="str">
        <x:v>NEED-0178</x:v>
      </x:c>
      <x:c r="B485" s="12" t="str">
        <x:v>CAP-0014</x:v>
      </x:c>
      <x:c r="C485" s="12" t="str">
        <x:v>Requires / relates to</x:v>
      </x:c>
      <x:c r="D485" s="12" t="str">
        <x:v>Secondary</x:v>
      </x:c>
    </x:row>
    <x:row r="486">
      <x:c r="A486" s="12" t="str">
        <x:v>NEED-0178</x:v>
      </x:c>
      <x:c r="B486" s="12" t="str">
        <x:v>CAP-0018</x:v>
      </x:c>
      <x:c r="C486" s="12" t="str">
        <x:v>Requires / relates to</x:v>
      </x:c>
      <x:c r="D486" s="12" t="str">
        <x:v>Secondary</x:v>
      </x:c>
    </x:row>
    <x:row r="487">
      <x:c r="A487" s="12" t="str">
        <x:v>NEED-0179</x:v>
      </x:c>
      <x:c r="B487" s="12" t="str">
        <x:v>CAP-0014</x:v>
      </x:c>
      <x:c r="C487" s="12" t="str">
        <x:v>Requires / relates to</x:v>
      </x:c>
      <x:c r="D487" s="12" t="str">
        <x:v>Primary</x:v>
      </x:c>
    </x:row>
    <x:row r="488">
      <x:c r="A488" s="12" t="str">
        <x:v>NEED-0179</x:v>
      </x:c>
      <x:c r="B488" s="12" t="str">
        <x:v>CAP-0021</x:v>
      </x:c>
      <x:c r="C488" s="12" t="str">
        <x:v>Requires / relates to</x:v>
      </x:c>
      <x:c r="D488" s="12" t="str">
        <x:v>Secondary</x:v>
      </x:c>
    </x:row>
    <x:row r="489">
      <x:c r="A489" s="12" t="str">
        <x:v>NEED-0180</x:v>
      </x:c>
      <x:c r="B489" s="12" t="str">
        <x:v>CAP-0003</x:v>
      </x:c>
      <x:c r="C489" s="12" t="str">
        <x:v>Requires / relates to</x:v>
      </x:c>
      <x:c r="D489" s="12" t="str">
        <x:v>Primary</x:v>
      </x:c>
    </x:row>
    <x:row r="490">
      <x:c r="A490" s="12" t="str">
        <x:v>NEED-0180</x:v>
      </x:c>
      <x:c r="B490" s="12" t="str">
        <x:v>CAP-0006</x:v>
      </x:c>
      <x:c r="C490" s="12" t="str">
        <x:v>Requires / relates to</x:v>
      </x:c>
      <x:c r="D490" s="12" t="str">
        <x:v>Secondary</x:v>
      </x:c>
    </x:row>
    <x:row r="491">
      <x:c r="A491" s="12" t="str">
        <x:v>NEED-0181</x:v>
      </x:c>
      <x:c r="B491" s="12" t="str">
        <x:v>CAP-0003</x:v>
      </x:c>
      <x:c r="C491" s="12" t="str">
        <x:v>Requires / relates to</x:v>
      </x:c>
      <x:c r="D491" s="12" t="str">
        <x:v>Primary</x:v>
      </x:c>
    </x:row>
    <x:row r="492">
      <x:c r="A492" s="12" t="str">
        <x:v>NEED-0181</x:v>
      </x:c>
      <x:c r="B492" s="12" t="str">
        <x:v>CAP-0022</x:v>
      </x:c>
      <x:c r="C492" s="12" t="str">
        <x:v>Requires / relates to</x:v>
      </x:c>
      <x:c r="D492" s="12" t="str">
        <x:v>Secondary</x:v>
      </x:c>
    </x:row>
    <x:row r="493">
      <x:c r="A493" s="12" t="str">
        <x:v>NEED-0182</x:v>
      </x:c>
      <x:c r="B493" s="12" t="str">
        <x:v>CAP-0018</x:v>
      </x:c>
      <x:c r="C493" s="12" t="str">
        <x:v>Requires / relates to</x:v>
      </x:c>
      <x:c r="D493" s="12" t="str">
        <x:v>Primary</x:v>
      </x:c>
    </x:row>
    <x:row r="494">
      <x:c r="A494" s="12" t="str">
        <x:v>NEED-0182</x:v>
      </x:c>
      <x:c r="B494" s="12" t="str">
        <x:v>CAP-0022</x:v>
      </x:c>
      <x:c r="C494" s="12" t="str">
        <x:v>Requires / relates to</x:v>
      </x:c>
      <x:c r="D494" s="12" t="str">
        <x:v>Secondary</x:v>
      </x:c>
    </x:row>
    <x:row r="495">
      <x:c r="A495" s="12" t="str">
        <x:v>NEED-0183</x:v>
      </x:c>
      <x:c r="B495" s="12" t="str">
        <x:v>CAP-0003</x:v>
      </x:c>
      <x:c r="C495" s="12" t="str">
        <x:v>Requires / relates to</x:v>
      </x:c>
      <x:c r="D495" s="12" t="str">
        <x:v>Primary</x:v>
      </x:c>
    </x:row>
    <x:row r="496">
      <x:c r="A496" s="12" t="str">
        <x:v>NEED-0184</x:v>
      </x:c>
      <x:c r="B496" s="12" t="str">
        <x:v>CAP-0020</x:v>
      </x:c>
      <x:c r="C496" s="12" t="str">
        <x:v>Requires / relates to</x:v>
      </x:c>
      <x:c r="D496" s="12" t="str">
        <x:v>Primary</x:v>
      </x:c>
    </x:row>
    <x:row r="497">
      <x:c r="A497" s="12" t="str">
        <x:v>NEED-0185</x:v>
      </x:c>
      <x:c r="B497" s="12" t="str">
        <x:v>CAP-0015</x:v>
      </x:c>
      <x:c r="C497" s="12" t="str">
        <x:v>Requires / relates to</x:v>
      </x:c>
      <x:c r="D497" s="12" t="str">
        <x:v>Primary</x:v>
      </x:c>
    </x:row>
    <x:row r="498">
      <x:c r="A498" s="12" t="str">
        <x:v>NEED-0186</x:v>
      </x:c>
      <x:c r="B498" s="12" t="str">
        <x:v>CAP-0020</x:v>
      </x:c>
      <x:c r="C498" s="12" t="str">
        <x:v>Requires / relates to</x:v>
      </x:c>
      <x:c r="D498" s="12" t="str">
        <x:v>Primary</x:v>
      </x:c>
    </x:row>
    <x:row r="499">
      <x:c r="A499" s="12" t="str">
        <x:v>NEED-0186</x:v>
      </x:c>
      <x:c r="B499" s="12" t="str">
        <x:v>CAP-0022</x:v>
      </x:c>
      <x:c r="C499" s="12" t="str">
        <x:v>Requires / relates to</x:v>
      </x:c>
      <x:c r="D499" s="12" t="str">
        <x:v>Secondary</x:v>
      </x:c>
    </x:row>
    <x:row r="500">
      <x:c r="A500" s="12" t="str">
        <x:v>NEED-0187</x:v>
      </x:c>
      <x:c r="B500" s="12" t="str">
        <x:v>CAP-0003</x:v>
      </x:c>
      <x:c r="C500" s="12" t="str">
        <x:v>Requires / relates to</x:v>
      </x:c>
      <x:c r="D500" s="12" t="str">
        <x:v>Primary</x:v>
      </x:c>
    </x:row>
    <x:row r="501">
      <x:c r="A501" s="12" t="str">
        <x:v>NEED-0188</x:v>
      </x:c>
      <x:c r="B501" s="12" t="str">
        <x:v>CAP-0011</x:v>
      </x:c>
      <x:c r="C501" s="12" t="str">
        <x:v>Requires / relates to</x:v>
      </x:c>
      <x:c r="D501" s="12" t="str">
        <x:v>Primary</x:v>
      </x:c>
    </x:row>
    <x:row r="502">
      <x:c r="A502" s="12" t="str">
        <x:v>NEED-0188</x:v>
      </x:c>
      <x:c r="B502" s="12" t="str">
        <x:v>CAP-0013</x:v>
      </x:c>
      <x:c r="C502" s="12" t="str">
        <x:v>Requires / relates to</x:v>
      </x:c>
      <x:c r="D502" s="12" t="str">
        <x:v>Secondary</x:v>
      </x:c>
    </x:row>
    <x:row r="503">
      <x:c r="A503" s="12" t="str">
        <x:v>NEED-0189</x:v>
      </x:c>
      <x:c r="B503" s="12" t="str">
        <x:v>CAP-0003</x:v>
      </x:c>
      <x:c r="C503" s="12" t="str">
        <x:v>Requires / relates to</x:v>
      </x:c>
      <x:c r="D503" s="12" t="str">
        <x:v>Primary</x:v>
      </x:c>
    </x:row>
    <x:row r="504">
      <x:c r="A504" s="12" t="str">
        <x:v>NEED-0189</x:v>
      </x:c>
      <x:c r="B504" s="12" t="str">
        <x:v>CAP-0021</x:v>
      </x:c>
      <x:c r="C504" s="12" t="str">
        <x:v>Requires / relates to</x:v>
      </x:c>
      <x:c r="D504" s="12" t="str">
        <x:v>Secondary</x:v>
      </x:c>
    </x:row>
    <x:row r="505">
      <x:c r="A505" s="12" t="str">
        <x:v>NEED-0190</x:v>
      </x:c>
      <x:c r="B505" s="12" t="str">
        <x:v>CAP-0003</x:v>
      </x:c>
      <x:c r="C505" s="12" t="str">
        <x:v>Requires / relates to</x:v>
      </x:c>
      <x:c r="D505" s="12" t="str">
        <x:v>Primary</x:v>
      </x:c>
    </x:row>
    <x:row r="506">
      <x:c r="A506" s="12" t="str">
        <x:v>NEED-0190</x:v>
      </x:c>
      <x:c r="B506" s="12" t="str">
        <x:v>CAP-0019</x:v>
      </x:c>
      <x:c r="C506" s="12" t="str">
        <x:v>Requires / relates to</x:v>
      </x:c>
      <x:c r="D506" s="12" t="str">
        <x:v>Secondary</x:v>
      </x:c>
    </x:row>
    <x:row r="507">
      <x:c r="A507" s="12" t="str">
        <x:v>NEED-0190</x:v>
      </x:c>
      <x:c r="B507" s="12" t="str">
        <x:v>CAP-0021</x:v>
      </x:c>
      <x:c r="C507" s="12" t="str">
        <x:v>Requires / relates to</x:v>
      </x:c>
      <x:c r="D507" s="12" t="str">
        <x:v>Secondary</x:v>
      </x:c>
    </x:row>
    <x:row r="508">
      <x:c r="A508" s="12" t="str">
        <x:v>NEED-0190</x:v>
      </x:c>
      <x:c r="B508" s="12" t="str">
        <x:v>CAP-0022</x:v>
      </x:c>
      <x:c r="C508" s="12" t="str">
        <x:v>Requires / relates to</x:v>
      </x:c>
      <x:c r="D508" s="12" t="str">
        <x:v>Secondary</x:v>
      </x:c>
    </x:row>
    <x:row r="509">
      <x:c r="A509" s="12" t="str">
        <x:v>NEED-0191</x:v>
      </x:c>
      <x:c r="B509" s="12" t="str">
        <x:v>CAP-0003</x:v>
      </x:c>
      <x:c r="C509" s="12" t="str">
        <x:v>Requires / relates to</x:v>
      </x:c>
      <x:c r="D509" s="12" t="str">
        <x:v>Primary</x:v>
      </x:c>
    </x:row>
    <x:row r="510">
      <x:c r="A510" s="12" t="str">
        <x:v>NEED-0192</x:v>
      </x:c>
      <x:c r="B510" s="12" t="str">
        <x:v>CAP-0014</x:v>
      </x:c>
      <x:c r="C510" s="12" t="str">
        <x:v>Requires / relates to</x:v>
      </x:c>
      <x:c r="D510" s="12" t="str">
        <x:v>Primary</x:v>
      </x:c>
    </x:row>
    <x:row r="511">
      <x:c r="A511" s="12" t="str">
        <x:v>NEED-0192</x:v>
      </x:c>
      <x:c r="B511" s="12" t="str">
        <x:v>CAP-0015</x:v>
      </x:c>
      <x:c r="C511" s="12" t="str">
        <x:v>Requires / relates to</x:v>
      </x:c>
      <x:c r="D511" s="12" t="str">
        <x:v>Secondary</x:v>
      </x:c>
    </x:row>
    <x:row r="512">
      <x:c r="A512" s="12" t="str">
        <x:v>NEED-0192</x:v>
      </x:c>
      <x:c r="B512" s="12" t="str">
        <x:v>CAP-0020</x:v>
      </x:c>
      <x:c r="C512" s="12" t="str">
        <x:v>Requires / relates to</x:v>
      </x:c>
      <x:c r="D512" s="12" t="str">
        <x:v>Secondary</x:v>
      </x:c>
    </x:row>
    <x:row r="513">
      <x:c r="A513" s="12" t="str">
        <x:v>NEED-0193</x:v>
      </x:c>
      <x:c r="B513" s="12" t="str">
        <x:v>CAP-0001</x:v>
      </x:c>
      <x:c r="C513" s="12" t="str">
        <x:v>Requires / relates to</x:v>
      </x:c>
      <x:c r="D513" s="12" t="str">
        <x:v>Primary</x:v>
      </x:c>
    </x:row>
    <x:row r="514">
      <x:c r="A514" s="12" t="str">
        <x:v>NEED-0193</x:v>
      </x:c>
      <x:c r="B514" s="12" t="str">
        <x:v>CAP-0014</x:v>
      </x:c>
      <x:c r="C514" s="12" t="str">
        <x:v>Requires / relates to</x:v>
      </x:c>
      <x:c r="D514" s="12" t="str">
        <x:v>Secondary</x:v>
      </x:c>
    </x:row>
    <x:row r="515">
      <x:c r="A515" s="12" t="str">
        <x:v>NEED-0193</x:v>
      </x:c>
      <x:c r="B515" s="12" t="str">
        <x:v>CAP-0020</x:v>
      </x:c>
      <x:c r="C515" s="12" t="str">
        <x:v>Requires / relates to</x:v>
      </x:c>
      <x:c r="D515" s="12" t="str">
        <x:v>Secondary</x:v>
      </x:c>
    </x:row>
    <x:row r="516">
      <x:c r="A516" s="12" t="str">
        <x:v>NEED-0193</x:v>
      </x:c>
      <x:c r="B516" s="12" t="str">
        <x:v>CAP-0021</x:v>
      </x:c>
      <x:c r="C516" s="12" t="str">
        <x:v>Requires / relates to</x:v>
      </x:c>
      <x:c r="D516" s="12" t="str">
        <x:v>Secondary</x:v>
      </x:c>
    </x:row>
    <x:row r="517">
      <x:c r="A517" s="12" t="str">
        <x:v>NEED-0194</x:v>
      </x:c>
      <x:c r="B517" s="12" t="str">
        <x:v>CAP-0015</x:v>
      </x:c>
      <x:c r="C517" s="12" t="str">
        <x:v>Requires / relates to</x:v>
      </x:c>
      <x:c r="D517" s="12" t="str">
        <x:v>Primary</x:v>
      </x:c>
    </x:row>
    <x:row r="518">
      <x:c r="A518" s="12" t="str">
        <x:v>NEED-0194</x:v>
      </x:c>
      <x:c r="B518" s="12" t="str">
        <x:v>CAP-0020</x:v>
      </x:c>
      <x:c r="C518" s="12" t="str">
        <x:v>Requires / relates to</x:v>
      </x:c>
      <x:c r="D518" s="12" t="str">
        <x:v>Secondary</x:v>
      </x:c>
    </x:row>
    <x:row r="519">
      <x:c r="A519" s="12" t="str">
        <x:v>NEED-0195</x:v>
      </x:c>
      <x:c r="B519" s="12" t="str">
        <x:v>CAP-0014</x:v>
      </x:c>
      <x:c r="C519" s="12" t="str">
        <x:v>Requires / relates to</x:v>
      </x:c>
      <x:c r="D519" s="12" t="str">
        <x:v>Primary</x:v>
      </x:c>
    </x:row>
    <x:row r="520">
      <x:c r="A520" s="12" t="str">
        <x:v>NEED-0195</x:v>
      </x:c>
      <x:c r="B520" s="12" t="str">
        <x:v>CAP-0020</x:v>
      </x:c>
      <x:c r="C520" s="12" t="str">
        <x:v>Requires / relates to</x:v>
      </x:c>
      <x:c r="D520" s="12" t="str">
        <x:v>Secondary</x:v>
      </x:c>
    </x:row>
    <x:row r="521">
      <x:c r="A521" s="12" t="str">
        <x:v>NEED-0195</x:v>
      </x:c>
      <x:c r="B521" s="12" t="str">
        <x:v>CAP-0021</x:v>
      </x:c>
      <x:c r="C521" s="12" t="str">
        <x:v>Requires / relates to</x:v>
      </x:c>
      <x:c r="D521" s="12" t="str">
        <x:v>Secondary</x:v>
      </x:c>
    </x:row>
    <x:row r="522">
      <x:c r="A522" s="12" t="str">
        <x:v>NEED-0196</x:v>
      </x:c>
      <x:c r="B522" s="12" t="str">
        <x:v>CAP-0009</x:v>
      </x:c>
      <x:c r="C522" s="12" t="str">
        <x:v>Requires / relates to</x:v>
      </x:c>
      <x:c r="D522" s="12" t="str">
        <x:v>Primary</x:v>
      </x:c>
    </x:row>
    <x:row r="523">
      <x:c r="A523" s="12" t="str">
        <x:v>NEED-0196</x:v>
      </x:c>
      <x:c r="B523" s="12" t="str">
        <x:v>CAP-0014</x:v>
      </x:c>
      <x:c r="C523" s="12" t="str">
        <x:v>Requires / relates to</x:v>
      </x:c>
      <x:c r="D523" s="12" t="str">
        <x:v>Secondary</x:v>
      </x:c>
    </x:row>
    <x:row r="524">
      <x:c r="A524" s="12" t="str">
        <x:v>NEED-0196</x:v>
      </x:c>
      <x:c r="B524" s="12" t="str">
        <x:v>CAP-0018</x:v>
      </x:c>
      <x:c r="C524" s="12" t="str">
        <x:v>Requires / relates to</x:v>
      </x:c>
      <x:c r="D524" s="12" t="str">
        <x:v>Secondary</x:v>
      </x:c>
    </x:row>
    <x:row r="525">
      <x:c r="A525" s="12" t="str">
        <x:v>NEED-0196</x:v>
      </x:c>
      <x:c r="B525" s="12" t="str">
        <x:v>CAP-0021</x:v>
      </x:c>
      <x:c r="C525" s="12" t="str">
        <x:v>Requires / relates to</x:v>
      </x:c>
      <x:c r="D525" s="12" t="str">
        <x:v>Secondary</x:v>
      </x:c>
    </x:row>
    <x:row r="526">
      <x:c r="A526" s="12" t="str">
        <x:v>NEED-0196</x:v>
      </x:c>
      <x:c r="B526" s="12" t="str">
        <x:v>CAP-0022</x:v>
      </x:c>
      <x:c r="C526" s="12" t="str">
        <x:v>Requires / relates to</x:v>
      </x:c>
      <x:c r="D526" s="12" t="str">
        <x:v>Secondary</x:v>
      </x:c>
    </x:row>
    <x:row r="527">
      <x:c r="A527" s="12" t="str">
        <x:v>NEED-0197</x:v>
      </x:c>
      <x:c r="B527" s="12" t="str">
        <x:v>CAP-0006</x:v>
      </x:c>
      <x:c r="C527" s="12" t="str">
        <x:v>Requires / relates to</x:v>
      </x:c>
      <x:c r="D527" s="12" t="str">
        <x:v>Primary</x:v>
      </x:c>
    </x:row>
    <x:row r="528">
      <x:c r="A528" s="12" t="str">
        <x:v>NEED-0197</x:v>
      </x:c>
      <x:c r="B528" s="12" t="str">
        <x:v>CAP-0020</x:v>
      </x:c>
      <x:c r="C528" s="12" t="str">
        <x:v>Requires / relates to</x:v>
      </x:c>
      <x:c r="D528" s="12" t="str">
        <x:v>Secondary</x:v>
      </x:c>
    </x:row>
    <x:row r="529">
      <x:c r="A529" s="12" t="str">
        <x:v>NEED-0198</x:v>
      </x:c>
      <x:c r="B529" s="12" t="str">
        <x:v>CAP-0011</x:v>
      </x:c>
      <x:c r="C529" s="12" t="str">
        <x:v>Requires / relates to</x:v>
      </x:c>
      <x:c r="D529" s="12" t="str">
        <x:v>Primary</x:v>
      </x:c>
    </x:row>
    <x:row r="530">
      <x:c r="A530" s="12" t="str">
        <x:v>NEED-0198</x:v>
      </x:c>
      <x:c r="B530" s="12" t="str">
        <x:v>CAP-0020</x:v>
      </x:c>
      <x:c r="C530" s="12" t="str">
        <x:v>Requires / relates to</x:v>
      </x:c>
      <x:c r="D530" s="12" t="str">
        <x:v>Secondary</x:v>
      </x:c>
    </x:row>
    <x:row r="531">
      <x:c r="A531" s="12" t="str">
        <x:v>NEED-0199</x:v>
      </x:c>
      <x:c r="B531" s="12" t="str">
        <x:v>CAP-0020</x:v>
      </x:c>
      <x:c r="C531" s="12" t="str">
        <x:v>Requires / relates to</x:v>
      </x:c>
      <x:c r="D531" s="12" t="str">
        <x:v>Primary</x:v>
      </x:c>
    </x:row>
    <x:row r="532">
      <x:c r="A532" s="12" t="str">
        <x:v>NEED-0200</x:v>
      </x:c>
      <x:c r="B532" s="12" t="str">
        <x:v>CAP-0014</x:v>
      </x:c>
      <x:c r="C532" s="12" t="str">
        <x:v>Requires / relates to</x:v>
      </x:c>
      <x:c r="D532" s="12" t="str">
        <x:v>Primary</x:v>
      </x:c>
    </x:row>
    <x:row r="533">
      <x:c r="A533" s="12" t="str">
        <x:v>NEED-0200</x:v>
      </x:c>
      <x:c r="B533" s="12" t="str">
        <x:v>CAP-0018</x:v>
      </x:c>
      <x:c r="C533" s="12" t="str">
        <x:v>Requires / relates to</x:v>
      </x:c>
      <x:c r="D533" s="12" t="str">
        <x:v>Secondary</x:v>
      </x:c>
    </x:row>
    <x:row r="534">
      <x:c r="A534" s="12" t="str">
        <x:v>NEED-0200</x:v>
      </x:c>
      <x:c r="B534" s="12" t="str">
        <x:v>CAP-0021</x:v>
      </x:c>
      <x:c r="C534" s="12" t="str">
        <x:v>Requires / relates to</x:v>
      </x:c>
      <x:c r="D534" s="12" t="str">
        <x:v>Secondary</x:v>
      </x:c>
    </x:row>
    <x:row r="535">
      <x:c r="A535" s="12" t="str">
        <x:v>NEED-0201</x:v>
      </x:c>
      <x:c r="B535" s="12" t="str">
        <x:v>CAP-0020</x:v>
      </x:c>
      <x:c r="C535" s="12" t="str">
        <x:v>Requires / relates to</x:v>
      </x:c>
      <x:c r="D535" s="12" t="str">
        <x:v>Primary</x:v>
      </x:c>
    </x:row>
    <x:row r="536">
      <x:c r="A536" s="12" t="str">
        <x:v>NEED-0201</x:v>
      </x:c>
      <x:c r="B536" s="12" t="str">
        <x:v>CAP-0021</x:v>
      </x:c>
      <x:c r="C536" s="12" t="str">
        <x:v>Requires / relates to</x:v>
      </x:c>
      <x:c r="D536" s="12" t="str">
        <x:v>Secondary</x:v>
      </x:c>
    </x:row>
    <x:row r="537">
      <x:c r="A537" s="12" t="str">
        <x:v>NEED-0202</x:v>
      </x:c>
      <x:c r="B537" s="12" t="str">
        <x:v>CAP-0014</x:v>
      </x:c>
      <x:c r="C537" s="12" t="str">
        <x:v>Requires / relates to</x:v>
      </x:c>
      <x:c r="D537" s="12" t="str">
        <x:v>Primary</x:v>
      </x:c>
    </x:row>
    <x:row r="538">
      <x:c r="A538" s="12" t="str">
        <x:v>NEED-0203</x:v>
      </x:c>
      <x:c r="B538" s="12" t="str">
        <x:v>CAP-0014</x:v>
      </x:c>
      <x:c r="C538" s="12" t="str">
        <x:v>Requires / relates to</x:v>
      </x:c>
      <x:c r="D538" s="12" t="str">
        <x:v>Primary</x:v>
      </x:c>
    </x:row>
    <x:row r="539">
      <x:c r="A539" s="12" t="str">
        <x:v>NEED-0204</x:v>
      </x:c>
      <x:c r="B539" s="12" t="str">
        <x:v>CAP-0014</x:v>
      </x:c>
      <x:c r="C539" s="12" t="str">
        <x:v>Requires / relates to</x:v>
      </x:c>
      <x:c r="D539" s="12" t="str">
        <x:v>Primary</x:v>
      </x:c>
    </x:row>
    <x:row r="540">
      <x:c r="A540" s="12" t="str">
        <x:v>NEED-0205</x:v>
      </x:c>
      <x:c r="B540" s="12" t="str">
        <x:v>CAP-0020</x:v>
      </x:c>
      <x:c r="C540" s="12" t="str">
        <x:v>Requires / relates to</x:v>
      </x:c>
      <x:c r="D540" s="12" t="str">
        <x:v>Primary</x:v>
      </x:c>
    </x:row>
    <x:row r="541">
      <x:c r="A541" s="12" t="str">
        <x:v>NEED-0206</x:v>
      </x:c>
      <x:c r="B541" s="12" t="str">
        <x:v>CAP-0014</x:v>
      </x:c>
      <x:c r="C541" s="12" t="str">
        <x:v>Requires / relates to</x:v>
      </x:c>
      <x:c r="D541" s="12" t="str">
        <x:v>Primary</x:v>
      </x:c>
    </x:row>
    <x:row r="542">
      <x:c r="A542" s="12" t="str">
        <x:v>NEED-0207</x:v>
      </x:c>
      <x:c r="B542" s="12" t="str">
        <x:v>CAP-0015</x:v>
      </x:c>
      <x:c r="C542" s="12" t="str">
        <x:v>Requires / relates to</x:v>
      </x:c>
      <x:c r="D542" s="12" t="str">
        <x:v>Primary</x:v>
      </x:c>
    </x:row>
    <x:row r="543">
      <x:c r="A543" s="12" t="str">
        <x:v>NEED-0207</x:v>
      </x:c>
      <x:c r="B543" s="12" t="str">
        <x:v>CAP-0021</x:v>
      </x:c>
      <x:c r="C543" s="12" t="str">
        <x:v>Requires / relates to</x:v>
      </x:c>
      <x:c r="D543" s="12" t="str">
        <x:v>Secondary</x:v>
      </x:c>
    </x:row>
    <x:row r="544">
      <x:c r="A544" s="12" t="str">
        <x:v>NEED-0208</x:v>
      </x:c>
      <x:c r="B544" s="12" t="str">
        <x:v>CAP-0021</x:v>
      </x:c>
      <x:c r="C544" s="12" t="str">
        <x:v>Requires / relates to</x:v>
      </x:c>
      <x:c r="D544" s="12" t="str">
        <x:v>Primary</x:v>
      </x:c>
    </x:row>
    <x:row r="545">
      <x:c r="A545" s="12" t="str">
        <x:v>NEED-0209</x:v>
      </x:c>
      <x:c r="B545" s="12" t="str">
        <x:v>CAP-0012</x:v>
      </x:c>
      <x:c r="C545" s="12" t="str">
        <x:v>Requires / relates to</x:v>
      </x:c>
      <x:c r="D545" s="12" t="str">
        <x:v>Primary</x:v>
      </x:c>
    </x:row>
    <x:row r="546">
      <x:c r="A546" s="12" t="str">
        <x:v>NEED-0209</x:v>
      </x:c>
      <x:c r="B546" s="12" t="str">
        <x:v>CAP-0021</x:v>
      </x:c>
      <x:c r="C546" s="12" t="str">
        <x:v>Requires / relates to</x:v>
      </x:c>
      <x:c r="D546" s="12" t="str">
        <x:v>Secondary</x:v>
      </x:c>
    </x:row>
    <x:row r="547">
      <x:c r="A547" s="12" t="str">
        <x:v>NEED-0209</x:v>
      </x:c>
      <x:c r="B547" s="12" t="str">
        <x:v>CAP-0022</x:v>
      </x:c>
      <x:c r="C547" s="12" t="str">
        <x:v>Requires / relates to</x:v>
      </x:c>
      <x:c r="D547" s="12" t="str">
        <x:v>Secondary</x:v>
      </x:c>
    </x:row>
    <x:row r="548">
      <x:c r="A548" s="12" t="str">
        <x:v>NEED-0210</x:v>
      </x:c>
      <x:c r="B548" s="12" t="str">
        <x:v>CAP-0021</x:v>
      </x:c>
      <x:c r="C548" s="12" t="str">
        <x:v>Requires / relates to</x:v>
      </x:c>
      <x:c r="D548" s="12" t="str">
        <x:v>Primary</x:v>
      </x:c>
    </x:row>
    <x:row r="549">
      <x:c r="A549" s="12" t="str">
        <x:v>NEED-0211</x:v>
      </x:c>
      <x:c r="B549" s="12" t="str">
        <x:v>CAP-0021</x:v>
      </x:c>
      <x:c r="C549" s="12" t="str">
        <x:v>Requires / relates to</x:v>
      </x:c>
      <x:c r="D549" s="12" t="str">
        <x:v>Primary</x:v>
      </x:c>
    </x:row>
    <x:row r="550">
      <x:c r="A550" s="12" t="str">
        <x:v>NEED-0212</x:v>
      </x:c>
      <x:c r="B550" s="12" t="str">
        <x:v>CAP-0021</x:v>
      </x:c>
      <x:c r="C550" s="12" t="str">
        <x:v>Requires / relates to</x:v>
      </x:c>
      <x:c r="D550" s="12" t="str">
        <x:v>Primary</x:v>
      </x:c>
    </x:row>
    <x:row r="551">
      <x:c r="A551" s="12" t="str">
        <x:v>NEED-0213</x:v>
      </x:c>
      <x:c r="B551" s="12" t="str">
        <x:v>CAP-0021</x:v>
      </x:c>
      <x:c r="C551" s="12" t="str">
        <x:v>Requires / relates to</x:v>
      </x:c>
      <x:c r="D551" s="12" t="str">
        <x:v>Primary</x:v>
      </x:c>
    </x:row>
    <x:row r="552">
      <x:c r="A552" s="12" t="str">
        <x:v>NEED-0214</x:v>
      </x:c>
      <x:c r="B552" s="12" t="str">
        <x:v>CAP-0021</x:v>
      </x:c>
      <x:c r="C552" s="12" t="str">
        <x:v>Requires / relates to</x:v>
      </x:c>
      <x:c r="D552" s="12" t="str">
        <x:v>Primary</x:v>
      </x:c>
    </x:row>
    <x:row r="553">
      <x:c r="A553" s="12" t="str">
        <x:v>NEED-0215</x:v>
      </x:c>
      <x:c r="B553" s="12" t="str">
        <x:v>CAP-0021</x:v>
      </x:c>
      <x:c r="C553" s="12" t="str">
        <x:v>Requires / relates to</x:v>
      </x:c>
      <x:c r="D553" s="12" t="str">
        <x:v>Primary</x:v>
      </x:c>
    </x:row>
    <x:row r="554">
      <x:c r="A554" s="12" t="str">
        <x:v>NEED-0216</x:v>
      </x:c>
      <x:c r="B554" s="12" t="str">
        <x:v>CAP-0021</x:v>
      </x:c>
      <x:c r="C554" s="12" t="str">
        <x:v>Requires / relates to</x:v>
      </x:c>
      <x:c r="D554" s="12" t="str">
        <x:v>Primary</x:v>
      </x:c>
    </x:row>
    <x:row r="555">
      <x:c r="A555" s="12" t="str">
        <x:v>NEED-0217</x:v>
      </x:c>
      <x:c r="B555" s="12" t="str">
        <x:v>CAP-0021</x:v>
      </x:c>
      <x:c r="C555" s="12" t="str">
        <x:v>Requires / relates to</x:v>
      </x:c>
      <x:c r="D555" s="12" t="str">
        <x:v>Primary</x:v>
      </x:c>
    </x:row>
    <x:row r="556">
      <x:c r="A556" s="12" t="str">
        <x:v>NEED-0218</x:v>
      </x:c>
      <x:c r="B556" s="12" t="str">
        <x:v>CAP-0021</x:v>
      </x:c>
      <x:c r="C556" s="12" t="str">
        <x:v>Requires / relates to</x:v>
      </x:c>
      <x:c r="D556" s="12" t="str">
        <x:v>Primary</x:v>
      </x:c>
    </x:row>
    <x:row r="557">
      <x:c r="A557" s="12" t="str">
        <x:v>NEED-0219</x:v>
      </x:c>
      <x:c r="B557" s="12" t="str">
        <x:v>CAP-0021</x:v>
      </x:c>
      <x:c r="C557" s="12" t="str">
        <x:v>Requires / relates to</x:v>
      </x:c>
      <x:c r="D557" s="12" t="str">
        <x:v>Primary</x:v>
      </x:c>
    </x:row>
    <x:row r="558">
      <x:c r="A558" s="12" t="str">
        <x:v>NEED-0220</x:v>
      </x:c>
      <x:c r="B558" s="12" t="str">
        <x:v>CAP-0021</x:v>
      </x:c>
      <x:c r="C558" s="12" t="str">
        <x:v>Requires / relates to</x:v>
      </x:c>
      <x:c r="D558" s="12" t="str">
        <x:v>Primary</x:v>
      </x:c>
    </x:row>
  </x:sheetData>
  <x:pageMargins left="0.7" right="0.7" top="0.75" bottom="0.75" header="0.3" footer="0.3"/>
  <x:tableParts count="1">
    <x:tablePart xmlns:r="http://schemas.openxmlformats.org/officeDocument/2006/relationships" r:id="Radb6a2e73e474e89"/>
  </x:tableParts>
</x:worksheet>
</file>

<file path=xl/worksheets/sheet9.xml><?xml version="1.0" encoding="utf-8"?>
<x:worksheet xmlns:x="http://schemas.openxmlformats.org/spreadsheetml/2006/main">
  <x:sheetFormatPr defaultRowHeight="15"/>
  <x:cols>
    <x:col min="1" max="1" width="15" hidden="0" customWidth="1"/>
    <x:col min="2" max="2" width="55" hidden="0" customWidth="1"/>
    <x:col min="3" max="3" width="18" hidden="0" customWidth="1"/>
    <x:col min="4" max="4" width="22" hidden="0" customWidth="1"/>
    <x:col min="5" max="5" width="20" hidden="0" customWidth="1"/>
    <x:col min="6" max="6" width="14" hidden="0" customWidth="1"/>
    <x:col min="7" max="7" width="14" hidden="0" customWidth="1"/>
    <x:col min="8" max="8" width="60" hidden="0" customWidth="1"/>
    <x:col min="9" max="9" width="35" hidden="0" customWidth="1"/>
    <x:col min="10" max="10" width="14" hidden="0" customWidth="1"/>
    <x:col min="11" max="11" width="38" hidden="0" customWidth="1"/>
  </x:cols>
  <x:sheetData>
    <x:row r="1">
      <x:c r="A1" s="6" t="str">
        <x:v>Response ID</x:v>
      </x:c>
      <x:c r="B1" s="6" t="str">
        <x:v>Response Title</x:v>
      </x:c>
      <x:c r="C1" s="6" t="str">
        <x:v>Response Type</x:v>
      </x:c>
      <x:c r="D1" s="6" t="str">
        <x:v>Owner</x:v>
      </x:c>
      <x:c r="E1" s="6" t="str">
        <x:v>Status</x:v>
      </x:c>
      <x:c r="F1" s="6" t="str">
        <x:v>Start Date</x:v>
      </x:c>
      <x:c r="G1" s="6" t="str">
        <x:v>Release Date</x:v>
      </x:c>
      <x:c r="H1" s="6" t="str">
        <x:v>Description</x:v>
      </x:c>
      <x:c r="I1" s="6" t="str">
        <x:v>Evidence of Impact</x:v>
      </x:c>
      <x:c r="J1" s="6" t="str">
        <x:v>Source ID</x:v>
      </x:c>
      <x:c r="K1" s="6" t="str">
        <x:v>Source Location</x:v>
      </x:c>
    </x:row>
    <x:row r="2">
      <x:c r="A2" s="12" t="str">
        <x:v>RSP-0001</x:v>
      </x:c>
      <x:c r="B2" s="12" t="str">
        <x:v>Determine whether ASF will archive or make explorable in some manner the Sentinel-1C data.</x:v>
      </x:c>
      <x:c r="C2" s="12" t="str">
        <x:v>Action item</x:v>
      </x:c>
      <x:c r="D2" s="12" t="str"/>
      <x:c r="E2" s="12" t="str">
        <x:v>Proposed</x:v>
      </x:c>
      <x:c r="F2" s="12" t="str"/>
      <x:c r="G2" s="12" t="str"/>
      <x:c r="H2" s="12" t="str">
        <x:v>Determine whether ASF will archive or make explorable in some manner the Sentinel-1C data.</x:v>
      </x:c>
      <x:c r="I2" s="12" t="str"/>
      <x:c r="J2" s="12" t="str">
        <x:v>SRC-0004</x:v>
      </x:c>
      <x:c r="K2" s="12" t="str">
        <x:v>Section: New Actions and Recommendations; table row 2</x:v>
      </x:c>
    </x:row>
    <x:row r="3">
      <x:c r="A3" s="12" t="str">
        <x:v>RSP-0002</x:v>
      </x:c>
      <x:c r="B3" s="12" t="str">
        <x:v>Prepare the community for the upcoming format change to Zarr for Sentinel-1.</x:v>
      </x:c>
      <x:c r="C3" s="12" t="str">
        <x:v>Action item</x:v>
      </x:c>
      <x:c r="D3" s="12" t="str"/>
      <x:c r="E3" s="12" t="str">
        <x:v>Proposed</x:v>
      </x:c>
      <x:c r="F3" s="12" t="str"/>
      <x:c r="G3" s="12" t="str"/>
      <x:c r="H3" s="12" t="str">
        <x:v>Prepare the community for the upcoming format change to Zarr for Sentinel-1.</x:v>
      </x:c>
      <x:c r="I3" s="12" t="str"/>
      <x:c r="J3" s="12" t="str">
        <x:v>SRC-0004</x:v>
      </x:c>
      <x:c r="K3" s="12" t="str">
        <x:v>Section: New Actions and Recommendations; table row 3</x:v>
      </x:c>
    </x:row>
    <x:row r="4">
      <x:c r="A4" s="12" t="str">
        <x:v>RSP-0003</x:v>
      </x:c>
      <x:c r="B4" s="12" t="str">
        <x:v>How will ongoing ISCE-3 support be managed? Commit to dedicated ISCE3 long- term development.</x:v>
      </x:c>
      <x:c r="C4" s="12" t="str">
        <x:v>Action item</x:v>
      </x:c>
      <x:c r="D4" s="12" t="str"/>
      <x:c r="E4" s="12" t="str">
        <x:v>Proposed</x:v>
      </x:c>
      <x:c r="F4" s="12" t="str"/>
      <x:c r="G4" s="12" t="str"/>
      <x:c r="H4" s="12" t="str">
        <x:v>How will ongoing ISCE-3 support be managed? Commit to dedicated ISCE3 long- term development.</x:v>
      </x:c>
      <x:c r="I4" s="12" t="str"/>
      <x:c r="J4" s="12" t="str">
        <x:v>SRC-0004</x:v>
      </x:c>
      <x:c r="K4" s="12" t="str">
        <x:v>Section: New Actions and Recommendations; table row 4</x:v>
      </x:c>
    </x:row>
    <x:row r="5">
      <x:c r="A5" s="12" t="str">
        <x:v>RSP-0004</x:v>
      </x:c>
      <x:c r="B5" s="12" t="str">
        <x:v>Provide more SMAP Radar Data support. Make this easier to use. Work with other DAACs to unify the documentation.</x:v>
      </x:c>
      <x:c r="C5" s="12" t="str">
        <x:v>Action item</x:v>
      </x:c>
      <x:c r="D5" s="12" t="str"/>
      <x:c r="E5" s="12" t="str">
        <x:v>Proposed</x:v>
      </x:c>
      <x:c r="F5" s="12" t="str"/>
      <x:c r="G5" s="12" t="str"/>
      <x:c r="H5" s="12" t="str">
        <x:v>Provide more SMAP Radar Data support. Make this easier to use. Work with other DAACs to unify the documentation.</x:v>
      </x:c>
      <x:c r="I5" s="12" t="str"/>
      <x:c r="J5" s="12" t="str">
        <x:v>SRC-0004</x:v>
      </x:c>
      <x:c r="K5" s="12" t="str">
        <x:v>Section: New Actions and Recommendations; table row 5</x:v>
      </x:c>
    </x:row>
    <x:row r="6">
      <x:c r="A6" s="12" t="str">
        <x:v>RSP-0005</x:v>
      </x:c>
      <x:c r="B6" s="12" t="str">
        <x:v>Provide SAR education and training for NISAR.</x:v>
      </x:c>
      <x:c r="C6" s="12" t="str">
        <x:v>Action item</x:v>
      </x:c>
      <x:c r="D6" s="12" t="str"/>
      <x:c r="E6" s="12" t="str">
        <x:v>Proposed</x:v>
      </x:c>
      <x:c r="F6" s="12" t="str"/>
      <x:c r="G6" s="12" t="str"/>
      <x:c r="H6" s="12" t="str">
        <x:v>Provide SAR education and training for NISAR.</x:v>
      </x:c>
      <x:c r="I6" s="12" t="str"/>
      <x:c r="J6" s="12" t="str">
        <x:v>SRC-0004</x:v>
      </x:c>
      <x:c r="K6" s="12" t="str">
        <x:v>Section: New Actions and Recommendations; table row 6</x:v>
      </x:c>
    </x:row>
    <x:row r="7">
      <x:c r="A7" s="12" t="str">
        <x:v>RSP-0006</x:v>
      </x:c>
      <x:c r="B7" s="12" t="str">
        <x:v>Work with the NISAR Science Team to determine what OSL should do to support NISAR, how to collaborate with NISAR On Demand system.</x:v>
      </x:c>
      <x:c r="C7" s="12" t="str">
        <x:v>Action item</x:v>
      </x:c>
      <x:c r="D7" s="12" t="str"/>
      <x:c r="E7" s="12" t="str">
        <x:v>Proposed</x:v>
      </x:c>
      <x:c r="F7" s="12" t="str"/>
      <x:c r="G7" s="12" t="str"/>
      <x:c r="H7" s="12" t="str">
        <x:v>Work with the NISAR Science Team to determine what OSL should do to support NISAR, how to collaborate with NISAR On Demand system.</x:v>
      </x:c>
      <x:c r="I7" s="12" t="str"/>
      <x:c r="J7" s="12" t="str">
        <x:v>SRC-0004</x:v>
      </x:c>
      <x:c r="K7" s="12" t="str">
        <x:v>Section: New Actions and Recommendations; table row 7</x:v>
      </x:c>
    </x:row>
    <x:row r="8">
      <x:c r="A8" s="12" t="str">
        <x:v>RSP-0007</x:v>
      </x:c>
      <x:c r="B8" s="12" t="str">
        <x:v>Determine ASF’s role in the NASA Disaster portal.</x:v>
      </x:c>
      <x:c r="C8" s="12" t="str">
        <x:v>Action item</x:v>
      </x:c>
      <x:c r="D8" s="12" t="str"/>
      <x:c r="E8" s="12" t="str">
        <x:v>Proposed</x:v>
      </x:c>
      <x:c r="F8" s="12" t="str"/>
      <x:c r="G8" s="12" t="str"/>
      <x:c r="H8" s="12" t="str">
        <x:v>Determine ASF’s role in the NASA Disaster portal.</x:v>
      </x:c>
      <x:c r="I8" s="12" t="str"/>
      <x:c r="J8" s="12" t="str">
        <x:v>SRC-0004</x:v>
      </x:c>
      <x:c r="K8" s="12" t="str">
        <x:v>Section: New Actions and Recommendations; table row 8</x:v>
      </x:c>
    </x:row>
    <x:row r="9">
      <x:c r="A9" s="12" t="str">
        <x:v>RSP-0008</x:v>
      </x:c>
      <x:c r="B9" s="12" t="str">
        <x:v>Foster discussion with ESDIS on how open-source processing software will be maintained in the long term, i.e. ISCE-3, MintPy.</x:v>
      </x:c>
      <x:c r="C9" s="12" t="str">
        <x:v>Action item</x:v>
      </x:c>
      <x:c r="D9" s="12" t="str"/>
      <x:c r="E9" s="12" t="str">
        <x:v>Proposed</x:v>
      </x:c>
      <x:c r="F9" s="12" t="str"/>
      <x:c r="G9" s="12" t="str"/>
      <x:c r="H9" s="12" t="str">
        <x:v>Foster discussion with ESDIS on how open-source processing software will be maintained in the long term, i.e. ISCE-3, MintPy.</x:v>
      </x:c>
      <x:c r="I9" s="12" t="str"/>
      <x:c r="J9" s="12" t="str">
        <x:v>SRC-0004</x:v>
      </x:c>
      <x:c r="K9" s="12" t="str">
        <x:v>Section: New Actions and Recommendations; table row 9</x:v>
      </x:c>
    </x:row>
    <x:row r="10">
      <x:c r="A10" s="12" t="str">
        <x:v>RSP-0009</x:v>
      </x:c>
      <x:c r="B10" s="12" t="str">
        <x:v>Assess ASF’s role in the Foundation Model for Damage Assessment.</x:v>
      </x:c>
      <x:c r="C10" s="12" t="str">
        <x:v>Action item</x:v>
      </x:c>
      <x:c r="D10" s="12" t="str"/>
      <x:c r="E10" s="12" t="str">
        <x:v>Proposed</x:v>
      </x:c>
      <x:c r="F10" s="12" t="str"/>
      <x:c r="G10" s="12" t="str"/>
      <x:c r="H10" s="12" t="str">
        <x:v>Assess ASF’s role in the Foundation Model for Damage Assessment.</x:v>
      </x:c>
      <x:c r="I10" s="12" t="str"/>
      <x:c r="J10" s="12" t="str">
        <x:v>SRC-0004</x:v>
      </x:c>
      <x:c r="K10" s="12" t="str">
        <x:v>Section: New Actions and Recommendations; table row 10</x:v>
      </x:c>
    </x:row>
    <x:row r="11">
      <x:c r="A11" s="12" t="str">
        <x:v>RSP-0010</x:v>
      </x:c>
      <x:c r="B11" s="12" t="str">
        <x:v>Decide whether to keep or delete JERS-1 data (similarly for ERS-1, ERS-2 and RADARSAT).</x:v>
      </x:c>
      <x:c r="C11" s="12" t="str">
        <x:v>Action item</x:v>
      </x:c>
      <x:c r="D11" s="12" t="str"/>
      <x:c r="E11" s="12" t="str">
        <x:v>Proposed</x:v>
      </x:c>
      <x:c r="F11" s="12" t="str"/>
      <x:c r="G11" s="12" t="str"/>
      <x:c r="H11" s="12" t="str">
        <x:v>Decide whether to keep or delete JERS-1 data (similarly for ERS-1, ERS-2 and RADARSAT).</x:v>
      </x:c>
      <x:c r="I11" s="12" t="str"/>
      <x:c r="J11" s="12" t="str">
        <x:v>SRC-0004</x:v>
      </x:c>
      <x:c r="K11" s="12" t="str">
        <x:v>Section: New Actions and Recommendations; table row 11</x:v>
      </x:c>
    </x:row>
    <x:row r="12">
      <x:c r="A12" s="12" t="str">
        <x:v>RSP-0011</x:v>
      </x:c>
      <x:c r="B12" s="12" t="str">
        <x:v>Prioritize the NISAR Services.</x:v>
      </x:c>
      <x:c r="C12" s="12" t="str">
        <x:v>Action item</x:v>
      </x:c>
      <x:c r="D12" s="12" t="str"/>
      <x:c r="E12" s="12" t="str">
        <x:v>Proposed</x:v>
      </x:c>
      <x:c r="F12" s="12" t="str"/>
      <x:c r="G12" s="12" t="str"/>
      <x:c r="H12" s="12" t="str">
        <x:v>Prioritize the NISAR Services.</x:v>
      </x:c>
      <x:c r="I12" s="12" t="str"/>
      <x:c r="J12" s="12" t="str">
        <x:v>SRC-0004</x:v>
      </x:c>
      <x:c r="K12" s="12" t="str">
        <x:v>Section: New Actions and Recommendations; table row 12</x:v>
      </x:c>
    </x:row>
    <x:row r="13">
      <x:c r="A13" s="12" t="str">
        <x:v>RSP-0012</x:v>
      </x:c>
      <x:c r="B13" s="12" t="str">
        <x:v>Review Tools and Services roadmap with UWG.</x:v>
      </x:c>
      <x:c r="C13" s="12" t="str">
        <x:v>Action item</x:v>
      </x:c>
      <x:c r="D13" s="12" t="str"/>
      <x:c r="E13" s="12" t="str">
        <x:v>Proposed</x:v>
      </x:c>
      <x:c r="F13" s="12" t="str"/>
      <x:c r="G13" s="12" t="str"/>
      <x:c r="H13" s="12" t="str">
        <x:v>Review Tools and Services roadmap with UWG.</x:v>
      </x:c>
      <x:c r="I13" s="12" t="str"/>
      <x:c r="J13" s="12" t="str">
        <x:v>SRC-0004</x:v>
      </x:c>
      <x:c r="K13" s="12" t="str">
        <x:v>Section: New Actions and Recommendations; table row 13</x:v>
      </x:c>
    </x:row>
    <x:row r="14">
      <x:c r="A14" s="12" t="str">
        <x:v>RSP-0013</x:v>
      </x:c>
      <x:c r="B14" s="12" t="str">
        <x:v>How can the UWG support ARSET training?</x:v>
      </x:c>
      <x:c r="C14" s="12" t="str">
        <x:v>Action item</x:v>
      </x:c>
      <x:c r="D14" s="12" t="str"/>
      <x:c r="E14" s="12" t="str">
        <x:v>Proposed</x:v>
      </x:c>
      <x:c r="F14" s="12" t="str"/>
      <x:c r="G14" s="12" t="str"/>
      <x:c r="H14" s="12" t="str">
        <x:v>How can the UWG support ARSET training?</x:v>
      </x:c>
      <x:c r="I14" s="12" t="str"/>
      <x:c r="J14" s="12" t="str">
        <x:v>SRC-0004</x:v>
      </x:c>
      <x:c r="K14" s="12" t="str">
        <x:v>Section: New Actions and Recommendations; table row 14</x:v>
      </x:c>
    </x:row>
    <x:row r="15">
      <x:c r="A15" s="12" t="str">
        <x:v>RSP-0014</x:v>
      </x:c>
      <x:c r="B15" s="12" t="str">
        <x:v>How can we increase the usability of historical SAR datasets that are currently on the ASF DAAC through ARSET training?</x:v>
      </x:c>
      <x:c r="C15" s="12" t="str">
        <x:v>Action item</x:v>
      </x:c>
      <x:c r="D15" s="12" t="str"/>
      <x:c r="E15" s="12" t="str">
        <x:v>Proposed</x:v>
      </x:c>
      <x:c r="F15" s="12" t="str"/>
      <x:c r="G15" s="12" t="str"/>
      <x:c r="H15" s="12" t="str">
        <x:v>How can we increase the usability of historical SAR datasets that are currently on the ASF DAAC through ARSET training?</x:v>
      </x:c>
      <x:c r="I15" s="12" t="str"/>
      <x:c r="J15" s="12" t="str">
        <x:v>SRC-0004</x:v>
      </x:c>
      <x:c r="K15" s="12" t="str">
        <x:v>Section: New Actions and Recommendations; table row 15</x:v>
      </x:c>
    </x:row>
    <x:row r="16">
      <x:c r="A16" s="12" t="str">
        <x:v>RSP-0015</x:v>
      </x:c>
      <x:c r="B16" s="12" t="str">
        <x:v>How can ARSET and the ASF DAAC increase multi-frequency data analysis?</x:v>
      </x:c>
      <x:c r="C16" s="12" t="str">
        <x:v>Action item</x:v>
      </x:c>
      <x:c r="D16" s="12" t="str"/>
      <x:c r="E16" s="12" t="str">
        <x:v>Proposed</x:v>
      </x:c>
      <x:c r="F16" s="12" t="str"/>
      <x:c r="G16" s="12" t="str"/>
      <x:c r="H16" s="12" t="str">
        <x:v>How can ARSET and the ASF DAAC increase multi-frequency data analysis?</x:v>
      </x:c>
      <x:c r="I16" s="12" t="str"/>
      <x:c r="J16" s="12" t="str">
        <x:v>SRC-0004</x:v>
      </x:c>
      <x:c r="K16" s="12" t="str">
        <x:v>Section: New Actions and Recommendations; table row 16</x:v>
      </x:c>
    </x:row>
    <x:row r="17">
      <x:c r="A17" s="12" t="str">
        <x:v>RSP-0016</x:v>
      </x:c>
      <x:c r="B17" s="12" t="str">
        <x:v>How do we increase the AI/ML analysis of SAR data?</x:v>
      </x:c>
      <x:c r="C17" s="12" t="str">
        <x:v>Action item</x:v>
      </x:c>
      <x:c r="D17" s="12" t="str"/>
      <x:c r="E17" s="12" t="str">
        <x:v>Proposed</x:v>
      </x:c>
      <x:c r="F17" s="12" t="str"/>
      <x:c r="G17" s="12" t="str"/>
      <x:c r="H17" s="12" t="str">
        <x:v>How do we increase the AI/ML analysis of SAR data?</x:v>
      </x:c>
      <x:c r="I17" s="12" t="str"/>
      <x:c r="J17" s="12" t="str">
        <x:v>SRC-0004</x:v>
      </x:c>
      <x:c r="K17" s="12" t="str">
        <x:v>Section: New Actions and Recommendations; table row 17</x:v>
      </x:c>
    </x:row>
    <x:row r="18">
      <x:c r="A18" s="12" t="str">
        <x:v>RSP-0017</x:v>
      </x:c>
      <x:c r="B18" s="12" t="str">
        <x:v>Focus on Analysis Ready Data. Make the data as easy as possible to use. Implement the CEOS standards.</x:v>
      </x:c>
      <x:c r="C18" s="12" t="str">
        <x:v>Action item</x:v>
      </x:c>
      <x:c r="D18" s="12" t="str"/>
      <x:c r="E18" s="12" t="str">
        <x:v>Proposed</x:v>
      </x:c>
      <x:c r="F18" s="12" t="str"/>
      <x:c r="G18" s="12" t="str"/>
      <x:c r="H18" s="12" t="str">
        <x:v>Focus on Analysis Ready Data. Make the data as easy as possible to use. Implement the CEOS standards.</x:v>
      </x:c>
      <x:c r="I18" s="12" t="str"/>
      <x:c r="J18" s="12" t="str">
        <x:v>SRC-0004</x:v>
      </x:c>
      <x:c r="K18" s="12" t="str">
        <x:v>Section: New Actions and Recommendations; table row 18</x:v>
      </x:c>
    </x:row>
    <x:row r="19">
      <x:c r="A19" s="12" t="str">
        <x:v>RSP-0018</x:v>
      </x:c>
      <x:c r="B19" s="12" t="str">
        <x:v>Will ASF put data holdings in STAC (Spatio- Temporal Asset Catalog) catalogs?</x:v>
      </x:c>
      <x:c r="C19" s="12" t="str">
        <x:v>Action item</x:v>
      </x:c>
      <x:c r="D19" s="12" t="str"/>
      <x:c r="E19" s="12" t="str">
        <x:v>Proposed</x:v>
      </x:c>
      <x:c r="F19" s="12" t="str"/>
      <x:c r="G19" s="12" t="str"/>
      <x:c r="H19" s="12" t="str">
        <x:v>Will ASF put data holdings in STAC (Spatio- Temporal Asset Catalog) catalogs?</x:v>
      </x:c>
      <x:c r="I19" s="12" t="str"/>
      <x:c r="J19" s="12" t="str">
        <x:v>SRC-0004</x:v>
      </x:c>
      <x:c r="K19" s="12" t="str">
        <x:v>Section: New Actions and Recommendations; table row 19</x:v>
      </x:c>
    </x:row>
    <x:row r="20">
      <x:c r="A20" s="12" t="str">
        <x:v>RSP-0019</x:v>
      </x:c>
      <x:c r="B20" s="12" t="str">
        <x:v>Look into Globus as a possible tool for CDDIS to use (incl an SDK) for data transfers.</x:v>
      </x:c>
      <x:c r="C20" s="12" t="str">
        <x:v>Action item</x:v>
      </x:c>
      <x:c r="D20" s="12" t="str"/>
      <x:c r="E20" s="12" t="str">
        <x:v>Proposed</x:v>
      </x:c>
      <x:c r="F20" s="12" t="str"/>
      <x:c r="G20" s="12" t="str"/>
      <x:c r="H20" s="12" t="str">
        <x:v>Look into Globus as a possible tool for CDDIS to use (incl an SDK) for data transfers.</x:v>
      </x:c>
      <x:c r="I20" s="12" t="str"/>
      <x:c r="J20" s="12" t="str">
        <x:v>SRC-0004</x:v>
      </x:c>
      <x:c r="K20" s="12" t="str">
        <x:v>Section: New Actions and Suggestions; table row 2</x:v>
      </x:c>
    </x:row>
    <x:row r="21">
      <x:c r="A21" s="12" t="str">
        <x:v>RSP-0020</x:v>
      </x:c>
      <x:c r="B21" s="12" t="str">
        <x:v>Geodetic community is looking for Time Series data. A tool is needed to find by location and time for single station. (SLR and VLBI).</x:v>
      </x:c>
      <x:c r="C21" s="12" t="str">
        <x:v>Action item</x:v>
      </x:c>
      <x:c r="D21" s="12" t="str"/>
      <x:c r="E21" s="12" t="str">
        <x:v>Proposed</x:v>
      </x:c>
      <x:c r="F21" s="12" t="str"/>
      <x:c r="G21" s="12" t="str"/>
      <x:c r="H21" s="12" t="str">
        <x:v>Geodetic community is looking for Time Series data. A tool is needed to find by location and time for single station. (SLR and VLBI).</x:v>
      </x:c>
      <x:c r="I21" s="12" t="str"/>
      <x:c r="J21" s="12" t="str">
        <x:v>SRC-0004</x:v>
      </x:c>
      <x:c r="K21" s="12" t="str">
        <x:v>Section: New Actions and Suggestions; table row 4</x:v>
      </x:c>
    </x:row>
    <x:row r="22">
      <x:c r="A22" s="12" t="str">
        <x:v>RSP-0021</x:v>
      </x:c>
      <x:c r="B22" s="12" t="str">
        <x:v>Is the earthaccess Python library coming to CDDIS? It is keyed towards the CMR API and would be valuable to users.</x:v>
      </x:c>
      <x:c r="C22" s="12" t="str">
        <x:v>Action item</x:v>
      </x:c>
      <x:c r="D22" s="12" t="str"/>
      <x:c r="E22" s="12" t="str">
        <x:v>Proposed</x:v>
      </x:c>
      <x:c r="F22" s="12" t="str"/>
      <x:c r="G22" s="12" t="str"/>
      <x:c r="H22" s="12" t="str">
        <x:v>Is the earthaccess Python library coming to CDDIS? It is keyed towards the CMR API and would be valuable to users.</x:v>
      </x:c>
      <x:c r="I22" s="12" t="str"/>
      <x:c r="J22" s="12" t="str">
        <x:v>SRC-0004</x:v>
      </x:c>
      <x:c r="K22" s="12" t="str">
        <x:v>Section: New Actions and Suggestions; table row 6</x:v>
      </x:c>
    </x:row>
    <x:row r="23">
      <x:c r="A23" s="12" t="str">
        <x:v>RSP-0022</x:v>
      </x:c>
      <x:c r="B23" s="12" t="str">
        <x:v>CDDIS could be a substantial contributor to Earth Science to Action (esp. real-time having great potential). There is value in messaging to the community.</x:v>
      </x:c>
      <x:c r="C23" s="12" t="str">
        <x:v>Action item</x:v>
      </x:c>
      <x:c r="D23" s="12" t="str"/>
      <x:c r="E23" s="12" t="str">
        <x:v>Proposed</x:v>
      </x:c>
      <x:c r="F23" s="12" t="str"/>
      <x:c r="G23" s="12" t="str"/>
      <x:c r="H23" s="12" t="str">
        <x:v>CDDIS could be a substantial contributor to Earth Science to Action (esp. real-time having great potential). There is value in messaging to the community.</x:v>
      </x:c>
      <x:c r="I23" s="12" t="str"/>
      <x:c r="J23" s="12" t="str">
        <x:v>SRC-0004</x:v>
      </x:c>
      <x:c r="K23" s="12" t="str">
        <x:v>Section: New Actions and Suggestions; table row 8</x:v>
      </x:c>
    </x:row>
    <x:row r="24">
      <x:c r="A24" s="12" t="str">
        <x:v>RSP-0023</x:v>
      </x:c>
      <x:c r="B24" s="12" t="str">
        <x:v>Concern for adverse impact on GHRC user community with the wide array of rich content at GHRC.</x:v>
      </x:c>
      <x:c r="C24" s="12" t="str">
        <x:v>Action item</x:v>
      </x:c>
      <x:c r="D24" s="12" t="str"/>
      <x:c r="E24" s="12" t="str">
        <x:v>Proposed</x:v>
      </x:c>
      <x:c r="F24" s="12" t="str"/>
      <x:c r="G24" s="12" t="str"/>
      <x:c r="H24" s="12" t="str">
        <x:v>Concern for adverse impact on GHRC user community with the wide array of rich content at GHRC.</x:v>
      </x:c>
      <x:c r="I24" s="12" t="str"/>
      <x:c r="J24" s="12" t="str">
        <x:v>SRC-0004</x:v>
      </x:c>
      <x:c r="K24" s="12" t="str">
        <x:v>Section: New Actions and Recommendations; table row 2</x:v>
      </x:c>
    </x:row>
    <x:row r="25">
      <x:c r="A25" s="12" t="str">
        <x:v>RSP-0024</x:v>
      </x:c>
      <x:c r="B25" s="12" t="str">
        <x:v>GHRC should align its operations and development efforts accordingly to this strategy.</x:v>
      </x:c>
      <x:c r="C25" s="12" t="str">
        <x:v>Action item</x:v>
      </x:c>
      <x:c r="D25" s="12" t="str"/>
      <x:c r="E25" s="12" t="str">
        <x:v>Proposed</x:v>
      </x:c>
      <x:c r="F25" s="12" t="str"/>
      <x:c r="G25" s="12" t="str"/>
      <x:c r="H25" s="12" t="str">
        <x:v>GHRC should align its operations and development efforts accordingly to this strategy.</x:v>
      </x:c>
      <x:c r="I25" s="12" t="str"/>
      <x:c r="J25" s="12" t="str">
        <x:v>SRC-0004</x:v>
      </x:c>
      <x:c r="K25" s="12" t="str">
        <x:v>Section: New Actions and Recommendations; table row 4</x:v>
      </x:c>
    </x:row>
    <x:row r="26">
      <x:c r="A26" s="12" t="str">
        <x:v>RSP-0025</x:v>
      </x:c>
      <x:c r="B26" s="12" t="str">
        <x:v>GHRC needs to quantify the utility of its services, such as the Field Campaign Explorer (FCX).</x:v>
      </x:c>
      <x:c r="C26" s="12" t="str">
        <x:v>Action item</x:v>
      </x:c>
      <x:c r="D26" s="12" t="str"/>
      <x:c r="E26" s="12" t="str">
        <x:v>Proposed</x:v>
      </x:c>
      <x:c r="F26" s="12" t="str"/>
      <x:c r="G26" s="12" t="str"/>
      <x:c r="H26" s="12" t="str">
        <x:v>GHRC needs to quantify the utility of its services, such as the Field Campaign Explorer (FCX).</x:v>
      </x:c>
      <x:c r="I26" s="12" t="str"/>
      <x:c r="J26" s="12" t="str">
        <x:v>SRC-0004</x:v>
      </x:c>
      <x:c r="K26" s="12" t="str">
        <x:v>Section: New Actions and Recommendations; table row 6</x:v>
      </x:c>
    </x:row>
    <x:row r="27">
      <x:c r="A27" s="12" t="str">
        <x:v>RSP-0026</x:v>
      </x:c>
      <x:c r="B27" s="12" t="str">
        <x:v>Multiple new datasets and capabilities were added. GHRC should work with the user community to develop instructional webinars and examples.</x:v>
      </x:c>
      <x:c r="C27" s="12" t="str">
        <x:v>Action item</x:v>
      </x:c>
      <x:c r="D27" s="12" t="str"/>
      <x:c r="E27" s="12" t="str">
        <x:v>Proposed</x:v>
      </x:c>
      <x:c r="F27" s="12" t="str"/>
      <x:c r="G27" s="12" t="str"/>
      <x:c r="H27" s="12" t="str">
        <x:v>Multiple new datasets and capabilities were added. GHRC should work with the user community to develop instructional webinars and examples.</x:v>
      </x:c>
      <x:c r="I27" s="12" t="str"/>
      <x:c r="J27" s="12" t="str">
        <x:v>SRC-0004</x:v>
      </x:c>
      <x:c r="K27" s="12" t="str">
        <x:v>Section: New Actions and Recommendations; table row 8</x:v>
      </x:c>
    </x:row>
    <x:row r="28">
      <x:c r="A28" s="12" t="str">
        <x:v>RSP-0027</x:v>
      </x:c>
      <x:c r="B28" s="12" t="str">
        <x:v>The UWG strongly believes that FCX is a unique tool that can make complex NASA Earth Observation data more accessible. The GHRC should continue refining and adding capabilities to FCX with a goal of making it an institut</x:v>
      </x:c>
      <x:c r="C28" s="12" t="str">
        <x:v>Action item</x:v>
      </x:c>
      <x:c r="D28" s="12" t="str"/>
      <x:c r="E28" s="12" t="str">
        <x:v>Proposed</x:v>
      </x:c>
      <x:c r="F28" s="12" t="str"/>
      <x:c r="G28" s="12" t="str"/>
      <x:c r="H28" s="12" t="str">
        <x:v>The UWG strongly believes that FCX is a unique tool that can make complex NASA Earth Observation data more accessible. The GHRC should continue refining and adding capabilities to FCX with a goal of making it an institutional tool for exploring NASA’s Airborne and Field Data catalog.</x:v>
      </x:c>
      <x:c r="I28" s="12" t="str"/>
      <x:c r="J28" s="12" t="str">
        <x:v>SRC-0004</x:v>
      </x:c>
      <x:c r="K28" s="12" t="str">
        <x:v>Section: New Actions and Recommendations; table row 10</x:v>
      </x:c>
    </x:row>
    <x:row r="29">
      <x:c r="A29" s="12" t="str">
        <x:v>RSP-0028</x:v>
      </x:c>
      <x:c r="B29" s="12" t="str">
        <x:v>The process to publish an approved dataset needs to become more efficient.</x:v>
      </x:c>
      <x:c r="C29" s="12" t="str">
        <x:v>Action item</x:v>
      </x:c>
      <x:c r="D29" s="12" t="str"/>
      <x:c r="E29" s="12" t="str">
        <x:v>Proposed</x:v>
      </x:c>
      <x:c r="F29" s="12" t="str"/>
      <x:c r="G29" s="12" t="str"/>
      <x:c r="H29" s="12" t="str">
        <x:v>The process to publish an approved dataset needs to become more efficient.</x:v>
      </x:c>
      <x:c r="I29" s="12" t="str"/>
      <x:c r="J29" s="12" t="str">
        <x:v>SRC-0004</x:v>
      </x:c>
      <x:c r="K29" s="12" t="str">
        <x:v>Section: New Actions and Recommendations; table row 14</x:v>
      </x:c>
    </x:row>
    <x:row r="30">
      <x:c r="A30" s="12" t="str">
        <x:v>RSP-0029</x:v>
      </x:c>
      <x:c r="B30" s="12" t="str">
        <x:v>The new actions and recommendations from UWG members are summarized below into twelve broad topics. These recommendations are organized into two categories: the first category focuses on the flow of information to ESDIS </x:v>
      </x:c>
      <x:c r="C30" s="12" t="str">
        <x:v>Action item</x:v>
      </x:c>
      <x:c r="D30" s="12" t="str"/>
      <x:c r="E30" s="12" t="str">
        <x:v>Proposed</x:v>
      </x:c>
      <x:c r="F30" s="12" t="str"/>
      <x:c r="G30" s="12" t="str"/>
      <x:c r="H30" s="12" t="str">
        <x:v>The new actions and recommendations from UWG members are summarized below into twelve broad topics. These recommendations are organized into two categories: the first category focuses on the flow of information to ESDIS management, and the second category involves initiatives that GES DISC will undertake or develop.</x:v>
      </x:c>
      <x:c r="I30" s="12" t="str"/>
      <x:c r="J30" s="12" t="str">
        <x:v>SRC-0004</x:v>
      </x:c>
      <x:c r="K30" s="12" t="str">
        <x:v>Section: New Actions and Recommendations</x:v>
      </x:c>
    </x:row>
    <x:row r="31">
      <x:c r="A31" s="12" t="str">
        <x:v>RSP-0030</x:v>
      </x:c>
      <x:c r="B31" s="12" t="str">
        <x:v>Publish cloud adoption rate.</x:v>
      </x:c>
      <x:c r="C31" s="12" t="str">
        <x:v>Action item</x:v>
      </x:c>
      <x:c r="D31" s="12" t="str"/>
      <x:c r="E31" s="12" t="str">
        <x:v>Proposed</x:v>
      </x:c>
      <x:c r="F31" s="12" t="str"/>
      <x:c r="G31" s="12" t="str"/>
      <x:c r="H31" s="12" t="str">
        <x:v>Publish cloud adoption rate.</x:v>
      </x:c>
      <x:c r="I31" s="12" t="str"/>
      <x:c r="J31" s="12" t="str">
        <x:v>SRC-0004</x:v>
      </x:c>
      <x:c r="K31" s="12" t="str">
        <x:v>Section: New Actions and Recommendations; table row 2</x:v>
      </x:c>
    </x:row>
    <x:row r="32">
      <x:c r="A32" s="12" t="str">
        <x:v>RSP-0031</x:v>
      </x:c>
      <x:c r="B32" s="12" t="str">
        <x:v>Publish pros and cons of using Zarr stores.</x:v>
      </x:c>
      <x:c r="C32" s="12" t="str">
        <x:v>Action item</x:v>
      </x:c>
      <x:c r="D32" s="12" t="str"/>
      <x:c r="E32" s="12" t="str">
        <x:v>Proposed</x:v>
      </x:c>
      <x:c r="F32" s="12" t="str"/>
      <x:c r="G32" s="12" t="str"/>
      <x:c r="H32" s="12" t="str">
        <x:v>Publish pros and cons of using Zarr stores.</x:v>
      </x:c>
      <x:c r="I32" s="12" t="str"/>
      <x:c r="J32" s="12" t="str">
        <x:v>SRC-0004</x:v>
      </x:c>
      <x:c r="K32" s="12" t="str">
        <x:v>Section: New Actions and Recommendations; table row 4</x:v>
      </x:c>
    </x:row>
    <x:row r="33">
      <x:c r="A33" s="12" t="str">
        <x:v>RSP-0032</x:v>
      </x:c>
      <x:c r="B33" s="12" t="str">
        <x:v>UWG members were disappointed by the lack of cloud computing space for researchers (similar to Cloud Playground).</x:v>
      </x:c>
      <x:c r="C33" s="12" t="str">
        <x:v>Action item</x:v>
      </x:c>
      <x:c r="D33" s="12" t="str"/>
      <x:c r="E33" s="12" t="str">
        <x:v>Proposed</x:v>
      </x:c>
      <x:c r="F33" s="12" t="str"/>
      <x:c r="G33" s="12" t="str"/>
      <x:c r="H33" s="12" t="str">
        <x:v>UWG members were disappointed by the lack of cloud computing space for researchers (similar to Cloud Playground).</x:v>
      </x:c>
      <x:c r="I33" s="12" t="str"/>
      <x:c r="J33" s="12" t="str">
        <x:v>SRC-0004</x:v>
      </x:c>
      <x:c r="K33" s="12" t="str">
        <x:v>Section: New Actions and Recommendations; table row 5</x:v>
      </x:c>
    </x:row>
    <x:row r="34">
      <x:c r="A34" s="12" t="str">
        <x:v>RSP-0033</x:v>
      </x:c>
      <x:c r="B34" s="12" t="str">
        <x:v>Earthdata Login (EDL) authentication needs to be clear for applications. Adding specific applications and authenticating each of them manually is not efficient. This was failing/confusing new users.</x:v>
      </x:c>
      <x:c r="C34" s="12" t="str">
        <x:v>Action item</x:v>
      </x:c>
      <x:c r="D34" s="12" t="str"/>
      <x:c r="E34" s="12" t="str">
        <x:v>Proposed</x:v>
      </x:c>
      <x:c r="F34" s="12" t="str"/>
      <x:c r="G34" s="12" t="str"/>
      <x:c r="H34" s="12" t="str">
        <x:v>Earthdata Login (EDL) authentication needs to be clear for applications. Adding specific applications and authenticating each of them manually is not efficient. This was failing/confusing new users.</x:v>
      </x:c>
      <x:c r="I34" s="12" t="str"/>
      <x:c r="J34" s="12" t="str">
        <x:v>SRC-0004</x:v>
      </x:c>
      <x:c r="K34" s="12" t="str">
        <x:v>Section: New Actions and Recommendations; table row 7</x:v>
      </x:c>
    </x:row>
    <x:row r="35">
      <x:c r="A35" s="12" t="str">
        <x:v>RSP-0034</x:v>
      </x:c>
      <x:c r="B35" s="12" t="str">
        <x:v>In the Level 2 Subsetter, make sure to inform users to use quality flag.</x:v>
      </x:c>
      <x:c r="C35" s="12" t="str">
        <x:v>Action item</x:v>
      </x:c>
      <x:c r="D35" s="12" t="str"/>
      <x:c r="E35" s="12" t="str">
        <x:v>Proposed</x:v>
      </x:c>
      <x:c r="F35" s="12" t="str"/>
      <x:c r="G35" s="12" t="str"/>
      <x:c r="H35" s="12" t="str">
        <x:v>In the Level 2 Subsetter, make sure to inform users to use quality flag.</x:v>
      </x:c>
      <x:c r="I35" s="12" t="str"/>
      <x:c r="J35" s="12" t="str">
        <x:v>SRC-0004</x:v>
      </x:c>
      <x:c r="K35" s="12" t="str">
        <x:v>Section: New Actions and Recommendations; table row 8</x:v>
      </x:c>
    </x:row>
    <x:row r="36">
      <x:c r="A36" s="12" t="str">
        <x:v>RSP-0035</x:v>
      </x:c>
      <x:c r="B36" s="12" t="str">
        <x:v>Earthdata Forum should have ability to upvote/downvote and moderation for the best answers.</x:v>
      </x:c>
      <x:c r="C36" s="12" t="str">
        <x:v>Action item</x:v>
      </x:c>
      <x:c r="D36" s="12" t="str"/>
      <x:c r="E36" s="12" t="str">
        <x:v>Proposed</x:v>
      </x:c>
      <x:c r="F36" s="12" t="str"/>
      <x:c r="G36" s="12" t="str"/>
      <x:c r="H36" s="12" t="str">
        <x:v>Earthdata Forum should have ability to upvote/downvote and moderation for the best answers.</x:v>
      </x:c>
      <x:c r="I36" s="12" t="str"/>
      <x:c r="J36" s="12" t="str">
        <x:v>SRC-0004</x:v>
      </x:c>
      <x:c r="K36" s="12" t="str">
        <x:v>Section: New Actions and Recommendations; table row 10</x:v>
      </x:c>
    </x:row>
    <x:row r="37">
      <x:c r="A37" s="12" t="str">
        <x:v>RSP-0036</x:v>
      </x:c>
      <x:c r="B37" s="12" t="str">
        <x:v>Internal chat feature in Earthdata Forum for SMEs or moderators/contributors.</x:v>
      </x:c>
      <x:c r="C37" s="12" t="str">
        <x:v>Action item</x:v>
      </x:c>
      <x:c r="D37" s="12" t="str"/>
      <x:c r="E37" s="12" t="str">
        <x:v>Proposed</x:v>
      </x:c>
      <x:c r="F37" s="12" t="str"/>
      <x:c r="G37" s="12" t="str"/>
      <x:c r="H37" s="12" t="str">
        <x:v>Internal chat feature in Earthdata Forum for SMEs or moderators/contributors.</x:v>
      </x:c>
      <x:c r="I37" s="12" t="str"/>
      <x:c r="J37" s="12" t="str">
        <x:v>SRC-0004</x:v>
      </x:c>
      <x:c r="K37" s="12" t="str">
        <x:v>Section: New Actions and Recommendations; table row 11</x:v>
      </x:c>
    </x:row>
    <x:row r="38">
      <x:c r="A38" s="12" t="str">
        <x:v>RSP-0037</x:v>
      </x:c>
      <x:c r="B38" s="12" t="str">
        <x:v>Add a new filter called "Earth Action Programs" in Earthdata Forum.</x:v>
      </x:c>
      <x:c r="C38" s="12" t="str">
        <x:v>Action item</x:v>
      </x:c>
      <x:c r="D38" s="12" t="str"/>
      <x:c r="E38" s="12" t="str">
        <x:v>Proposed</x:v>
      </x:c>
      <x:c r="F38" s="12" t="str"/>
      <x:c r="G38" s="12" t="str"/>
      <x:c r="H38" s="12" t="str">
        <x:v>Add a new filter called "Earth Action Programs" in Earthdata Forum.</x:v>
      </x:c>
      <x:c r="I38" s="12" t="str"/>
      <x:c r="J38" s="12" t="str">
        <x:v>SRC-0004</x:v>
      </x:c>
      <x:c r="K38" s="12" t="str">
        <x:v>Section: New Actions and Recommendations; table row 12</x:v>
      </x:c>
    </x:row>
    <x:row r="39">
      <x:c r="A39" s="12" t="str">
        <x:v>RSP-0038</x:v>
      </x:c>
      <x:c r="B39" s="12" t="str">
        <x:v>Extend the ticket-to-FAQ process to other GES DISC missions and post them in Earthdata Forum.</x:v>
      </x:c>
      <x:c r="C39" s="12" t="str">
        <x:v>Action item</x:v>
      </x:c>
      <x:c r="D39" s="12" t="str"/>
      <x:c r="E39" s="12" t="str">
        <x:v>Proposed</x:v>
      </x:c>
      <x:c r="F39" s="12" t="str"/>
      <x:c r="G39" s="12" t="str"/>
      <x:c r="H39" s="12" t="str">
        <x:v>Extend the ticket-to-FAQ process to other GES DISC missions and post them in Earthdata Forum.</x:v>
      </x:c>
      <x:c r="I39" s="12" t="str"/>
      <x:c r="J39" s="12" t="str">
        <x:v>SRC-0004</x:v>
      </x:c>
      <x:c r="K39" s="12" t="str">
        <x:v>Section: New Actions and Recommendations; table row 13</x:v>
      </x:c>
    </x:row>
    <x:row r="40">
      <x:c r="A40" s="12" t="str">
        <x:v>RSP-0039</x:v>
      </x:c>
      <x:c r="B40" s="12" t="str">
        <x:v>Provide guidance on how UWG members should review the community data.</x:v>
      </x:c>
      <x:c r="C40" s="12" t="str">
        <x:v>Action item</x:v>
      </x:c>
      <x:c r="D40" s="12" t="str"/>
      <x:c r="E40" s="12" t="str">
        <x:v>Proposed</x:v>
      </x:c>
      <x:c r="F40" s="12" t="str"/>
      <x:c r="G40" s="12" t="str"/>
      <x:c r="H40" s="12" t="str">
        <x:v>Provide guidance on how UWG members should review the community data.</x:v>
      </x:c>
      <x:c r="I40" s="12" t="str"/>
      <x:c r="J40" s="12" t="str">
        <x:v>SRC-0004</x:v>
      </x:c>
      <x:c r="K40" s="12" t="str">
        <x:v>Section: New Actions and Recommendations; table row 15</x:v>
      </x:c>
    </x:row>
    <x:row r="41">
      <x:c r="A41" s="12" t="str">
        <x:v>RSP-0040</x:v>
      </x:c>
      <x:c r="B41" s="12" t="str">
        <x:v>How are we, as a DAAC, building trust with users?</x:v>
      </x:c>
      <x:c r="C41" s="12" t="str">
        <x:v>Action item</x:v>
      </x:c>
      <x:c r="D41" s="12" t="str"/>
      <x:c r="E41" s="12" t="str">
        <x:v>Proposed</x:v>
      </x:c>
      <x:c r="F41" s="12" t="str"/>
      <x:c r="G41" s="12" t="str"/>
      <x:c r="H41" s="12" t="str">
        <x:v>How are we, as a DAAC, building trust with users?</x:v>
      </x:c>
      <x:c r="I41" s="12" t="str"/>
      <x:c r="J41" s="12" t="str">
        <x:v>SRC-0004</x:v>
      </x:c>
      <x:c r="K41" s="12" t="str">
        <x:v>Section: New Actions and Recommendations; table row 17</x:v>
      </x:c>
    </x:row>
    <x:row r="42">
      <x:c r="A42" s="12" t="str">
        <x:v>RSP-0041</x:v>
      </x:c>
      <x:c r="B42" s="12" t="str">
        <x:v>Statistics calculations and reporting in Giovanni would be a helpful capability.</x:v>
      </x:c>
      <x:c r="C42" s="12" t="str">
        <x:v>Action item</x:v>
      </x:c>
      <x:c r="D42" s="12" t="str"/>
      <x:c r="E42" s="12" t="str">
        <x:v>Proposed</x:v>
      </x:c>
      <x:c r="F42" s="12" t="str"/>
      <x:c r="G42" s="12" t="str"/>
      <x:c r="H42" s="12" t="str">
        <x:v>Statistics calculations and reporting in Giovanni would be a helpful capability.</x:v>
      </x:c>
      <x:c r="I42" s="12" t="str"/>
      <x:c r="J42" s="12" t="str">
        <x:v>SRC-0004</x:v>
      </x:c>
      <x:c r="K42" s="12" t="str">
        <x:v>Section: New Actions and Recommendations; table row 19</x:v>
      </x:c>
    </x:row>
    <x:row r="43">
      <x:c r="A43" s="12" t="str">
        <x:v>RSP-0042</x:v>
      </x:c>
      <x:c r="B43" s="12" t="str">
        <x:v>How are datasets for the variables in entry-level Giovanni UI selected?</x:v>
      </x:c>
      <x:c r="C43" s="12" t="str">
        <x:v>Action item</x:v>
      </x:c>
      <x:c r="D43" s="12" t="str"/>
      <x:c r="E43" s="12" t="str">
        <x:v>Proposed</x:v>
      </x:c>
      <x:c r="F43" s="12" t="str"/>
      <x:c r="G43" s="12" t="str"/>
      <x:c r="H43" s="12" t="str">
        <x:v>How are datasets for the variables in entry-level Giovanni UI selected?</x:v>
      </x:c>
      <x:c r="I43" s="12" t="str"/>
      <x:c r="J43" s="12" t="str">
        <x:v>SRC-0004</x:v>
      </x:c>
      <x:c r="K43" s="12" t="str">
        <x:v>Section: New Actions and Recommendations; table row 20</x:v>
      </x:c>
    </x:row>
    <x:row r="44">
      <x:c r="A44" s="12" t="str">
        <x:v>RSP-0043</x:v>
      </x:c>
      <x:c r="B44" s="12" t="str">
        <x:v>Unclear on what prerequisites exist for using GIS (image service) and on GIS license requirement.</x:v>
      </x:c>
      <x:c r="C44" s="12" t="str">
        <x:v>Action item</x:v>
      </x:c>
      <x:c r="D44" s="12" t="str"/>
      <x:c r="E44" s="12" t="str">
        <x:v>Proposed</x:v>
      </x:c>
      <x:c r="F44" s="12" t="str"/>
      <x:c r="G44" s="12" t="str"/>
      <x:c r="H44" s="12" t="str">
        <x:v>Unclear on what prerequisites exist for using GIS (image service) and on GIS license requirement.</x:v>
      </x:c>
      <x:c r="I44" s="12" t="str"/>
      <x:c r="J44" s="12" t="str">
        <x:v>SRC-0004</x:v>
      </x:c>
      <x:c r="K44" s="12" t="str">
        <x:v>Section: New Actions and Recommendations; table row 22</x:v>
      </x:c>
    </x:row>
    <x:row r="45">
      <x:c r="A45" s="12" t="str">
        <x:v>RSP-0044</x:v>
      </x:c>
      <x:c r="B45" s="12" t="str">
        <x:v>Provide publication-dataset metrics to data providers.</x:v>
      </x:c>
      <x:c r="C45" s="12" t="str">
        <x:v>Action item</x:v>
      </x:c>
      <x:c r="D45" s="12" t="str"/>
      <x:c r="E45" s="12" t="str">
        <x:v>Proposed</x:v>
      </x:c>
      <x:c r="F45" s="12" t="str"/>
      <x:c r="G45" s="12" t="str"/>
      <x:c r="H45" s="12" t="str">
        <x:v>Provide publication-dataset metrics to data providers.</x:v>
      </x:c>
      <x:c r="I45" s="12" t="str"/>
      <x:c r="J45" s="12" t="str">
        <x:v>SRC-0004</x:v>
      </x:c>
      <x:c r="K45" s="12" t="str">
        <x:v>Section: New Actions and Recommendations; table row 24</x:v>
      </x:c>
    </x:row>
    <x:row r="46">
      <x:c r="A46" s="12" t="str">
        <x:v>RSP-0045</x:v>
      </x:c>
      <x:c r="B46" s="12" t="str">
        <x:v>UWG suggested Giovanni to be an Enterprise tool.</x:v>
      </x:c>
      <x:c r="C46" s="12" t="str">
        <x:v>Action item</x:v>
      </x:c>
      <x:c r="D46" s="12" t="str"/>
      <x:c r="E46" s="12" t="str">
        <x:v>Proposed</x:v>
      </x:c>
      <x:c r="F46" s="12" t="str"/>
      <x:c r="G46" s="12" t="str"/>
      <x:c r="H46" s="12" t="str">
        <x:v>UWG suggested Giovanni to be an Enterprise tool.</x:v>
      </x:c>
      <x:c r="I46" s="12" t="str"/>
      <x:c r="J46" s="12" t="str">
        <x:v>SRC-0004</x:v>
      </x:c>
      <x:c r="K46" s="12" t="str">
        <x:v>Section: New Actions and Recommendations; table row 26</x:v>
      </x:c>
    </x:row>
    <x:row r="47">
      <x:c r="A47" s="12" t="str">
        <x:v>RSP-0046</x:v>
      </x:c>
      <x:c r="B47" s="12" t="str">
        <x:v>UWG members suggest keeping GrADS and THREDDS servers.</x:v>
      </x:c>
      <x:c r="C47" s="12" t="str">
        <x:v>Action item</x:v>
      </x:c>
      <x:c r="D47" s="12" t="str"/>
      <x:c r="E47" s="12" t="str">
        <x:v>Proposed</x:v>
      </x:c>
      <x:c r="F47" s="12" t="str"/>
      <x:c r="G47" s="12" t="str"/>
      <x:c r="H47" s="12" t="str">
        <x:v>UWG members suggest keeping GrADS and THREDDS servers.</x:v>
      </x:c>
      <x:c r="I47" s="12" t="str"/>
      <x:c r="J47" s="12" t="str">
        <x:v>SRC-0004</x:v>
      </x:c>
      <x:c r="K47" s="12" t="str">
        <x:v>Section: New Actions and Recommendations; table row 27</x:v>
      </x:c>
    </x:row>
    <x:row r="48">
      <x:c r="A48" s="12" t="str">
        <x:v>RSP-0047</x:v>
      </x:c>
      <x:c r="B48" s="12" t="str">
        <x:v>Suggested improvements for Worldview: easier access to files, color bars and changing scales.</x:v>
      </x:c>
      <x:c r="C48" s="12" t="str">
        <x:v>Action item</x:v>
      </x:c>
      <x:c r="D48" s="12" t="str"/>
      <x:c r="E48" s="12" t="str">
        <x:v>Proposed</x:v>
      </x:c>
      <x:c r="F48" s="12" t="str"/>
      <x:c r="G48" s="12" t="str"/>
      <x:c r="H48" s="12" t="str">
        <x:v>Suggested improvements for Worldview: easier access to files, color bars and changing scales.</x:v>
      </x:c>
      <x:c r="I48" s="12" t="str"/>
      <x:c r="J48" s="12" t="str">
        <x:v>SRC-0004</x:v>
      </x:c>
      <x:c r="K48" s="12" t="str">
        <x:v>Section: New Actions and Recommendations; table row 28</x:v>
      </x:c>
    </x:row>
    <x:row r="49">
      <x:c r="A49" s="12" t="str">
        <x:v>RSP-0048</x:v>
      </x:c>
      <x:c r="B49" s="12" t="str">
        <x:v>Suggested improvement in Earthdata Search: Provide subsetting code in Earthdata Search.</x:v>
      </x:c>
      <x:c r="C49" s="12" t="str">
        <x:v>Action item</x:v>
      </x:c>
      <x:c r="D49" s="12" t="str"/>
      <x:c r="E49" s="12" t="str">
        <x:v>Proposed</x:v>
      </x:c>
      <x:c r="F49" s="12" t="str"/>
      <x:c r="G49" s="12" t="str"/>
      <x:c r="H49" s="12" t="str">
        <x:v>Suggested improvement in Earthdata Search: Provide subsetting code in Earthdata Search.</x:v>
      </x:c>
      <x:c r="I49" s="12" t="str"/>
      <x:c r="J49" s="12" t="str">
        <x:v>SRC-0004</x:v>
      </x:c>
      <x:c r="K49" s="12" t="str">
        <x:v>Section: New Actions and Recommendations; table row 29</x:v>
      </x:c>
    </x:row>
    <x:row r="50">
      <x:c r="A50" s="12" t="str">
        <x:v>RSP-0049</x:v>
      </x:c>
      <x:c r="B50" s="12" t="str">
        <x:v>More resources on colocation/comparing multiple datasets together in one application.</x:v>
      </x:c>
      <x:c r="C50" s="12" t="str">
        <x:v>Action item</x:v>
      </x:c>
      <x:c r="D50" s="12" t="str"/>
      <x:c r="E50" s="12" t="str">
        <x:v>Proposed</x:v>
      </x:c>
      <x:c r="F50" s="12" t="str"/>
      <x:c r="G50" s="12" t="str"/>
      <x:c r="H50" s="12" t="str">
        <x:v>More resources on colocation/comparing multiple datasets together in one application.</x:v>
      </x:c>
      <x:c r="I50" s="12" t="str"/>
      <x:c r="J50" s="12" t="str">
        <x:v>SRC-0004</x:v>
      </x:c>
      <x:c r="K50" s="12" t="str">
        <x:v>Section: New Actions and Recommendations; table row 30</x:v>
      </x:c>
    </x:row>
    <x:row r="51">
      <x:c r="A51" s="12" t="str">
        <x:v>RSP-0050</x:v>
      </x:c>
      <x:c r="B51" s="12" t="str">
        <x:v>Converting NetCDF/HDF into GeoTIFF</x:v>
      </x:c>
      <x:c r="C51" s="12" t="str">
        <x:v>Action item</x:v>
      </x:c>
      <x:c r="D51" s="12" t="str"/>
      <x:c r="E51" s="12" t="str">
        <x:v>Proposed</x:v>
      </x:c>
      <x:c r="F51" s="12" t="str"/>
      <x:c r="G51" s="12" t="str"/>
      <x:c r="H51" s="12" t="str">
        <x:v>Converting NetCDF/HDF into GeoTIFF</x:v>
      </x:c>
      <x:c r="I51" s="12" t="str"/>
      <x:c r="J51" s="12" t="str">
        <x:v>SRC-0004</x:v>
      </x:c>
      <x:c r="K51" s="12" t="str">
        <x:v>Section: New Actions and Recommendations; table row 31</x:v>
      </x:c>
    </x:row>
    <x:row r="52">
      <x:c r="A52" s="12" t="str">
        <x:v>RSP-0051</x:v>
      </x:c>
      <x:c r="B52" s="12" t="str">
        <x:v>UWG members interested to know the process by which GES DISC acquires datasets.</x:v>
      </x:c>
      <x:c r="C52" s="12" t="str">
        <x:v>Action item</x:v>
      </x:c>
      <x:c r="D52" s="12" t="str"/>
      <x:c r="E52" s="12" t="str">
        <x:v>Proposed</x:v>
      </x:c>
      <x:c r="F52" s="12" t="str"/>
      <x:c r="G52" s="12" t="str"/>
      <x:c r="H52" s="12" t="str">
        <x:v>UWG members interested to know the process by which GES DISC acquires datasets.</x:v>
      </x:c>
      <x:c r="I52" s="12" t="str"/>
      <x:c r="J52" s="12" t="str">
        <x:v>SRC-0004</x:v>
      </x:c>
      <x:c r="K52" s="12" t="str">
        <x:v>Section: New Actions and Recommendations; table row 33</x:v>
      </x:c>
    </x:row>
    <x:row r="53">
      <x:c r="A53" s="12" t="str">
        <x:v>RSP-0052</x:v>
      </x:c>
      <x:c r="B53" s="12" t="str">
        <x:v>UWG asked about long-term archive of SPoRT datasets which are near real-time.</x:v>
      </x:c>
      <x:c r="C53" s="12" t="str">
        <x:v>Action item</x:v>
      </x:c>
      <x:c r="D53" s="12" t="str"/>
      <x:c r="E53" s="12" t="str">
        <x:v>Proposed</x:v>
      </x:c>
      <x:c r="F53" s="12" t="str"/>
      <x:c r="G53" s="12" t="str"/>
      <x:c r="H53" s="12" t="str">
        <x:v>UWG asked about long-term archive of SPoRT datasets which are near real-time.</x:v>
      </x:c>
      <x:c r="I53" s="12" t="str"/>
      <x:c r="J53" s="12" t="str">
        <x:v>SRC-0004</x:v>
      </x:c>
      <x:c r="K53" s="12" t="str">
        <x:v>Section: New Actions and Recommendations; table row 34</x:v>
      </x:c>
    </x:row>
    <x:row r="54">
      <x:c r="A54" s="12" t="str">
        <x:v>RSP-0053</x:v>
      </x:c>
      <x:c r="B54" s="12" t="str">
        <x:v>Establish communication channel among leads from applications, DAACs, mission application leads, data system leads.</x:v>
      </x:c>
      <x:c r="C54" s="12" t="str">
        <x:v>Action item</x:v>
      </x:c>
      <x:c r="D54" s="12" t="str"/>
      <x:c r="E54" s="12" t="str">
        <x:v>Proposed</x:v>
      </x:c>
      <x:c r="F54" s="12" t="str"/>
      <x:c r="G54" s="12" t="str"/>
      <x:c r="H54" s="12" t="str">
        <x:v>Establish communication channel among leads from applications, DAACs, mission application leads, data system leads.</x:v>
      </x:c>
      <x:c r="I54" s="12" t="str"/>
      <x:c r="J54" s="12" t="str">
        <x:v>SRC-0004</x:v>
      </x:c>
      <x:c r="K54" s="12" t="str">
        <x:v>Section: New Actions and Recommendations; table row 35</x:v>
      </x:c>
    </x:row>
    <x:row r="55">
      <x:c r="A55" s="12" t="str">
        <x:v>RSP-0054</x:v>
      </x:c>
      <x:c r="B55" s="12" t="str">
        <x:v>Connect ARSET training material to datasets/tools/etc. on our website and via social media. Build each other’s material and emerging needs.</x:v>
      </x:c>
      <x:c r="C55" s="12" t="str">
        <x:v>Action item</x:v>
      </x:c>
      <x:c r="D55" s="12" t="str"/>
      <x:c r="E55" s="12" t="str">
        <x:v>Proposed</x:v>
      </x:c>
      <x:c r="F55" s="12" t="str"/>
      <x:c r="G55" s="12" t="str"/>
      <x:c r="H55" s="12" t="str">
        <x:v>Connect ARSET training material to datasets/tools/etc. on our website and via social media. Build each other’s material and emerging needs.</x:v>
      </x:c>
      <x:c r="I55" s="12" t="str"/>
      <x:c r="J55" s="12" t="str">
        <x:v>SRC-0004</x:v>
      </x:c>
      <x:c r="K55" s="12" t="str">
        <x:v>Section: New Actions and Recommendations; table row 37</x:v>
      </x:c>
    </x:row>
    <x:row r="56">
      <x:c r="A56" s="12" t="str">
        <x:v>RSP-0055</x:v>
      </x:c>
      <x:c r="B56" s="12" t="str">
        <x:v>A UWG member shared cloud use cases (code in Jupyter Notebooks).</x:v>
      </x:c>
      <x:c r="C56" s="12" t="str">
        <x:v>Action item</x:v>
      </x:c>
      <x:c r="D56" s="12" t="str"/>
      <x:c r="E56" s="12" t="str">
        <x:v>Proposed</x:v>
      </x:c>
      <x:c r="F56" s="12" t="str"/>
      <x:c r="G56" s="12" t="str"/>
      <x:c r="H56" s="12" t="str">
        <x:v>A UWG member shared cloud use cases (code in Jupyter Notebooks).</x:v>
      </x:c>
      <x:c r="I56" s="12" t="str"/>
      <x:c r="J56" s="12" t="str">
        <x:v>SRC-0004</x:v>
      </x:c>
      <x:c r="K56" s="12" t="str">
        <x:v>Section: New Actions and Recommendations; table row 39</x:v>
      </x:c>
    </x:row>
    <x:row r="57">
      <x:c r="A57" s="12" t="str">
        <x:v>RSP-0056</x:v>
      </x:c>
      <x:c r="B57" s="12" t="str">
        <x:v>TROPESS data provider shared published Jupyter Notebooks.</x:v>
      </x:c>
      <x:c r="C57" s="12" t="str">
        <x:v>Action item</x:v>
      </x:c>
      <x:c r="D57" s="12" t="str"/>
      <x:c r="E57" s="12" t="str">
        <x:v>Proposed</x:v>
      </x:c>
      <x:c r="F57" s="12" t="str"/>
      <x:c r="G57" s="12" t="str"/>
      <x:c r="H57" s="12" t="str">
        <x:v>TROPESS data provider shared published Jupyter Notebooks.</x:v>
      </x:c>
      <x:c r="I57" s="12" t="str"/>
      <x:c r="J57" s="12" t="str">
        <x:v>SRC-0004</x:v>
      </x:c>
      <x:c r="K57" s="12" t="str">
        <x:v>Section: New Actions and Recommendations; table row 40</x:v>
      </x:c>
    </x:row>
    <x:row r="58">
      <x:c r="A58" s="12" t="str">
        <x:v>RSP-0057</x:v>
      </x:c>
      <x:c r="B58" s="12" t="str">
        <x:v>Unbound recommendations: Increase training opportunities. Provide tutorials, site guidance, and additional resources. Modify data products for low-internet access. Improve search and filter functions. Use common language</x:v>
      </x:c>
      <x:c r="C58" s="12" t="str">
        <x:v>Action item</x:v>
      </x:c>
      <x:c r="D58" s="12" t="str"/>
      <x:c r="E58" s="12" t="str">
        <x:v>Proposed</x:v>
      </x:c>
      <x:c r="F58" s="12" t="str"/>
      <x:c r="G58" s="12" t="str"/>
      <x:c r="H58" s="12" t="str">
        <x:v>Unbound recommendations: Increase training opportunities. Provide tutorials, site guidance, and additional resources. Modify data products for low-internet access. Improve search and filter functions. Use common language. Make steps re-traceable. Enhance data availability in remote regions without reliable internet. Increase compatibility with GIS and other software. Increase interlinking resources with other NASA data and publicly accessed data.</x:v>
      </x:c>
      <x:c r="I58" s="12" t="str"/>
      <x:c r="J58" s="12" t="str">
        <x:v>SRC-0004</x:v>
      </x:c>
      <x:c r="K58" s="12" t="str">
        <x:v>Section: New Actions and Recommendations; table row 42</x:v>
      </x:c>
    </x:row>
    <x:row r="59">
      <x:c r="A59" s="12" t="str">
        <x:v>RSP-0058</x:v>
      </x:c>
      <x:c r="B59" s="12" t="str">
        <x:v>UWG suggested to develop a How-To on converting hourly to daily mean using subsetting and regridding service.</x:v>
      </x:c>
      <x:c r="C59" s="12" t="str">
        <x:v>Action item</x:v>
      </x:c>
      <x:c r="D59" s="12" t="str"/>
      <x:c r="E59" s="12" t="str">
        <x:v>Proposed</x:v>
      </x:c>
      <x:c r="F59" s="12" t="str"/>
      <x:c r="G59" s="12" t="str"/>
      <x:c r="H59" s="12" t="str">
        <x:v>UWG suggested to develop a How-To on converting hourly to daily mean using subsetting and regridding service.</x:v>
      </x:c>
      <x:c r="I59" s="12" t="str"/>
      <x:c r="J59" s="12" t="str">
        <x:v>SRC-0004</x:v>
      </x:c>
      <x:c r="K59" s="12" t="str">
        <x:v>Section: New Actions and Recommendations; table row 43</x:v>
      </x:c>
    </x:row>
    <x:row r="60">
      <x:c r="A60" s="12" t="str">
        <x:v>RSP-0059</x:v>
      </x:c>
      <x:c r="B60" s="12" t="str">
        <x:v>UWG members uncertain about how the data provider/science team page will be affected by web unification.</x:v>
      </x:c>
      <x:c r="C60" s="12" t="str">
        <x:v>Action item</x:v>
      </x:c>
      <x:c r="D60" s="12" t="str"/>
      <x:c r="E60" s="12" t="str">
        <x:v>Proposed</x:v>
      </x:c>
      <x:c r="F60" s="12" t="str"/>
      <x:c r="G60" s="12" t="str"/>
      <x:c r="H60" s="12" t="str">
        <x:v>UWG members uncertain about how the data provider/science team page will be affected by web unification.</x:v>
      </x:c>
      <x:c r="I60" s="12" t="str"/>
      <x:c r="J60" s="12" t="str">
        <x:v>SRC-0004</x:v>
      </x:c>
      <x:c r="K60" s="12" t="str">
        <x:v>Section: New Actions and Recommendations; table row 45</x:v>
      </x:c>
    </x:row>
    <x:row r="61">
      <x:c r="A61" s="12" t="str">
        <x:v>RSP-0060</x:v>
      </x:c>
      <x:c r="B61" s="12" t="str">
        <x:v>Promote AppEEARS as an enterprise tool.</x:v>
      </x:c>
      <x:c r="C61" s="12" t="str">
        <x:v>Action item</x:v>
      </x:c>
      <x:c r="D61" s="12" t="str"/>
      <x:c r="E61" s="12" t="str">
        <x:v>Proposed</x:v>
      </x:c>
      <x:c r="F61" s="12" t="str"/>
      <x:c r="G61" s="12" t="str"/>
      <x:c r="H61" s="12" t="str">
        <x:v>Promote AppEEARS as an enterprise tool.</x:v>
      </x:c>
      <x:c r="I61" s="12" t="str"/>
      <x:c r="J61" s="12" t="str">
        <x:v>SRC-0004</x:v>
      </x:c>
      <x:c r="K61" s="12" t="str">
        <x:v>Section: New Actions and Recommendations; table row 2</x:v>
      </x:c>
    </x:row>
    <x:row r="62">
      <x:c r="A62" s="12" t="str">
        <x:v>RSP-0061</x:v>
      </x:c>
      <x:c r="B62" s="12" t="str">
        <x:v>Continue adding new high impact products to AppEEARS.</x:v>
      </x:c>
      <x:c r="C62" s="12" t="str">
        <x:v>Action item</x:v>
      </x:c>
      <x:c r="D62" s="12" t="str"/>
      <x:c r="E62" s="12" t="str">
        <x:v>Proposed</x:v>
      </x:c>
      <x:c r="F62" s="12" t="str"/>
      <x:c r="G62" s="12" t="str"/>
      <x:c r="H62" s="12" t="str">
        <x:v>Continue adding new high impact products to AppEEARS.</x:v>
      </x:c>
      <x:c r="I62" s="12" t="str"/>
      <x:c r="J62" s="12" t="str">
        <x:v>SRC-0004</x:v>
      </x:c>
      <x:c r="K62" s="12" t="str">
        <x:v>Section: New Actions and Recommendations; table row 3</x:v>
      </x:c>
    </x:row>
    <x:row r="63">
      <x:c r="A63" s="12" t="str">
        <x:v>RSP-0062</x:v>
      </x:c>
      <x:c r="B63" s="12" t="str">
        <x:v>Continue adding new high impact features to AppEEARS.</x:v>
      </x:c>
      <x:c r="C63" s="12" t="str">
        <x:v>Action item</x:v>
      </x:c>
      <x:c r="D63" s="12" t="str"/>
      <x:c r="E63" s="12" t="str">
        <x:v>Proposed</x:v>
      </x:c>
      <x:c r="F63" s="12" t="str"/>
      <x:c r="G63" s="12" t="str"/>
      <x:c r="H63" s="12" t="str">
        <x:v>Continue adding new high impact features to AppEEARS.</x:v>
      </x:c>
      <x:c r="I63" s="12" t="str"/>
      <x:c r="J63" s="12" t="str">
        <x:v>SRC-0004</x:v>
      </x:c>
      <x:c r="K63" s="12" t="str">
        <x:v>Section: New Actions and Recommendations; table row 4</x:v>
      </x:c>
    </x:row>
    <x:row r="64">
      <x:c r="A64" s="12" t="str">
        <x:v>RSP-0063</x:v>
      </x:c>
      <x:c r="B64" s="12" t="str">
        <x:v>Request Usage Metrics</x:v>
      </x:c>
      <x:c r="C64" s="12" t="str">
        <x:v>Action item</x:v>
      </x:c>
      <x:c r="D64" s="12" t="str"/>
      <x:c r="E64" s="12" t="str">
        <x:v>Proposed</x:v>
      </x:c>
      <x:c r="F64" s="12" t="str"/>
      <x:c r="G64" s="12" t="str"/>
      <x:c r="H64" s="12" t="str">
        <x:v>Request Usage Metrics</x:v>
      </x:c>
      <x:c r="I64" s="12" t="str"/>
      <x:c r="J64" s="12" t="str">
        <x:v>SRC-0004</x:v>
      </x:c>
      <x:c r="K64" s="12" t="str">
        <x:v>Section: New Actions and Recommendations; table row 6</x:v>
      </x:c>
    </x:row>
    <x:row r="65">
      <x:c r="A65" s="12" t="str">
        <x:v>RSP-0064</x:v>
      </x:c>
      <x:c r="B65" s="12" t="str">
        <x:v>Provide Data Citation Best Practices</x:v>
      </x:c>
      <x:c r="C65" s="12" t="str">
        <x:v>Action item</x:v>
      </x:c>
      <x:c r="D65" s="12" t="str"/>
      <x:c r="E65" s="12" t="str">
        <x:v>Proposed</x:v>
      </x:c>
      <x:c r="F65" s="12" t="str"/>
      <x:c r="G65" s="12" t="str"/>
      <x:c r="H65" s="12" t="str">
        <x:v>Provide Data Citation Best Practices</x:v>
      </x:c>
      <x:c r="I65" s="12" t="str"/>
      <x:c r="J65" s="12" t="str">
        <x:v>SRC-0004</x:v>
      </x:c>
      <x:c r="K65" s="12" t="str">
        <x:v>Section: New Actions and Recommendations; table row 7</x:v>
      </x:c>
    </x:row>
    <x:row r="66">
      <x:c r="A66" s="12" t="str">
        <x:v>RSP-0065</x:v>
      </x:c>
      <x:c r="B66" s="12" t="str">
        <x:v>Notify once new versions are available.</x:v>
      </x:c>
      <x:c r="C66" s="12" t="str">
        <x:v>Action item</x:v>
      </x:c>
      <x:c r="D66" s="12" t="str"/>
      <x:c r="E66" s="12" t="str">
        <x:v>Proposed</x:v>
      </x:c>
      <x:c r="F66" s="12" t="str"/>
      <x:c r="G66" s="12" t="str"/>
      <x:c r="H66" s="12" t="str">
        <x:v>Notify once new versions are available.</x:v>
      </x:c>
      <x:c r="I66" s="12" t="str"/>
      <x:c r="J66" s="12" t="str">
        <x:v>SRC-0004</x:v>
      </x:c>
      <x:c r="K66" s="12" t="str">
        <x:v>Section: New Actions and Recommendations; table row 8</x:v>
      </x:c>
    </x:row>
    <x:row r="67">
      <x:c r="A67" s="12" t="str">
        <x:v>RSP-0066</x:v>
      </x:c>
      <x:c r="B67" s="12" t="str">
        <x:v>Create a DAAC Selection Progress Tracker.</x:v>
      </x:c>
      <x:c r="C67" s="12" t="str">
        <x:v>Action item</x:v>
      </x:c>
      <x:c r="D67" s="12" t="str"/>
      <x:c r="E67" s="12" t="str">
        <x:v>Proposed</x:v>
      </x:c>
      <x:c r="F67" s="12" t="str"/>
      <x:c r="G67" s="12" t="str"/>
      <x:c r="H67" s="12" t="str">
        <x:v>Create a DAAC Selection Progress Tracker.</x:v>
      </x:c>
      <x:c r="I67" s="12" t="str"/>
      <x:c r="J67" s="12" t="str">
        <x:v>SRC-0004</x:v>
      </x:c>
      <x:c r="K67" s="12" t="str">
        <x:v>Section: New Actions and Recommendations; table row 10</x:v>
      </x:c>
    </x:row>
    <x:row r="68">
      <x:c r="A68" s="12" t="str">
        <x:v>RSP-0067</x:v>
      </x:c>
      <x:c r="B68" s="12" t="str">
        <x:v>Create a one-stop-shop for guidelines on standard formats, compliant metadata, OSDMP templates, etc.</x:v>
      </x:c>
      <x:c r="C68" s="12" t="str">
        <x:v>Action item</x:v>
      </x:c>
      <x:c r="D68" s="12" t="str"/>
      <x:c r="E68" s="12" t="str">
        <x:v>Proposed</x:v>
      </x:c>
      <x:c r="F68" s="12" t="str"/>
      <x:c r="G68" s="12" t="str"/>
      <x:c r="H68" s="12" t="str">
        <x:v>Create a one-stop-shop for guidelines on standard formats, compliant metadata, OSDMP templates, etc.</x:v>
      </x:c>
      <x:c r="I68" s="12" t="str"/>
      <x:c r="J68" s="12" t="str">
        <x:v>SRC-0004</x:v>
      </x:c>
      <x:c r="K68" s="12" t="str">
        <x:v>Section: New Actions and Recommendations; table row 11</x:v>
      </x:c>
    </x:row>
    <x:row r="69">
      <x:c r="A69" s="12" t="str">
        <x:v>RSP-0068</x:v>
      </x:c>
      <x:c r="B69" s="12" t="str">
        <x:v>Provide automated compliance checkers.</x:v>
      </x:c>
      <x:c r="C69" s="12" t="str">
        <x:v>Action item</x:v>
      </x:c>
      <x:c r="D69" s="12" t="str"/>
      <x:c r="E69" s="12" t="str">
        <x:v>Proposed</x:v>
      </x:c>
      <x:c r="F69" s="12" t="str"/>
      <x:c r="G69" s="12" t="str"/>
      <x:c r="H69" s="12" t="str">
        <x:v>Provide automated compliance checkers.</x:v>
      </x:c>
      <x:c r="I69" s="12" t="str"/>
      <x:c r="J69" s="12" t="str">
        <x:v>SRC-0004</x:v>
      </x:c>
      <x:c r="K69" s="12" t="str">
        <x:v>Section: New Actions and Recommendations; table row 12</x:v>
      </x:c>
    </x:row>
    <x:row r="70">
      <x:c r="A70" s="12" t="str">
        <x:v>RSP-0069</x:v>
      </x:c>
      <x:c r="B70" s="12" t="str">
        <x:v>Improve product version discoverability in Earthdata Search by always listing the most recent version first and to allow sorting by publication date.</x:v>
      </x:c>
      <x:c r="C70" s="12" t="str">
        <x:v>Action item</x:v>
      </x:c>
      <x:c r="D70" s="12" t="str"/>
      <x:c r="E70" s="12" t="str">
        <x:v>Proposed</x:v>
      </x:c>
      <x:c r="F70" s="12" t="str"/>
      <x:c r="G70" s="12" t="str"/>
      <x:c r="H70" s="12" t="str">
        <x:v>Improve product version discoverability in Earthdata Search by always listing the most recent version first and to allow sorting by publication date.</x:v>
      </x:c>
      <x:c r="I70" s="12" t="str"/>
      <x:c r="J70" s="12" t="str">
        <x:v>SRC-0004</x:v>
      </x:c>
      <x:c r="K70" s="12" t="str">
        <x:v>Section: New Actions and Recommendations; table row 14</x:v>
      </x:c>
    </x:row>
    <x:row r="71">
      <x:c r="A71" s="12" t="str">
        <x:v>RSP-0070</x:v>
      </x:c>
      <x:c r="B71" s="12" t="str">
        <x:v>Move forward with the ESDIS DAAC UWG Summit Meeting idea, and they request that all UWG members be given an opportunity to listen in virtually.</x:v>
      </x:c>
      <x:c r="C71" s="12" t="str">
        <x:v>Action item</x:v>
      </x:c>
      <x:c r="D71" s="12" t="str"/>
      <x:c r="E71" s="12" t="str">
        <x:v>Proposed</x:v>
      </x:c>
      <x:c r="F71" s="12" t="str"/>
      <x:c r="G71" s="12" t="str"/>
      <x:c r="H71" s="12" t="str">
        <x:v>Move forward with the ESDIS DAAC UWG Summit Meeting idea, and they request that all UWG members be given an opportunity to listen in virtually.</x:v>
      </x:c>
      <x:c r="I71" s="12" t="str"/>
      <x:c r="J71" s="12" t="str">
        <x:v>SRC-0004</x:v>
      </x:c>
      <x:c r="K71" s="12" t="str">
        <x:v>Section: New Actions and Recommendations; table row 16</x:v>
      </x:c>
    </x:row>
    <x:row r="72">
      <x:c r="A72" s="12" t="str">
        <x:v>RSP-0071</x:v>
      </x:c>
      <x:c r="B72" s="12" t="str">
        <x:v>Continue collaborating with the NASA Earthdata team (via ESDIS EUMSO) to share and highlight relevant user stories.</x:v>
      </x:c>
      <x:c r="C72" s="12" t="str">
        <x:v>Action item</x:v>
      </x:c>
      <x:c r="D72" s="12" t="str"/>
      <x:c r="E72" s="12" t="str">
        <x:v>Proposed</x:v>
      </x:c>
      <x:c r="F72" s="12" t="str"/>
      <x:c r="G72" s="12" t="str"/>
      <x:c r="H72" s="12" t="str">
        <x:v>Continue collaborating with the NASA Earthdata team (via ESDIS EUMSO) to share and highlight relevant user stories.</x:v>
      </x:c>
      <x:c r="I72" s="12" t="str"/>
      <x:c r="J72" s="12" t="str">
        <x:v>SRC-0004</x:v>
      </x:c>
      <x:c r="K72" s="12" t="str">
        <x:v>Section: New Actions and Recommendations; table row 18</x:v>
      </x:c>
    </x:row>
    <x:row r="73">
      <x:c r="A73" s="12" t="str">
        <x:v>RSP-0072</x:v>
      </x:c>
      <x:c r="B73" s="12" t="str">
        <x:v>Create content both notifying users that ASTER and MODIS will be ceasing forward processing in the future and helping users transition to other sources of data (VIIRS, HLS, ECOSTRESS, etc.)</x:v>
      </x:c>
      <x:c r="C73" s="12" t="str">
        <x:v>Action item</x:v>
      </x:c>
      <x:c r="D73" s="12" t="str"/>
      <x:c r="E73" s="12" t="str">
        <x:v>Proposed</x:v>
      </x:c>
      <x:c r="F73" s="12" t="str"/>
      <x:c r="G73" s="12" t="str"/>
      <x:c r="H73" s="12" t="str">
        <x:v>Create content both notifying users that ASTER and MODIS will be ceasing forward processing in the future and helping users transition to other sources of data (VIIRS, HLS, ECOSTRESS, etc.)</x:v>
      </x:c>
      <x:c r="I73" s="12" t="str"/>
      <x:c r="J73" s="12" t="str">
        <x:v>SRC-0004</x:v>
      </x:c>
      <x:c r="K73" s="12" t="str">
        <x:v>Section: New Actions and Recommendations; table row 19</x:v>
      </x:c>
    </x:row>
    <x:row r="74">
      <x:c r="A74" s="12" t="str">
        <x:v>RSP-0073</x:v>
      </x:c>
      <x:c r="B74" s="12" t="str">
        <x:v>Continue highlighting the synergistic use of TIR and VSWIR data to support the current ECOTRESS and EMIT missions and future SBG mission.</x:v>
      </x:c>
      <x:c r="C74" s="12" t="str">
        <x:v>Action item</x:v>
      </x:c>
      <x:c r="D74" s="12" t="str"/>
      <x:c r="E74" s="12" t="str">
        <x:v>Proposed</x:v>
      </x:c>
      <x:c r="F74" s="12" t="str"/>
      <x:c r="G74" s="12" t="str"/>
      <x:c r="H74" s="12" t="str">
        <x:v>Continue highlighting the synergistic use of TIR and VSWIR data to support the current ECOTRESS and EMIT missions and future SBG mission.</x:v>
      </x:c>
      <x:c r="I74" s="12" t="str"/>
      <x:c r="J74" s="12" t="str">
        <x:v>SRC-0004</x:v>
      </x:c>
      <x:c r="K74" s="12" t="str">
        <x:v>Section: New Actions and Recommendations; table row 20</x:v>
      </x:c>
    </x:row>
    <x:row r="75">
      <x:c r="A75" s="12" t="str">
        <x:v>RSP-0074</x:v>
      </x:c>
      <x:c r="B75" s="12" t="str">
        <x:v>Provide webinars and/or workshops for the geology user community to expand use of LP DAAC supported products within that user community.</x:v>
      </x:c>
      <x:c r="C75" s="12" t="str">
        <x:v>Action item</x:v>
      </x:c>
      <x:c r="D75" s="12" t="str"/>
      <x:c r="E75" s="12" t="str">
        <x:v>Proposed</x:v>
      </x:c>
      <x:c r="F75" s="12" t="str"/>
      <x:c r="G75" s="12" t="str"/>
      <x:c r="H75" s="12" t="str">
        <x:v>Provide webinars and/or workshops for the geology user community to expand use of LP DAAC supported products within that user community.</x:v>
      </x:c>
      <x:c r="I75" s="12" t="str"/>
      <x:c r="J75" s="12" t="str">
        <x:v>SRC-0004</x:v>
      </x:c>
      <x:c r="K75" s="12" t="str">
        <x:v>Section: New Actions and Recommendations; table row 21</x:v>
      </x:c>
    </x:row>
    <x:row r="76">
      <x:c r="A76" s="12" t="str">
        <x:v>RSP-0075</x:v>
      </x:c>
      <x:c r="B76" s="12" t="str">
        <x:v>The LP DAAC UWG appreciates LP DAAC support at conferences and meetings and recommends continuing to support conferences and meetings relevant to LP DAAC-supported missions.</x:v>
      </x:c>
      <x:c r="C76" s="12" t="str">
        <x:v>Action item</x:v>
      </x:c>
      <x:c r="D76" s="12" t="str"/>
      <x:c r="E76" s="12" t="str">
        <x:v>Proposed</x:v>
      </x:c>
      <x:c r="F76" s="12" t="str"/>
      <x:c r="G76" s="12" t="str"/>
      <x:c r="H76" s="12" t="str">
        <x:v>The LP DAAC UWG appreciates LP DAAC support at conferences and meetings and recommends continuing to support conferences and meetings relevant to LP DAAC-supported missions.</x:v>
      </x:c>
      <x:c r="I76" s="12" t="str"/>
      <x:c r="J76" s="12" t="str">
        <x:v>SRC-0004</x:v>
      </x:c>
      <x:c r="K76" s="12" t="str">
        <x:v>Section: New Actions and Recommendations; table row 22</x:v>
      </x:c>
    </x:row>
    <x:row r="77">
      <x:c r="A77" s="12" t="str">
        <x:v>RSP-0076</x:v>
      </x:c>
      <x:c r="B77" s="12" t="str">
        <x:v>The LP DAAC UWG recommends creating R equivalent tutorials of existing Python resources.</x:v>
      </x:c>
      <x:c r="C77" s="12" t="str">
        <x:v>Action item</x:v>
      </x:c>
      <x:c r="D77" s="12" t="str"/>
      <x:c r="E77" s="12" t="str">
        <x:v>Proposed</x:v>
      </x:c>
      <x:c r="F77" s="12" t="str"/>
      <x:c r="G77" s="12" t="str"/>
      <x:c r="H77" s="12" t="str">
        <x:v>The LP DAAC UWG recommends creating R equivalent tutorials of existing Python resources.</x:v>
      </x:c>
      <x:c r="I77" s="12" t="str"/>
      <x:c r="J77" s="12" t="str">
        <x:v>SRC-0004</x:v>
      </x:c>
      <x:c r="K77" s="12" t="str">
        <x:v>Section: New Actions and Recommendations; table row 24</x:v>
      </x:c>
    </x:row>
    <x:row r="78">
      <x:c r="A78" s="12" t="str">
        <x:v>RSP-0077</x:v>
      </x:c>
      <x:c r="B78" s="12" t="str">
        <x:v>Incorporate SHIFT data into existing VITALS tutorials, add additional tutorials for HLS, GEDI.</x:v>
      </x:c>
      <x:c r="C78" s="12" t="str">
        <x:v>Action item</x:v>
      </x:c>
      <x:c r="D78" s="12" t="str"/>
      <x:c r="E78" s="12" t="str">
        <x:v>Proposed</x:v>
      </x:c>
      <x:c r="F78" s="12" t="str"/>
      <x:c r="G78" s="12" t="str"/>
      <x:c r="H78" s="12" t="str">
        <x:v>Incorporate SHIFT data into existing VITALS tutorials, add additional tutorials for HLS, GEDI.</x:v>
      </x:c>
      <x:c r="I78" s="12" t="str"/>
      <x:c r="J78" s="12" t="str">
        <x:v>SRC-0004</x:v>
      </x:c>
      <x:c r="K78" s="12" t="str">
        <x:v>Section: New Actions and Recommendations; table row 25</x:v>
      </x:c>
    </x:row>
    <x:row r="79">
      <x:c r="A79" s="12" t="str">
        <x:v>RSP-0078</x:v>
      </x:c>
      <x:c r="B79" s="12" t="str">
        <x:v>Work with other DAACs to increase the use of cross-DAAC product harmonization and data fusion, including the combined use of “different” data (ex: SAR and Optical, Optical and Lidar, etc.).</x:v>
      </x:c>
      <x:c r="C79" s="12" t="str">
        <x:v>Action item</x:v>
      </x:c>
      <x:c r="D79" s="12" t="str"/>
      <x:c r="E79" s="12" t="str">
        <x:v>Proposed</x:v>
      </x:c>
      <x:c r="F79" s="12" t="str"/>
      <x:c r="G79" s="12" t="str"/>
      <x:c r="H79" s="12" t="str">
        <x:v>Work with other DAACs to increase the use of cross-DAAC product harmonization and data fusion, including the combined use of “different” data (ex: SAR and Optical, Optical and Lidar, etc.).</x:v>
      </x:c>
      <x:c r="I79" s="12" t="str"/>
      <x:c r="J79" s="12" t="str">
        <x:v>SRC-0004</x:v>
      </x:c>
      <x:c r="K79" s="12" t="str">
        <x:v>Section: New Actions and Recommendations; table row 26</x:v>
      </x:c>
    </x:row>
    <x:row r="80">
      <x:c r="A80" s="12" t="str">
        <x:v>RSP-0079</x:v>
      </x:c>
      <x:c r="B80" s="12" t="str">
        <x:v>Continue collaborating with supported missions on science enablement activities.</x:v>
      </x:c>
      <x:c r="C80" s="12" t="str">
        <x:v>Action item</x:v>
      </x:c>
      <x:c r="D80" s="12" t="str"/>
      <x:c r="E80" s="12" t="str">
        <x:v>Proposed</x:v>
      </x:c>
      <x:c r="F80" s="12" t="str"/>
      <x:c r="G80" s="12" t="str"/>
      <x:c r="H80" s="12" t="str">
        <x:v>Continue collaborating with supported missions on science enablement activities.</x:v>
      </x:c>
      <x:c r="I80" s="12" t="str"/>
      <x:c r="J80" s="12" t="str">
        <x:v>SRC-0004</x:v>
      </x:c>
      <x:c r="K80" s="12" t="str">
        <x:v>Section: New Actions and Recommendations; table row 27</x:v>
      </x:c>
    </x:row>
    <x:row r="81">
      <x:c r="A81" s="12" t="str">
        <x:v>RSP-0080</x:v>
      </x:c>
      <x:c r="B81" s="12" t="str">
        <x:v>Create StoryMaps as another science communication content type.</x:v>
      </x:c>
      <x:c r="C81" s="12" t="str">
        <x:v>Action item</x:v>
      </x:c>
      <x:c r="D81" s="12" t="str"/>
      <x:c r="E81" s="12" t="str">
        <x:v>Proposed</x:v>
      </x:c>
      <x:c r="F81" s="12" t="str"/>
      <x:c r="G81" s="12" t="str"/>
      <x:c r="H81" s="12" t="str">
        <x:v>Create StoryMaps as another science communication content type.</x:v>
      </x:c>
      <x:c r="I81" s="12" t="str"/>
      <x:c r="J81" s="12" t="str">
        <x:v>SRC-0004</x:v>
      </x:c>
      <x:c r="K81" s="12" t="str">
        <x:v>Section: New Actions and Recommendations; table row 28</x:v>
      </x:c>
    </x:row>
    <x:row r="82">
      <x:c r="A82" s="12" t="str">
        <x:v>RSP-0081</x:v>
      </x:c>
      <x:c r="B82" s="12" t="str">
        <x:v>Continue Supporting early adopter activities for new missions (ex: SBG).</x:v>
      </x:c>
      <x:c r="C82" s="12" t="str">
        <x:v>Action item</x:v>
      </x:c>
      <x:c r="D82" s="12" t="str"/>
      <x:c r="E82" s="12" t="str">
        <x:v>Proposed</x:v>
      </x:c>
      <x:c r="F82" s="12" t="str"/>
      <x:c r="G82" s="12" t="str"/>
      <x:c r="H82" s="12" t="str">
        <x:v>Continue Supporting early adopter activities for new missions (ex: SBG).</x:v>
      </x:c>
      <x:c r="I82" s="12" t="str"/>
      <x:c r="J82" s="12" t="str">
        <x:v>SRC-0004</x:v>
      </x:c>
      <x:c r="K82" s="12" t="str">
        <x:v>Section: New Actions and Recommendations; table row 30</x:v>
      </x:c>
    </x:row>
    <x:row r="83">
      <x:c r="A83" s="12" t="str">
        <x:v>RSP-0082</x:v>
      </x:c>
      <x:c r="B83" s="12" t="str">
        <x:v>The LP DAAC UWG recommends that LP DAAC onboard into Earthdata Pub.</x:v>
      </x:c>
      <x:c r="C83" s="12" t="str">
        <x:v>Action item</x:v>
      </x:c>
      <x:c r="D83" s="12" t="str"/>
      <x:c r="E83" s="12" t="str">
        <x:v>Proposed</x:v>
      </x:c>
      <x:c r="F83" s="12" t="str"/>
      <x:c r="G83" s="12" t="str"/>
      <x:c r="H83" s="12" t="str">
        <x:v>The LP DAAC UWG recommends that LP DAAC onboard into Earthdata Pub.</x:v>
      </x:c>
      <x:c r="I83" s="12" t="str"/>
      <x:c r="J83" s="12" t="str">
        <x:v>SRC-0004</x:v>
      </x:c>
      <x:c r="K83" s="12" t="str">
        <x:v>Section: New Actions and Recommendations; table row 32</x:v>
      </x:c>
    </x:row>
    <x:row r="84">
      <x:c r="A84" s="12" t="str">
        <x:v>RSP-0083</x:v>
      </x:c>
      <x:c r="B84" s="12" t="str">
        <x:v>The LP DAAC UWG is supportive of the NASA Earthdata GIS Team (EGIST) integrating ASTER GDEM and OPERA DIST-ALERT products into the platform.</x:v>
      </x:c>
      <x:c r="C84" s="12" t="str">
        <x:v>Action item</x:v>
      </x:c>
      <x:c r="D84" s="12" t="str"/>
      <x:c r="E84" s="12" t="str">
        <x:v>Proposed</x:v>
      </x:c>
      <x:c r="F84" s="12" t="str"/>
      <x:c r="G84" s="12" t="str"/>
      <x:c r="H84" s="12" t="str">
        <x:v>The LP DAAC UWG is supportive of the NASA Earthdata GIS Team (EGIST) integrating ASTER GDEM and OPERA DIST-ALERT products into the platform.</x:v>
      </x:c>
      <x:c r="I84" s="12" t="str"/>
      <x:c r="J84" s="12" t="str">
        <x:v>SRC-0004</x:v>
      </x:c>
      <x:c r="K84" s="12" t="str">
        <x:v>Section: New Actions and Recommendations; table row 34</x:v>
      </x:c>
    </x:row>
    <x:row r="85">
      <x:c r="A85" s="12" t="str">
        <x:v>RSP-0084</x:v>
      </x:c>
      <x:c r="B85" s="12" t="str">
        <x:v>The LP DAAC UWG recommends providing additional information on EGIS, Visualization, Exploration, and Data Analysis (VEDA), and the NASA – IBM Geospatial Foundational Model.</x:v>
      </x:c>
      <x:c r="C85" s="12" t="str">
        <x:v>Action item</x:v>
      </x:c>
      <x:c r="D85" s="12" t="str"/>
      <x:c r="E85" s="12" t="str">
        <x:v>Proposed</x:v>
      </x:c>
      <x:c r="F85" s="12" t="str"/>
      <x:c r="G85" s="12" t="str"/>
      <x:c r="H85" s="12" t="str">
        <x:v>The LP DAAC UWG recommends providing additional information on EGIS, Visualization, Exploration, and Data Analysis (VEDA), and the NASA – IBM Geospatial Foundational Model.</x:v>
      </x:c>
      <x:c r="I85" s="12" t="str"/>
      <x:c r="J85" s="12" t="str">
        <x:v>SRC-0004</x:v>
      </x:c>
      <x:c r="K85" s="12" t="str">
        <x:v>Section: New Actions and Recommendations; table row 36</x:v>
      </x:c>
    </x:row>
    <x:row r="86">
      <x:c r="A86" s="12" t="str">
        <x:v>RSP-0085</x:v>
      </x:c>
      <x:c r="B86" s="12" t="str">
        <x:v>The LP DAAC UWG recommends lightning talk sessions where UWG members can highlight their use of LP DAAC data, tools, and services, and provide feedback at future meetings.</x:v>
      </x:c>
      <x:c r="C86" s="12" t="str">
        <x:v>Action item</x:v>
      </x:c>
      <x:c r="D86" s="12" t="str"/>
      <x:c r="E86" s="12" t="str">
        <x:v>Proposed</x:v>
      </x:c>
      <x:c r="F86" s="12" t="str"/>
      <x:c r="G86" s="12" t="str"/>
      <x:c r="H86" s="12" t="str">
        <x:v>The LP DAAC UWG recommends lightning talk sessions where UWG members can highlight their use of LP DAAC data, tools, and services, and provide feedback at future meetings.</x:v>
      </x:c>
      <x:c r="I86" s="12" t="str"/>
      <x:c r="J86" s="12" t="str">
        <x:v>SRC-0004</x:v>
      </x:c>
      <x:c r="K86" s="12" t="str">
        <x:v>Section: New Actions and Recommendations; table row 38</x:v>
      </x:c>
    </x:row>
    <x:row r="87">
      <x:c r="A87" s="12" t="str">
        <x:v>RSP-0086</x:v>
      </x:c>
      <x:c r="B87" s="12" t="str">
        <x:v>Fewer presentations overall to allow more time for discussion.</x:v>
      </x:c>
      <x:c r="C87" s="12" t="str">
        <x:v>Action item</x:v>
      </x:c>
      <x:c r="D87" s="12" t="str"/>
      <x:c r="E87" s="12" t="str">
        <x:v>Proposed</x:v>
      </x:c>
      <x:c r="F87" s="12" t="str"/>
      <x:c r="G87" s="12" t="str"/>
      <x:c r="H87" s="12" t="str">
        <x:v>Fewer presentations overall to allow more time for discussion.</x:v>
      </x:c>
      <x:c r="I87" s="12" t="str"/>
      <x:c r="J87" s="12" t="str">
        <x:v>SRC-0004</x:v>
      </x:c>
      <x:c r="K87" s="12" t="str">
        <x:v>Section: New Actions and Recommendations; table row 39</x:v>
      </x:c>
    </x:row>
    <x:row r="88">
      <x:c r="A88" s="12" t="str">
        <x:v>RSP-0087</x:v>
      </x:c>
      <x:c r="B88" s="12" t="str">
        <x:v>Take questions immediately following each presentation.</x:v>
      </x:c>
      <x:c r="C88" s="12" t="str">
        <x:v>Action item</x:v>
      </x:c>
      <x:c r="D88" s="12" t="str"/>
      <x:c r="E88" s="12" t="str">
        <x:v>Proposed</x:v>
      </x:c>
      <x:c r="F88" s="12" t="str"/>
      <x:c r="G88" s="12" t="str"/>
      <x:c r="H88" s="12" t="str">
        <x:v>Take questions immediately following each presentation.</x:v>
      </x:c>
      <x:c r="I88" s="12" t="str"/>
      <x:c r="J88" s="12" t="str">
        <x:v>SRC-0004</x:v>
      </x:c>
      <x:c r="K88" s="12" t="str">
        <x:v>Section: New Actions and Recommendations; table row 40</x:v>
      </x:c>
    </x:row>
    <x:row r="89">
      <x:c r="A89" s="12" t="str">
        <x:v>RSP-0088</x:v>
      </x:c>
      <x:c r="B89" s="12" t="str">
        <x:v>Host a one hour meeting every two months to check in on UWG activities.</x:v>
      </x:c>
      <x:c r="C89" s="12" t="str">
        <x:v>Action item</x:v>
      </x:c>
      <x:c r="D89" s="12" t="str"/>
      <x:c r="E89" s="12" t="str">
        <x:v>Proposed</x:v>
      </x:c>
      <x:c r="F89" s="12" t="str"/>
      <x:c r="G89" s="12" t="str"/>
      <x:c r="H89" s="12" t="str">
        <x:v>Host a one hour meeting every two months to check in on UWG activities.</x:v>
      </x:c>
      <x:c r="I89" s="12" t="str"/>
      <x:c r="J89" s="12" t="str">
        <x:v>SRC-0004</x:v>
      </x:c>
      <x:c r="K89" s="12" t="str">
        <x:v>Section: New Actions and Recommendations; table row 41</x:v>
      </x:c>
    </x:row>
    <x:row r="90">
      <x:c r="A90" s="12" t="str">
        <x:v>RSP-0089</x:v>
      </x:c>
      <x:c r="B90" s="12" t="str">
        <x:v>Create an option that allows users to opt out of Earthdata Login Authentication.</x:v>
      </x:c>
      <x:c r="C90" s="12" t="str">
        <x:v>Action item</x:v>
      </x:c>
      <x:c r="D90" s="12" t="str"/>
      <x:c r="E90" s="12" t="str">
        <x:v>Proposed</x:v>
      </x:c>
      <x:c r="F90" s="12" t="str"/>
      <x:c r="G90" s="12" t="str"/>
      <x:c r="H90" s="12" t="str">
        <x:v>Create an option that allows users to opt out of Earthdata Login Authentication.</x:v>
      </x:c>
      <x:c r="I90" s="12" t="str"/>
      <x:c r="J90" s="12" t="str">
        <x:v>SRC-0004</x:v>
      </x:c>
      <x:c r="K90" s="12" t="str">
        <x:v>Section: New Actions and Recommendations; table row 43</x:v>
      </x:c>
    </x:row>
    <x:row r="91">
      <x:c r="A91" s="12" t="str">
        <x:v>RSP-0090</x:v>
      </x:c>
      <x:c r="B91" s="12" t="str">
        <x:v>Look into internship opportunities.</x:v>
      </x:c>
      <x:c r="C91" s="12" t="str">
        <x:v>Action item</x:v>
      </x:c>
      <x:c r="D91" s="12" t="str"/>
      <x:c r="E91" s="12" t="str">
        <x:v>Proposed</x:v>
      </x:c>
      <x:c r="F91" s="12" t="str"/>
      <x:c r="G91" s="12" t="str"/>
      <x:c r="H91" s="12" t="str">
        <x:v>Look into internship opportunities.</x:v>
      </x:c>
      <x:c r="I91" s="12" t="str"/>
      <x:c r="J91" s="12" t="str">
        <x:v>SRC-0004</x:v>
      </x:c>
      <x:c r="K91" s="12" t="str">
        <x:v>Section: New Actions and Recommendations; table row 45</x:v>
      </x:c>
    </x:row>
    <x:row r="92">
      <x:c r="A92" s="12" t="str">
        <x:v>RSP-0091</x:v>
      </x:c>
      <x:c r="B92" s="12" t="str">
        <x:v>Communicate information on the drifting behavior and its repercussions for both MODIS instruments, which have significant impacts on the continuity of the atmosphere products due to both changes in temporal sampling and </x:v>
      </x:c>
      <x:c r="C92" s="12" t="str">
        <x:v>Action item</x:v>
      </x:c>
      <x:c r="D92" s="12" t="str"/>
      <x:c r="E92" s="12" t="str">
        <x:v>Proposed</x:v>
      </x:c>
      <x:c r="F92" s="12" t="str"/>
      <x:c r="G92" s="12" t="str"/>
      <x:c r="H92" s="12" t="str">
        <x:v>Communicate information on the drifting behavior and its repercussions for both MODIS instruments, which have significant impacts on the continuity of the atmosphere products due to both changes in temporal sampling and product quality.</x:v>
      </x:c>
      <x:c r="I92" s="12" t="str"/>
      <x:c r="J92" s="12" t="str">
        <x:v>SRC-0004</x:v>
      </x:c>
      <x:c r="K92" s="12" t="str">
        <x:v>Section: New Actions and Recommendations; table row 2</x:v>
      </x:c>
    </x:row>
    <x:row r="93">
      <x:c r="A93" s="12" t="str">
        <x:v>RSP-0092</x:v>
      </x:c>
      <x:c r="B93" s="12" t="str">
        <x:v>Identify how the LAADS DAAC can ensure that the MODIS user community can smoothly transition to using VIIRS cloud/aerosol products when the MODIS missions reach their Phase-F decommissioning phase by the end of 2026.</x:v>
      </x:c>
      <x:c r="C93" s="12" t="str">
        <x:v>Action item</x:v>
      </x:c>
      <x:c r="D93" s="12" t="str"/>
      <x:c r="E93" s="12" t="str">
        <x:v>Proposed</x:v>
      </x:c>
      <x:c r="F93" s="12" t="str"/>
      <x:c r="G93" s="12" t="str"/>
      <x:c r="H93" s="12" t="str">
        <x:v>Identify how the LAADS DAAC can ensure that the MODIS user community can smoothly transition to using VIIRS cloud/aerosol products when the MODIS missions reach their Phase-F decommissioning phase by the end of 2026.</x:v>
      </x:c>
      <x:c r="I93" s="12" t="str"/>
      <x:c r="J93" s="12" t="str">
        <x:v>SRC-0004</x:v>
      </x:c>
      <x:c r="K93" s="12" t="str">
        <x:v>Section: New Actions and Recommendations; table row 4</x:v>
      </x:c>
    </x:row>
    <x:row r="94">
      <x:c r="A94" s="12" t="str">
        <x:v>RSP-0093</x:v>
      </x:c>
      <x:c r="B94" s="12" t="str">
        <x:v>Work with ESDIS and the Earthdata team to improve the search and discovery processes, which currently lacks a focused search capability to point users to optimal science products and versions. For instance, a current sea</x:v>
      </x:c>
      <x:c r="C94" s="12" t="str">
        <x:v>Action item</x:v>
      </x:c>
      <x:c r="D94" s="12" t="str"/>
      <x:c r="E94" s="12" t="str">
        <x:v>Proposed</x:v>
      </x:c>
      <x:c r="F94" s="12" t="str"/>
      <x:c r="G94" s="12" t="str"/>
      <x:c r="H94" s="12" t="str">
        <x:v>Work with ESDIS and the Earthdata team to improve the search and discovery processes, which currently lacks a focused search capability to point users to optimal science products and versions. For instance, a current search for “Atmosphere” via Find Data on the Earthdata portal returns 4,271 matching collections. The Earthdata portal should implement changes to its search capability that enable curating a focused set of atmosphere products, working closely with the algorithm teams, to distill and provide a smaller set of precisely matching up-to-date products.</x:v>
      </x:c>
      <x:c r="I94" s="12" t="str"/>
      <x:c r="J94" s="12" t="str">
        <x:v>SRC-0004</x:v>
      </x:c>
      <x:c r="K94" s="12" t="str">
        <x:v>Section: New Actions and Recommendations; table row 6</x:v>
      </x:c>
    </x:row>
    <x:row r="95">
      <x:c r="A95" s="12" t="str">
        <x:v>RSP-0094</x:v>
      </x:c>
      <x:c r="B95" s="12" t="str">
        <x:v>The LAADS DAAC, as part of its position within the Terrestrial Information Systems Laboratory, should attempt to acquire and curate other GSFC facility instruments-based surface validation networks and their data collect</x:v>
      </x:c>
      <x:c r="C95" s="12" t="str">
        <x:v>Action item</x:v>
      </x:c>
      <x:c r="D95" s="12" t="str"/>
      <x:c r="E95" s="12" t="str">
        <x:v>Proposed</x:v>
      </x:c>
      <x:c r="F95" s="12" t="str"/>
      <x:c r="G95" s="12" t="str"/>
      <x:c r="H95" s="12" t="str">
        <x:v>The LAADS DAAC, as part of its position within the Terrestrial Information Systems Laboratory, should attempt to acquire and curate other GSFC facility instruments-based surface validation networks and their data collections that are currently not available through a single DAAC source.</x:v>
      </x:c>
      <x:c r="I95" s="12" t="str"/>
      <x:c r="J95" s="12" t="str">
        <x:v>SRC-0004</x:v>
      </x:c>
      <x:c r="K95" s="12" t="str">
        <x:v>Section: New Actions and Recommendations; table row 8</x:v>
      </x:c>
    </x:row>
    <x:row r="96">
      <x:c r="A96" s="12" t="str">
        <x:v>RSP-0095</x:v>
      </x:c>
      <x:c r="B96" s="12" t="str">
        <x:v>The LAADS DAAC should position itself to support new missions and programs such as ESO/AOS, Planetary Boundary Layer (PBL), Surface Topography and Vegetation (STV), etc.</x:v>
      </x:c>
      <x:c r="C96" s="12" t="str">
        <x:v>Action item</x:v>
      </x:c>
      <x:c r="D96" s="12" t="str"/>
      <x:c r="E96" s="12" t="str">
        <x:v>Proposed</x:v>
      </x:c>
      <x:c r="F96" s="12" t="str"/>
      <x:c r="G96" s="12" t="str"/>
      <x:c r="H96" s="12" t="str">
        <x:v>The LAADS DAAC should position itself to support new missions and programs such as ESO/AOS, Planetary Boundary Layer (PBL), Surface Topography and Vegetation (STV), etc.</x:v>
      </x:c>
      <x:c r="I96" s="12" t="str"/>
      <x:c r="J96" s="12" t="str">
        <x:v>SRC-0004</x:v>
      </x:c>
      <x:c r="K96" s="12" t="str">
        <x:v>Section: New Actions and Recommendations; table row 10</x:v>
      </x:c>
    </x:row>
    <x:row r="97">
      <x:c r="A97" s="12" t="str">
        <x:v>RSP-0096</x:v>
      </x:c>
      <x:c r="B97" s="12" t="str">
        <x:v>Replace Mark Raleigh who is planning to resign from the UWG.</x:v>
      </x:c>
      <x:c r="C97" s="12" t="str">
        <x:v>Action item</x:v>
      </x:c>
      <x:c r="D97" s="12" t="str"/>
      <x:c r="E97" s="12" t="str">
        <x:v>Proposed</x:v>
      </x:c>
      <x:c r="F97" s="12" t="str"/>
      <x:c r="G97" s="12" t="str"/>
      <x:c r="H97" s="12" t="str">
        <x:v>Replace Mark Raleigh who is planning to resign from the UWG.</x:v>
      </x:c>
      <x:c r="I97" s="12" t="str"/>
      <x:c r="J97" s="12" t="str">
        <x:v>SRC-0004</x:v>
      </x:c>
      <x:c r="K97" s="12" t="str">
        <x:v>Section: New Actions and Recommendations; table row 2</x:v>
      </x:c>
    </x:row>
    <x:row r="98">
      <x:c r="A98" s="12" t="str">
        <x:v>RSP-0097</x:v>
      </x:c>
      <x:c r="B98" s="12" t="str">
        <x:v>More engagement with UWG through the year would be helpful, beyond annual meeting and quarterly telecons.</x:v>
      </x:c>
      <x:c r="C98" s="12" t="str">
        <x:v>Action item</x:v>
      </x:c>
      <x:c r="D98" s="12" t="str"/>
      <x:c r="E98" s="12" t="str">
        <x:v>Proposed</x:v>
      </x:c>
      <x:c r="F98" s="12" t="str"/>
      <x:c r="G98" s="12" t="str"/>
      <x:c r="H98" s="12" t="str">
        <x:v>More engagement with UWG through the year would be helpful, beyond annual meeting and quarterly telecons.</x:v>
      </x:c>
      <x:c r="I98" s="12" t="str"/>
      <x:c r="J98" s="12" t="str">
        <x:v>SRC-0004</x:v>
      </x:c>
      <x:c r="K98" s="12" t="str">
        <x:v>Section: New Actions and Recommendations; table row 5</x:v>
      </x:c>
    </x:row>
    <x:row r="99">
      <x:c r="A99" s="12" t="str">
        <x:v>RSP-0098</x:v>
      </x:c>
      <x:c r="B99" s="12" t="str">
        <x:v>The UWG is not large enough to represent all users and broader input would better inform NSIDC DAAC priorities</x:v>
      </x:c>
      <x:c r="C99" s="12" t="str">
        <x:v>Action item</x:v>
      </x:c>
      <x:c r="D99" s="12" t="str"/>
      <x:c r="E99" s="12" t="str">
        <x:v>Proposed</x:v>
      </x:c>
      <x:c r="F99" s="12" t="str"/>
      <x:c r="G99" s="12" t="str"/>
      <x:c r="H99" s="12" t="str">
        <x:v>The UWG is not large enough to represent all users and broader input would better inform NSIDC DAAC priorities</x:v>
      </x:c>
      <x:c r="I99" s="12" t="str"/>
      <x:c r="J99" s="12" t="str">
        <x:v>SRC-0004</x:v>
      </x:c>
      <x:c r="K99" s="12" t="str">
        <x:v>Section: New Actions and Recommendations; table row 8</x:v>
      </x:c>
    </x:row>
    <x:row r="100">
      <x:c r="A100" s="12" t="str">
        <x:v>RSP-0099</x:v>
      </x:c>
      <x:c r="B100" s="12" t="str">
        <x:v>Provide updates on efforts toward COFs.</x:v>
      </x:c>
      <x:c r="C100" s="12" t="str">
        <x:v>Action item</x:v>
      </x:c>
      <x:c r="D100" s="12" t="str"/>
      <x:c r="E100" s="12" t="str">
        <x:v>Proposed</x:v>
      </x:c>
      <x:c r="F100" s="12" t="str"/>
      <x:c r="G100" s="12" t="str"/>
      <x:c r="H100" s="12" t="str">
        <x:v>Provide updates on efforts toward COFs.</x:v>
      </x:c>
      <x:c r="I100" s="12" t="str"/>
      <x:c r="J100" s="12" t="str">
        <x:v>SRC-0004</x:v>
      </x:c>
      <x:c r="K100" s="12" t="str">
        <x:v>Section: New Actions and Recommendations; table row 11</x:v>
      </x:c>
    </x:row>
    <x:row r="101">
      <x:c r="A101" s="12" t="str">
        <x:v>RSP-0100</x:v>
      </x:c>
      <x:c r="B101" s="12" t="str">
        <x:v>Provide status updates on ECS Decomm and cloud transition.</x:v>
      </x:c>
      <x:c r="C101" s="12" t="str">
        <x:v>Action item</x:v>
      </x:c>
      <x:c r="D101" s="12" t="str"/>
      <x:c r="E101" s="12" t="str">
        <x:v>Proposed</x:v>
      </x:c>
      <x:c r="F101" s="12" t="str"/>
      <x:c r="G101" s="12" t="str"/>
      <x:c r="H101" s="12" t="str">
        <x:v>Provide status updates on ECS Decomm and cloud transition.</x:v>
      </x:c>
      <x:c r="I101" s="12" t="str"/>
      <x:c r="J101" s="12" t="str">
        <x:v>SRC-0004</x:v>
      </x:c>
      <x:c r="K101" s="12" t="str">
        <x:v>Section: New Actions and Recommendations; table row 13</x:v>
      </x:c>
    </x:row>
    <x:row r="102">
      <x:c r="A102" s="12" t="str">
        <x:v>RSP-0101</x:v>
      </x:c>
      <x:c r="B102" s="12" t="str">
        <x:v>How will domain redirects work after ECS is decommissioned? Will programmatic requests to ECS get an informative error message?</x:v>
      </x:c>
      <x:c r="C102" s="12" t="str">
        <x:v>Action item</x:v>
      </x:c>
      <x:c r="D102" s="12" t="str"/>
      <x:c r="E102" s="12" t="str">
        <x:v>Proposed</x:v>
      </x:c>
      <x:c r="F102" s="12" t="str"/>
      <x:c r="G102" s="12" t="str"/>
      <x:c r="H102" s="12" t="str">
        <x:v>How will domain redirects work after ECS is decommissioned? Will programmatic requests to ECS get an informative error message?</x:v>
      </x:c>
      <x:c r="I102" s="12" t="str"/>
      <x:c r="J102" s="12" t="str">
        <x:v>SRC-0004</x:v>
      </x:c>
      <x:c r="K102" s="12" t="str">
        <x:v>Section: New Actions and Recommendations; table row 15</x:v>
      </x:c>
    </x:row>
    <x:row r="103">
      <x:c r="A103" s="12" t="str">
        <x:v>RSP-0102</x:v>
      </x:c>
      <x:c r="B103" s="12" t="str">
        <x:v>More interaction with ARSET will be valuable.</x:v>
      </x:c>
      <x:c r="C103" s="12" t="str">
        <x:v>Action item</x:v>
      </x:c>
      <x:c r="D103" s="12" t="str"/>
      <x:c r="E103" s="12" t="str">
        <x:v>Proposed</x:v>
      </x:c>
      <x:c r="F103" s="12" t="str"/>
      <x:c r="G103" s="12" t="str"/>
      <x:c r="H103" s="12" t="str">
        <x:v>More interaction with ARSET will be valuable.</x:v>
      </x:c>
      <x:c r="I103" s="12" t="str"/>
      <x:c r="J103" s="12" t="str">
        <x:v>SRC-0004</x:v>
      </x:c>
      <x:c r="K103" s="12" t="str">
        <x:v>Section: New Actions and Recommendations; table row 17</x:v>
      </x:c>
    </x:row>
    <x:row r="104">
      <x:c r="A104" s="12" t="str">
        <x:v>RSP-0103</x:v>
      </x:c>
      <x:c r="B104" s="12" t="str">
        <x:v>Share reports with UWG.</x:v>
      </x:c>
      <x:c r="C104" s="12" t="str">
        <x:v>Action item</x:v>
      </x:c>
      <x:c r="D104" s="12" t="str"/>
      <x:c r="E104" s="12" t="str">
        <x:v>Proposed</x:v>
      </x:c>
      <x:c r="F104" s="12" t="str"/>
      <x:c r="G104" s="12" t="str"/>
      <x:c r="H104" s="12" t="str">
        <x:v>Share reports with UWG.</x:v>
      </x:c>
      <x:c r="I104" s="12" t="str"/>
      <x:c r="J104" s="12" t="str">
        <x:v>SRC-0004</x:v>
      </x:c>
      <x:c r="K104" s="12" t="str">
        <x:v>Section: New Actions and Recommendations; table row 20</x:v>
      </x:c>
    </x:row>
    <x:row r="105">
      <x:c r="A105" s="12" t="str">
        <x:v>RSP-0104</x:v>
      </x:c>
      <x:c r="B105" s="12" t="str">
        <x:v>UWG is interested in hearing if a copy of CryoSat-2 data could be archived at a DAAC, as is planned for CRISTAL, and/or if earthaccess could be extended to CryoSat-2 (and other ESA) data.</x:v>
      </x:c>
      <x:c r="C105" s="12" t="str">
        <x:v>Action item</x:v>
      </x:c>
      <x:c r="D105" s="12" t="str"/>
      <x:c r="E105" s="12" t="str">
        <x:v>Proposed</x:v>
      </x:c>
      <x:c r="F105" s="12" t="str"/>
      <x:c r="G105" s="12" t="str"/>
      <x:c r="H105" s="12" t="str">
        <x:v>UWG is interested in hearing if a copy of CryoSat-2 data could be archived at a DAAC, as is planned for CRISTAL, and/or if earthaccess could be extended to CryoSat-2 (and other ESA) data.</x:v>
      </x:c>
      <x:c r="I105" s="12" t="str"/>
      <x:c r="J105" s="12" t="str">
        <x:v>SRC-0004</x:v>
      </x:c>
      <x:c r="K105" s="12" t="str">
        <x:v>Section: New Actions and Recommendations; table row 22</x:v>
      </x:c>
    </x:row>
    <x:row r="106">
      <x:c r="A106" s="12" t="str">
        <x:v>RSP-0105</x:v>
      </x:c>
      <x:c r="B106" s="12" t="str">
        <x:v>Difficult to understand when and how best to chunk data.</x:v>
      </x:c>
      <x:c r="C106" s="12" t="str">
        <x:v>Action item</x:v>
      </x:c>
      <x:c r="D106" s="12" t="str"/>
      <x:c r="E106" s="12" t="str">
        <x:v>Proposed</x:v>
      </x:c>
      <x:c r="F106" s="12" t="str"/>
      <x:c r="G106" s="12" t="str"/>
      <x:c r="H106" s="12" t="str">
        <x:v>Difficult to understand when and how best to chunk data.</x:v>
      </x:c>
      <x:c r="I106" s="12" t="str"/>
      <x:c r="J106" s="12" t="str">
        <x:v>SRC-0004</x:v>
      </x:c>
      <x:c r="K106" s="12" t="str">
        <x:v>Section: New Actions and Recommendations; table row 24</x:v>
      </x:c>
    </x:row>
    <x:row r="107">
      <x:c r="A107" s="12" t="str">
        <x:v>RSP-0106</x:v>
      </x:c>
      <x:c r="B107" s="12" t="str">
        <x:v>Important for DAAC to engage with Earth Science to Action, particularly through native communities.</x:v>
      </x:c>
      <x:c r="C107" s="12" t="str">
        <x:v>Action item</x:v>
      </x:c>
      <x:c r="D107" s="12" t="str"/>
      <x:c r="E107" s="12" t="str">
        <x:v>Proposed</x:v>
      </x:c>
      <x:c r="F107" s="12" t="str"/>
      <x:c r="G107" s="12" t="str"/>
      <x:c r="H107" s="12" t="str">
        <x:v>Important for DAAC to engage with Earth Science to Action, particularly through native communities.</x:v>
      </x:c>
      <x:c r="I107" s="12" t="str"/>
      <x:c r="J107" s="12" t="str">
        <x:v>SRC-0004</x:v>
      </x:c>
      <x:c r="K107" s="12" t="str">
        <x:v>Section: New Actions and Recommendations; table row 26</x:v>
      </x:c>
    </x:row>
    <x:row r="108">
      <x:c r="A108" s="12" t="str">
        <x:v>RSP-0107</x:v>
      </x:c>
      <x:c r="B108" s="12" t="str">
        <x:v>Continue to provide high-quality scientific and data support through ORNL DAAC’s expert services that maintain the specialized, context-specific support needed for publication of diverse data.</x:v>
      </x:c>
      <x:c r="C108" s="12" t="str">
        <x:v>Action item</x:v>
      </x:c>
      <x:c r="D108" s="12" t="str"/>
      <x:c r="E108" s="12" t="str">
        <x:v>Proposed</x:v>
      </x:c>
      <x:c r="F108" s="12" t="str"/>
      <x:c r="G108" s="12" t="str"/>
      <x:c r="H108" s="12" t="str">
        <x:v>Continue to provide high-quality scientific and data support through ORNL DAAC’s expert services that maintain the specialized, context-specific support needed for publication of diverse data.</x:v>
      </x:c>
      <x:c r="I108" s="12" t="str"/>
      <x:c r="J108" s="12" t="str">
        <x:v>SRC-0004</x:v>
      </x:c>
      <x:c r="K108" s="12" t="str">
        <x:v>Section: New Actions and Recommendations; table row 2</x:v>
      </x:c>
    </x:row>
    <x:row r="109">
      <x:c r="A109" s="12" t="str">
        <x:v>RSP-0108</x:v>
      </x:c>
      <x:c r="B109" s="12" t="str">
        <x:v>Provide clear, concrete, and implementable guidance to data producers to prepare archival-ready airborne and field data.</x:v>
      </x:c>
      <x:c r="C109" s="12" t="str">
        <x:v>Action item</x:v>
      </x:c>
      <x:c r="D109" s="12" t="str"/>
      <x:c r="E109" s="12" t="str">
        <x:v>Proposed</x:v>
      </x:c>
      <x:c r="F109" s="12" t="str"/>
      <x:c r="G109" s="12" t="str"/>
      <x:c r="H109" s="12" t="str">
        <x:v>Provide clear, concrete, and implementable guidance to data producers to prepare archival-ready airborne and field data.</x:v>
      </x:c>
      <x:c r="I109" s="12" t="str"/>
      <x:c r="J109" s="12" t="str">
        <x:v>SRC-0004</x:v>
      </x:c>
      <x:c r="K109" s="12" t="str">
        <x:v>Section: New Actions and Recommendations; table row 3</x:v>
      </x:c>
    </x:row>
    <x:row r="110">
      <x:c r="A110" s="12" t="str">
        <x:v>RSP-0109</x:v>
      </x:c>
      <x:c r="B110" s="12" t="str">
        <x:v>Provide guidance and practices on drone data archival and use.</x:v>
      </x:c>
      <x:c r="C110" s="12" t="str">
        <x:v>Action item</x:v>
      </x:c>
      <x:c r="D110" s="12" t="str"/>
      <x:c r="E110" s="12" t="str">
        <x:v>Proposed</x:v>
      </x:c>
      <x:c r="F110" s="12" t="str"/>
      <x:c r="G110" s="12" t="str"/>
      <x:c r="H110" s="12" t="str">
        <x:v>Provide guidance and practices on drone data archival and use.</x:v>
      </x:c>
      <x:c r="I110" s="12" t="str"/>
      <x:c r="J110" s="12" t="str">
        <x:v>SRC-0004</x:v>
      </x:c>
      <x:c r="K110" s="12" t="str">
        <x:v>Section: New Actions and Recommendations; table row 4</x:v>
      </x:c>
    </x:row>
    <x:row r="111">
      <x:c r="A111" s="12" t="str">
        <x:v>RSP-0110</x:v>
      </x:c>
      <x:c r="B111" s="12" t="str">
        <x:v>Continue to improve the findability and accessibility of airborne and field data.</x:v>
      </x:c>
      <x:c r="C111" s="12" t="str">
        <x:v>Action item</x:v>
      </x:c>
      <x:c r="D111" s="12" t="str"/>
      <x:c r="E111" s="12" t="str">
        <x:v>Proposed</x:v>
      </x:c>
      <x:c r="F111" s="12" t="str"/>
      <x:c r="G111" s="12" t="str"/>
      <x:c r="H111" s="12" t="str">
        <x:v>Continue to improve the findability and accessibility of airborne and field data.</x:v>
      </x:c>
      <x:c r="I111" s="12" t="str"/>
      <x:c r="J111" s="12" t="str">
        <x:v>SRC-0004</x:v>
      </x:c>
      <x:c r="K111" s="12" t="str">
        <x:v>Section: New Actions and Recommendations; table row 6</x:v>
      </x:c>
    </x:row>
    <x:row r="112">
      <x:c r="A112" s="12" t="str">
        <x:v>RSP-0111</x:v>
      </x:c>
      <x:c r="B112" s="12" t="str">
        <x:v>Data use snippets next to data.</x:v>
      </x:c>
      <x:c r="C112" s="12" t="str">
        <x:v>Action item</x:v>
      </x:c>
      <x:c r="D112" s="12" t="str"/>
      <x:c r="E112" s="12" t="str">
        <x:v>Proposed</x:v>
      </x:c>
      <x:c r="F112" s="12" t="str"/>
      <x:c r="G112" s="12" t="str"/>
      <x:c r="H112" s="12" t="str">
        <x:v>Data use snippets next to data.</x:v>
      </x:c>
      <x:c r="I112" s="12" t="str"/>
      <x:c r="J112" s="12" t="str">
        <x:v>SRC-0004</x:v>
      </x:c>
      <x:c r="K112" s="12" t="str">
        <x:v>Section: New Actions and Recommendations; table row 8</x:v>
      </x:c>
    </x:row>
    <x:row r="113">
      <x:c r="A113" s="12" t="str">
        <x:v>RSP-0112</x:v>
      </x:c>
      <x:c r="B113" s="12" t="str">
        <x:v>Facilitate integration of airborne and field data in synthesis and modeling efforts.</x:v>
      </x:c>
      <x:c r="C113" s="12" t="str">
        <x:v>Action item</x:v>
      </x:c>
      <x:c r="D113" s="12" t="str"/>
      <x:c r="E113" s="12" t="str">
        <x:v>Proposed</x:v>
      </x:c>
      <x:c r="F113" s="12" t="str"/>
      <x:c r="G113" s="12" t="str"/>
      <x:c r="H113" s="12" t="str">
        <x:v>Facilitate integration of airborne and field data in synthesis and modeling efforts.</x:v>
      </x:c>
      <x:c r="I113" s="12" t="str"/>
      <x:c r="J113" s="12" t="str">
        <x:v>SRC-0004</x:v>
      </x:c>
      <x:c r="K113" s="12" t="str">
        <x:v>Section: New Actions and Recommendations; table row 9</x:v>
      </x:c>
    </x:row>
    <x:row r="114">
      <x:c r="A114" s="12" t="str">
        <x:v>RSP-0113</x:v>
      </x:c>
      <x:c r="B114" s="12" t="str">
        <x:v>Recommendations, comments and concerns from the UWG have been noted and compiled into new action items.</x:v>
      </x:c>
      <x:c r="C114" s="12" t="str">
        <x:v>Action item</x:v>
      </x:c>
      <x:c r="D114" s="12" t="str"/>
      <x:c r="E114" s="12" t="str">
        <x:v>Proposed</x:v>
      </x:c>
      <x:c r="F114" s="12" t="str"/>
      <x:c r="G114" s="12" t="str"/>
      <x:c r="H114" s="12" t="str">
        <x:v>Recommendations, comments and concerns from the UWG have been noted and compiled into new action items.</x:v>
      </x:c>
      <x:c r="I114" s="12" t="str"/>
      <x:c r="J114" s="12" t="str">
        <x:v>SRC-0004</x:v>
      </x:c>
      <x:c r="K114" s="12" t="str">
        <x:v>Section: New Actions and Recommendations</x:v>
      </x:c>
    </x:row>
    <x:row r="115">
      <x:c r="A115" s="12" t="str">
        <x:v>RSP-0114</x:v>
      </x:c>
      <x:c r="B115" s="12" t="str">
        <x:v>The UWG recommends improving the EDSC interface to enhance user experience in finding data, similar to the EO Browser. They highlighted useful EO Browser features such as scaling index, image-based search, and the abilit</x:v>
      </x:c>
      <x:c r="C115" s="12" t="str">
        <x:v>Action item</x:v>
      </x:c>
      <x:c r="D115" s="12" t="str"/>
      <x:c r="E115" s="12" t="str">
        <x:v>Proposed</x:v>
      </x:c>
      <x:c r="F115" s="12" t="str"/>
      <x:c r="G115" s="12" t="str"/>
      <x:c r="H115" s="12" t="str">
        <x:v>The UWG recommends improving the EDSC interface to enhance user experience in finding data, similar to the EO Browser. They highlighted useful EO Browser features such as scaling index, image-based search, and the ability to change bands. Additionally, they noted that the EDSC's search results often confuse users by resembling a 'Google search' page.</x:v>
      </x:c>
      <x:c r="I115" s="12" t="str"/>
      <x:c r="J115" s="12" t="str">
        <x:v>SRC-0004</x:v>
      </x:c>
      <x:c r="K115" s="12" t="str">
        <x:v>Section: New Actions and Recommendations</x:v>
      </x:c>
    </x:row>
    <x:row r="116">
      <x:c r="A116" s="12" t="str">
        <x:v>RSP-0115</x:v>
      </x:c>
      <x:c r="B116" s="12" t="str">
        <x:v>Additionally, the UWG mentioned that it would be helpful to share OB.DAAC user statistics and takeaway points with them.</x:v>
      </x:c>
      <x:c r="C116" s="12" t="str">
        <x:v>Action item</x:v>
      </x:c>
      <x:c r="D116" s="12" t="str"/>
      <x:c r="E116" s="12" t="str">
        <x:v>Proposed</x:v>
      </x:c>
      <x:c r="F116" s="12" t="str"/>
      <x:c r="G116" s="12" t="str"/>
      <x:c r="H116" s="12" t="str">
        <x:v>Additionally, the UWG mentioned that it would be helpful to share OB.DAAC user statistics and takeaway points with them.</x:v>
      </x:c>
      <x:c r="I116" s="12" t="str"/>
      <x:c r="J116" s="12" t="str">
        <x:v>SRC-0004</x:v>
      </x:c>
      <x:c r="K116" s="12" t="str">
        <x:v>Section: New Actions and Recommendations</x:v>
      </x:c>
    </x:row>
    <x:row r="117">
      <x:c r="A117" s="12" t="str">
        <x:v>RSP-0116</x:v>
      </x:c>
      <x:c r="B117" s="12" t="str">
        <x:v>UWG inquired about the in-situ data QA/QC process and whether SeaBASS retroactively applies new QC standards to existing datasets and publishes it as a new version. New QC standards are not applied retroactively.</x:v>
      </x:c>
      <x:c r="C117" s="12" t="str">
        <x:v>Action item</x:v>
      </x:c>
      <x:c r="D117" s="12" t="str"/>
      <x:c r="E117" s="12" t="str">
        <x:v>Proposed</x:v>
      </x:c>
      <x:c r="F117" s="12" t="str"/>
      <x:c r="G117" s="12" t="str"/>
      <x:c r="H117" s="12" t="str">
        <x:v>UWG inquired about the in-situ data QA/QC process and whether SeaBASS retroactively applies new QC standards to existing datasets and publishes it as a new version. New QC standards are not applied retroactively.</x:v>
      </x:c>
      <x:c r="I117" s="12" t="str"/>
      <x:c r="J117" s="12" t="str">
        <x:v>SRC-0004</x:v>
      </x:c>
      <x:c r="K117" s="12" t="str">
        <x:v>Section: New Actions and Recommendations</x:v>
      </x:c>
    </x:row>
    <x:row r="118">
      <x:c r="A118" s="12" t="str">
        <x:v>RSP-0117</x:v>
      </x:c>
      <x:c r="B118" s="12" t="str">
        <x:v>UWG voted that OB.DAAC was the ideal place for CALIOP backscattering datasets to reside because 1) users would like to access these files in tandem with other ocean color datasets 2) having the data at OB.DAAC should acc</x:v>
      </x:c>
      <x:c r="C118" s="12" t="str">
        <x:v>Action item</x:v>
      </x:c>
      <x:c r="D118" s="12" t="str"/>
      <x:c r="E118" s="12" t="str">
        <x:v>Proposed</x:v>
      </x:c>
      <x:c r="F118" s="12" t="str"/>
      <x:c r="G118" s="12" t="str"/>
      <x:c r="H118" s="12" t="str">
        <x:v>UWG voted that OB.DAAC was the ideal place for CALIOP backscattering datasets to reside because 1) users would like to access these files in tandem with other ocean color datasets 2) having the data at OB.DAAC should accelerate discovery and use by the community.</x:v>
      </x:c>
      <x:c r="I118" s="12" t="str"/>
      <x:c r="J118" s="12" t="str">
        <x:v>SRC-0004</x:v>
      </x:c>
      <x:c r="K118" s="12" t="str">
        <x:v>Section: New Actions and Recommendations</x:v>
      </x:c>
    </x:row>
    <x:row r="119">
      <x:c r="A119" s="12" t="str">
        <x:v>RSP-0118</x:v>
      </x:c>
      <x:c r="B119" s="12" t="str">
        <x:v>Optimal formats for data need to be determined. Currently datasets are HDF5 tar files.</x:v>
      </x:c>
      <x:c r="C119" s="12" t="str">
        <x:v>Action item</x:v>
      </x:c>
      <x:c r="D119" s="12" t="str"/>
      <x:c r="E119" s="12" t="str">
        <x:v>Proposed</x:v>
      </x:c>
      <x:c r="F119" s="12" t="str"/>
      <x:c r="G119" s="12" t="str"/>
      <x:c r="H119" s="12" t="str">
        <x:v>Optimal formats for data need to be determined. Currently datasets are HDF5 tar files.</x:v>
      </x:c>
      <x:c r="I119" s="12" t="str"/>
      <x:c r="J119" s="12" t="str">
        <x:v>SRC-0004</x:v>
      </x:c>
      <x:c r="K119" s="12" t="str">
        <x:v>Section: New Actions and Recommendations</x:v>
      </x:c>
    </x:row>
    <x:row r="120">
      <x:c r="A120" s="12" t="str">
        <x:v>RSP-0119</x:v>
      </x:c>
      <x:c r="B120" s="12" t="str">
        <x:v>UWG member shared that notification from APT interface wasn’t sufficient regarding changes to the document by other authors and progression of the document through review and publication stages.</x:v>
      </x:c>
      <x:c r="C120" s="12" t="str">
        <x:v>Action item</x:v>
      </x:c>
      <x:c r="D120" s="12" t="str"/>
      <x:c r="E120" s="12" t="str">
        <x:v>Proposed</x:v>
      </x:c>
      <x:c r="F120" s="12" t="str"/>
      <x:c r="G120" s="12" t="str"/>
      <x:c r="H120" s="12" t="str">
        <x:v>UWG member shared that notification from APT interface wasn’t sufficient regarding changes to the document by other authors and progression of the document through review and publication stages.</x:v>
      </x:c>
      <x:c r="I120" s="12" t="str"/>
      <x:c r="J120" s="12" t="str">
        <x:v>SRC-0004</x:v>
      </x:c>
      <x:c r="K120" s="12" t="str">
        <x:v>Section: New Actions and Recommendations</x:v>
      </x:c>
    </x:row>
    <x:row r="121">
      <x:c r="A121" s="12" t="str">
        <x:v>RSP-0120</x:v>
      </x:c>
      <x:c r="B121" s="12" t="str">
        <x:v>Brad shared that feedback on changes to documents can be viewed by collaborators when they are logged into tool.</x:v>
      </x:c>
      <x:c r="C121" s="12" t="str">
        <x:v>Action item</x:v>
      </x:c>
      <x:c r="D121" s="12" t="str"/>
      <x:c r="E121" s="12" t="str">
        <x:v>Proposed</x:v>
      </x:c>
      <x:c r="F121" s="12" t="str"/>
      <x:c r="G121" s="12" t="str"/>
      <x:c r="H121" s="12" t="str">
        <x:v>Brad shared that feedback on changes to documents can be viewed by collaborators when they are logged into tool.</x:v>
      </x:c>
      <x:c r="I121" s="12" t="str"/>
      <x:c r="J121" s="12" t="str">
        <x:v>SRC-0004</x:v>
      </x:c>
      <x:c r="K121" s="12" t="str">
        <x:v>Section: New Actions and Recommendations</x:v>
      </x:c>
    </x:row>
    <x:row r="122">
      <x:c r="A122" s="12" t="str">
        <x:v>RSP-0121</x:v>
      </x:c>
      <x:c r="B122" s="12" t="str">
        <x:v>DAAC tutorials/notebooks are primarily done in Python. UWG did not feel that was an issue since Python is widely used, although support of Matlab would increase accessibility of tools to the entire user community.</x:v>
      </x:c>
      <x:c r="C122" s="12" t="str">
        <x:v>Action item</x:v>
      </x:c>
      <x:c r="D122" s="12" t="str"/>
      <x:c r="E122" s="12" t="str">
        <x:v>Proposed</x:v>
      </x:c>
      <x:c r="F122" s="12" t="str"/>
      <x:c r="G122" s="12" t="str"/>
      <x:c r="H122" s="12" t="str">
        <x:v>DAAC tutorials/notebooks are primarily done in Python. UWG did not feel that was an issue since Python is widely used, although support of Matlab would increase accessibility of tools to the entire user community.</x:v>
      </x:c>
      <x:c r="I122" s="12" t="str"/>
      <x:c r="J122" s="12" t="str">
        <x:v>SRC-0004</x:v>
      </x:c>
      <x:c r="K122" s="12" t="str">
        <x:v>Section: New Actions and Recommendations</x:v>
      </x:c>
    </x:row>
    <x:row r="123">
      <x:c r="A123" s="12" t="str">
        <x:v>RSP-0122</x:v>
      </x:c>
      <x:c r="B123" s="12" t="str">
        <x:v>Users can set up a MATLAB instance from JupyterHub (link to MathWorks resource on Openscapes site: https://nasa-openscapes.github.io/earthdata-cloud-cookbook/tutorials/matlab.html), however MATLAB using JupyterHub is not</x:v>
      </x:c>
      <x:c r="C123" s="12" t="str">
        <x:v>Action item</x:v>
      </x:c>
      <x:c r="D123" s="12" t="str"/>
      <x:c r="E123" s="12" t="str">
        <x:v>Proposed</x:v>
      </x:c>
      <x:c r="F123" s="12" t="str"/>
      <x:c r="G123" s="12" t="str"/>
      <x:c r="H123" s="12" t="str">
        <x:v>Users can set up a MATLAB instance from JupyterHub (link to MathWorks resource on Openscapes site: https://nasa-openscapes.github.io/earthdata-cloud-cookbook/tutorials/matlab.html), however MATLAB using JupyterHub is not as efficient as using Python.</x:v>
      </x:c>
      <x:c r="I123" s="12" t="str"/>
      <x:c r="J123" s="12" t="str">
        <x:v>SRC-0004</x:v>
      </x:c>
      <x:c r="K123" s="12" t="str">
        <x:v>Section: New Actions and Recommendations</x:v>
      </x:c>
    </x:row>
    <x:row r="124">
      <x:c r="A124" s="12" t="str">
        <x:v>RSP-0123</x:v>
      </x:c>
      <x:c r="B124" s="12" t="str">
        <x:v>SeaDAS is exploring integration of SeaDAS into NASA’s cloud compute environment and what features can/should be offered in the cloud for processing.</x:v>
      </x:c>
      <x:c r="C124" s="12" t="str">
        <x:v>Action item</x:v>
      </x:c>
      <x:c r="D124" s="12" t="str"/>
      <x:c r="E124" s="12" t="str">
        <x:v>Proposed</x:v>
      </x:c>
      <x:c r="F124" s="12" t="str"/>
      <x:c r="G124" s="12" t="str"/>
      <x:c r="H124" s="12" t="str">
        <x:v>SeaDAS is exploring integration of SeaDAS into NASA’s cloud compute environment and what features can/should be offered in the cloud for processing.</x:v>
      </x:c>
      <x:c r="I124" s="12" t="str"/>
      <x:c r="J124" s="12" t="str">
        <x:v>SRC-0004</x:v>
      </x:c>
      <x:c r="K124" s="12" t="str">
        <x:v>Section: New Actions and Recommendations</x:v>
      </x:c>
    </x:row>
    <x:row r="125">
      <x:c r="A125" s="12" t="str">
        <x:v>RSP-0124</x:v>
      </x:c>
      <x:c r="B125" s="12" t="str">
        <x:v>PRISM support in OCSSW is coming. David Thompson will work with SeaDAS team on establishing that.</x:v>
      </x:c>
      <x:c r="C125" s="12" t="str">
        <x:v>Action item</x:v>
      </x:c>
      <x:c r="D125" s="12" t="str"/>
      <x:c r="E125" s="12" t="str">
        <x:v>Proposed</x:v>
      </x:c>
      <x:c r="F125" s="12" t="str"/>
      <x:c r="G125" s="12" t="str"/>
      <x:c r="H125" s="12" t="str">
        <x:v>PRISM support in OCSSW is coming. David Thompson will work with SeaDAS team on establishing that.</x:v>
      </x:c>
      <x:c r="I125" s="12" t="str"/>
      <x:c r="J125" s="12" t="str">
        <x:v>SRC-0004</x:v>
      </x:c>
      <x:c r="K125" s="12" t="str">
        <x:v>Section: New Actions and Recommendations</x:v>
      </x:c>
    </x:row>
    <x:row r="126">
      <x:c r="A126" s="12" t="str">
        <x:v>RSP-0125</x:v>
      </x:c>
      <x:c r="B126" s="12" t="str">
        <x:v>Point of clarification: OCSSW is native to Linux, but SeaDAS works on all platforms - Linux, Window, Mac.</x:v>
      </x:c>
      <x:c r="C126" s="12" t="str">
        <x:v>Action item</x:v>
      </x:c>
      <x:c r="D126" s="12" t="str"/>
      <x:c r="E126" s="12" t="str">
        <x:v>Proposed</x:v>
      </x:c>
      <x:c r="F126" s="12" t="str"/>
      <x:c r="G126" s="12" t="str"/>
      <x:c r="H126" s="12" t="str">
        <x:v>Point of clarification: OCSSW is native to Linux, but SeaDAS works on all platforms - Linux, Window, Mac.</x:v>
      </x:c>
      <x:c r="I126" s="12" t="str"/>
      <x:c r="J126" s="12" t="str">
        <x:v>SRC-0004</x:v>
      </x:c>
      <x:c r="K126" s="12" t="str">
        <x:v>Section: New Actions and Recommendations</x:v>
      </x:c>
    </x:row>
    <x:row r="127">
      <x:c r="A127" s="12" t="str">
        <x:v>RSP-0126</x:v>
      </x:c>
      <x:c r="B127" s="12" t="str">
        <x:v>It might be useful to find out usage statistics for SeaDAS software to inform which features are most useful to the community, what features to include in upcoming versions vs which features could be sunsetted and to inc</x:v>
      </x:c>
      <x:c r="C127" s="12" t="str">
        <x:v>Action item</x:v>
      </x:c>
      <x:c r="D127" s="12" t="str"/>
      <x:c r="E127" s="12" t="str">
        <x:v>Proposed</x:v>
      </x:c>
      <x:c r="F127" s="12" t="str"/>
      <x:c r="G127" s="12" t="str"/>
      <x:c r="H127" s="12" t="str">
        <x:v>It might be useful to find out usage statistics for SeaDAS software to inform which features are most useful to the community, what features to include in upcoming versions vs which features could be sunsetted and to increase usage of existing tools across the user community.</x:v>
      </x:c>
      <x:c r="I127" s="12" t="str"/>
      <x:c r="J127" s="12" t="str">
        <x:v>SRC-0004</x:v>
      </x:c>
      <x:c r="K127" s="12" t="str">
        <x:v>Section: New Actions and Recommendations</x:v>
      </x:c>
    </x:row>
    <x:row r="128">
      <x:c r="A128" s="12" t="str">
        <x:v>RSP-0127</x:v>
      </x:c>
      <x:c r="B128" s="12" t="str">
        <x:v>OCSSW and SeaDAS aren't frequently used together.</x:v>
      </x:c>
      <x:c r="C128" s="12" t="str">
        <x:v>Action item</x:v>
      </x:c>
      <x:c r="D128" s="12" t="str"/>
      <x:c r="E128" s="12" t="str">
        <x:v>Proposed</x:v>
      </x:c>
      <x:c r="F128" s="12" t="str"/>
      <x:c r="G128" s="12" t="str"/>
      <x:c r="H128" s="12" t="str">
        <x:v>OCSSW and SeaDAS aren't frequently used together.</x:v>
      </x:c>
      <x:c r="I128" s="12" t="str"/>
      <x:c r="J128" s="12" t="str">
        <x:v>SRC-0004</x:v>
      </x:c>
      <x:c r="K128" s="12" t="str">
        <x:v>Section: New Actions and Recommendations</x:v>
      </x:c>
    </x:row>
    <x:row r="129">
      <x:c r="A129" s="12" t="str">
        <x:v>RSP-0128</x:v>
      </x:c>
      <x:c r="B129" s="12" t="str">
        <x:v>In-situ data can be matched up in SeaDAS, but the data must have a header in order for SeaDAS to be able to use it.</x:v>
      </x:c>
      <x:c r="C129" s="12" t="str">
        <x:v>Action item</x:v>
      </x:c>
      <x:c r="D129" s="12" t="str"/>
      <x:c r="E129" s="12" t="str">
        <x:v>Proposed</x:v>
      </x:c>
      <x:c r="F129" s="12" t="str"/>
      <x:c r="G129" s="12" t="str"/>
      <x:c r="H129" s="12" t="str">
        <x:v>In-situ data can be matched up in SeaDAS, but the data must have a header in order for SeaDAS to be able to use it.</x:v>
      </x:c>
      <x:c r="I129" s="12" t="str"/>
      <x:c r="J129" s="12" t="str">
        <x:v>SRC-0004</x:v>
      </x:c>
      <x:c r="K129" s="12" t="str">
        <x:v>Section: New Actions and Recommendations</x:v>
      </x:c>
    </x:row>
    <x:row r="130">
      <x:c r="A130" s="12" t="str">
        <x:v>RSP-0129</x:v>
      </x:c>
      <x:c r="B130" s="12" t="str">
        <x:v>Have the user community/UWG members contribute to defining OCSSW in the cloud.</x:v>
      </x:c>
      <x:c r="C130" s="12" t="str">
        <x:v>Action item</x:v>
      </x:c>
      <x:c r="D130" s="12" t="str"/>
      <x:c r="E130" s="12" t="str">
        <x:v>Proposed</x:v>
      </x:c>
      <x:c r="F130" s="12" t="str"/>
      <x:c r="G130" s="12" t="str"/>
      <x:c r="H130" s="12" t="str">
        <x:v>Have the user community/UWG members contribute to defining OCSSW in the cloud.</x:v>
      </x:c>
      <x:c r="I130" s="12" t="str"/>
      <x:c r="J130" s="12" t="str">
        <x:v>SRC-0004</x:v>
      </x:c>
      <x:c r="K130" s="12" t="str">
        <x:v>Section: New Actions and Recommendations</x:v>
      </x:c>
    </x:row>
    <x:row r="131">
      <x:c r="A131" s="12" t="str">
        <x:v>RSP-0130</x:v>
      </x:c>
      <x:c r="B131" s="12" t="str">
        <x:v>Allow 'save as' to let user save the file as a different format. This is currently solved by using 'export'.</x:v>
      </x:c>
      <x:c r="C131" s="12" t="str">
        <x:v>Action item</x:v>
      </x:c>
      <x:c r="D131" s="12" t="str"/>
      <x:c r="E131" s="12" t="str">
        <x:v>Proposed</x:v>
      </x:c>
      <x:c r="F131" s="12" t="str"/>
      <x:c r="G131" s="12" t="str"/>
      <x:c r="H131" s="12" t="str">
        <x:v>Allow 'save as' to let user save the file as a different format. This is currently solved by using 'export'.</x:v>
      </x:c>
      <x:c r="I131" s="12" t="str"/>
      <x:c r="J131" s="12" t="str">
        <x:v>SRC-0004</x:v>
      </x:c>
      <x:c r="K131" s="12" t="str">
        <x:v>Section: New Actions and Recommendations</x:v>
      </x:c>
    </x:row>
    <x:row r="132">
      <x:c r="A132" s="12" t="str">
        <x:v>RSP-0131</x:v>
      </x:c>
      <x:c r="B132" s="12" t="str">
        <x:v>'Import code'/'code builder' button was found to be useful in a previous version. Will this come back?</x:v>
      </x:c>
      <x:c r="C132" s="12" t="str">
        <x:v>Action item</x:v>
      </x:c>
      <x:c r="D132" s="12" t="str"/>
      <x:c r="E132" s="12" t="str">
        <x:v>Proposed</x:v>
      </x:c>
      <x:c r="F132" s="12" t="str"/>
      <x:c r="G132" s="12" t="str"/>
      <x:c r="H132" s="12" t="str">
        <x:v>'Import code'/'code builder' button was found to be useful in a previous version. Will this come back?</x:v>
      </x:c>
      <x:c r="I132" s="12" t="str"/>
      <x:c r="J132" s="12" t="str">
        <x:v>SRC-0004</x:v>
      </x:c>
      <x:c r="K132" s="12" t="str">
        <x:v>Section: New Actions and Recommendations</x:v>
      </x:c>
    </x:row>
    <x:row r="133">
      <x:c r="A133" s="12" t="str">
        <x:v>RSP-0132</x:v>
      </x:c>
      <x:c r="B133" s="12" t="str">
        <x:v>Plotting spectral view using Level 2 data requires headers that currently have to be manually added in order to import and view in other tools. This becomes a time-consuming effort since it has to be done for multiple fi</x:v>
      </x:c>
      <x:c r="C133" s="12" t="str">
        <x:v>Action item</x:v>
      </x:c>
      <x:c r="D133" s="12" t="str"/>
      <x:c r="E133" s="12" t="str">
        <x:v>Proposed</x:v>
      </x:c>
      <x:c r="F133" s="12" t="str"/>
      <x:c r="G133" s="12" t="str"/>
      <x:c r="H133" s="12" t="str">
        <x:v>Plotting spectral view using Level 2 data requires headers that currently have to be manually added in order to import and view in other tools. This becomes a time-consuming effort since it has to be done for multiple files. Can SeaDAS include headers automatically?</x:v>
      </x:c>
      <x:c r="I133" s="12" t="str"/>
      <x:c r="J133" s="12" t="str">
        <x:v>SRC-0004</x:v>
      </x:c>
      <x:c r="K133" s="12" t="str">
        <x:v>Section: New Actions and Recommendations</x:v>
      </x:c>
    </x:row>
    <x:row r="134">
      <x:c r="A134" s="12" t="str">
        <x:v>RSP-0133</x:v>
      </x:c>
      <x:c r="B134" s="12" t="str">
        <x:v>Can spectral view be averaged?</x:v>
      </x:c>
      <x:c r="C134" s="12" t="str">
        <x:v>Action item</x:v>
      </x:c>
      <x:c r="D134" s="12" t="str"/>
      <x:c r="E134" s="12" t="str">
        <x:v>Proposed</x:v>
      </x:c>
      <x:c r="F134" s="12" t="str"/>
      <x:c r="G134" s="12" t="str"/>
      <x:c r="H134" s="12" t="str">
        <x:v>Can spectral view be averaged?</x:v>
      </x:c>
      <x:c r="I134" s="12" t="str"/>
      <x:c r="J134" s="12" t="str">
        <x:v>SRC-0004</x:v>
      </x:c>
      <x:c r="K134" s="12" t="str">
        <x:v>Section: New Actions and Recommendations</x:v>
      </x:c>
    </x:row>
    <x:row r="135">
      <x:c r="A135" s="12" t="str">
        <x:v>RSP-0134</x:v>
      </x:c>
      <x:c r="B135" s="12" t="str">
        <x:v>Users have trouble with Docker for Windows.</x:v>
      </x:c>
      <x:c r="C135" s="12" t="str">
        <x:v>Action item</x:v>
      </x:c>
      <x:c r="D135" s="12" t="str"/>
      <x:c r="E135" s="12" t="str">
        <x:v>Proposed</x:v>
      </x:c>
      <x:c r="F135" s="12" t="str"/>
      <x:c r="G135" s="12" t="str"/>
      <x:c r="H135" s="12" t="str">
        <x:v>Users have trouble with Docker for Windows.</x:v>
      </x:c>
      <x:c r="I135" s="12" t="str"/>
      <x:c r="J135" s="12" t="str">
        <x:v>SRC-0004</x:v>
      </x:c>
      <x:c r="K135" s="12" t="str">
        <x:v>Section: New Actions and Recommendations</x:v>
      </x:c>
    </x:row>
    <x:row r="136">
      <x:c r="A136" s="12" t="str">
        <x:v>RSP-0135</x:v>
      </x:c>
      <x:c r="B136" s="12" t="str">
        <x:v>SeaDAS requires an internet connection because it automatically looks for ancillary data even if you already have it locally. This creates a lot of queries from the same IP which ultimately gets the IP blocked by NASA. C</x:v>
      </x:c>
      <x:c r="C136" s="12" t="str">
        <x:v>Action item</x:v>
      </x:c>
      <x:c r="D136" s="12" t="str"/>
      <x:c r="E136" s="12" t="str">
        <x:v>Proposed</x:v>
      </x:c>
      <x:c r="F136" s="12" t="str"/>
      <x:c r="G136" s="12" t="str"/>
      <x:c r="H136" s="12" t="str">
        <x:v>SeaDAS requires an internet connection because it automatically looks for ancillary data even if you already have it locally. This creates a lot of queries from the same IP which ultimately gets the IP blocked by NASA. Can ancillary auto-find be disabled by user?</x:v>
      </x:c>
      <x:c r="I136" s="12" t="str"/>
      <x:c r="J136" s="12" t="str">
        <x:v>SRC-0004</x:v>
      </x:c>
      <x:c r="K136" s="12" t="str">
        <x:v>Section: New Actions and Recommendations</x:v>
      </x:c>
    </x:row>
    <x:row r="137">
      <x:c r="A137" s="12" t="str">
        <x:v>RSP-0136</x:v>
      </x:c>
      <x:c r="B137" s="12" t="str">
        <x:v>Tutorial requested for 1) running L2gen from command line 2) toggle flags from command line 3) customization of satellite data processing using OCSSW; OB.DAAC requested specific examples from UWG to help craft these tuto</x:v>
      </x:c>
      <x:c r="C137" s="12" t="str">
        <x:v>Action item</x:v>
      </x:c>
      <x:c r="D137" s="12" t="str"/>
      <x:c r="E137" s="12" t="str">
        <x:v>Proposed</x:v>
      </x:c>
      <x:c r="F137" s="12" t="str"/>
      <x:c r="G137" s="12" t="str"/>
      <x:c r="H137" s="12" t="str">
        <x:v>Tutorial requested for 1) running L2gen from command line 2) toggle flags from command line 3) customization of satellite data processing using OCSSW; OB.DAAC requested specific examples from UWG to help craft these tutorials.</x:v>
      </x:c>
      <x:c r="I137" s="12" t="str"/>
      <x:c r="J137" s="12" t="str">
        <x:v>SRC-0004</x:v>
      </x:c>
      <x:c r="K137" s="12" t="str">
        <x:v>Section: New Actions and Recommendations</x:v>
      </x:c>
    </x:row>
    <x:row r="138">
      <x:c r="A138" s="12" t="str">
        <x:v>RSP-0137</x:v>
      </x:c>
      <x:c r="B138" s="12" t="str">
        <x:v>UWG asked SeaDAS team what challenges they encountered moving from developing for a sensor like VIIRS to OCI which has more channels.</x:v>
      </x:c>
      <x:c r="C138" s="12" t="str">
        <x:v>Action item</x:v>
      </x:c>
      <x:c r="D138" s="12" t="str"/>
      <x:c r="E138" s="12" t="str">
        <x:v>Proposed</x:v>
      </x:c>
      <x:c r="F138" s="12" t="str"/>
      <x:c r="G138" s="12" t="str"/>
      <x:c r="H138" s="12" t="str">
        <x:v>UWG asked SeaDAS team what challenges they encountered moving from developing for a sensor like VIIRS to OCI which has more channels.</x:v>
      </x:c>
      <x:c r="I138" s="12" t="str"/>
      <x:c r="J138" s="12" t="str">
        <x:v>SRC-0004</x:v>
      </x:c>
      <x:c r="K138" s="12" t="str">
        <x:v>Section: New Actions and Recommendations</x:v>
      </x:c>
    </x:row>
    <x:row r="139">
      <x:c r="A139" s="12" t="str">
        <x:v>RSP-0138</x:v>
      </x:c>
      <x:c r="B139" s="12" t="str">
        <x:v>(A:) performance issue - slower to process OCI.</x:v>
      </x:c>
      <x:c r="C139" s="12" t="str">
        <x:v>Action item</x:v>
      </x:c>
      <x:c r="D139" s="12" t="str"/>
      <x:c r="E139" s="12" t="str">
        <x:v>Proposed</x:v>
      </x:c>
      <x:c r="F139" s="12" t="str"/>
      <x:c r="G139" s="12" t="str"/>
      <x:c r="H139" s="12" t="str">
        <x:v>(A:) performance issue - slower to process OCI.</x:v>
      </x:c>
      <x:c r="I139" s="12" t="str"/>
      <x:c r="J139" s="12" t="str">
        <x:v>SRC-0004</x:v>
      </x:c>
      <x:c r="K139" s="12" t="str">
        <x:v>Section: New Actions and Recommendations</x:v>
      </x:c>
    </x:row>
    <x:row r="140">
      <x:c r="A140" s="12" t="str">
        <x:v>RSP-0139</x:v>
      </x:c>
      <x:c r="B140" s="12" t="str">
        <x:v>Computational efficiency will be important factor when deciding what to enable SeaDAS to do in the cloud and will encourage user adoption of a cloud instance.</x:v>
      </x:c>
      <x:c r="C140" s="12" t="str">
        <x:v>Action item</x:v>
      </x:c>
      <x:c r="D140" s="12" t="str"/>
      <x:c r="E140" s="12" t="str">
        <x:v>Proposed</x:v>
      </x:c>
      <x:c r="F140" s="12" t="str"/>
      <x:c r="G140" s="12" t="str"/>
      <x:c r="H140" s="12" t="str">
        <x:v>Computational efficiency will be important factor when deciding what to enable SeaDAS to do in the cloud and will encourage user adoption of a cloud instance.</x:v>
      </x:c>
      <x:c r="I140" s="12" t="str"/>
      <x:c r="J140" s="12" t="str">
        <x:v>SRC-0004</x:v>
      </x:c>
      <x:c r="K140" s="12" t="str">
        <x:v>Section: New Actions and Recommendations</x:v>
      </x:c>
    </x:row>
    <x:row r="141">
      <x:c r="A141" s="12" t="str">
        <x:v>RSP-0140</x:v>
      </x:c>
      <x:c r="B141" s="12" t="str">
        <x:v>Enlarger requiring more local machine capacity to download and install the software. Size information is available on the SeaDAS website under Downloads &gt; SeaDAS Software Package.</x:v>
      </x:c>
      <x:c r="C141" s="12" t="str">
        <x:v>Action item</x:v>
      </x:c>
      <x:c r="D141" s="12" t="str"/>
      <x:c r="E141" s="12" t="str">
        <x:v>Proposed</x:v>
      </x:c>
      <x:c r="F141" s="12" t="str"/>
      <x:c r="G141" s="12" t="str"/>
      <x:c r="H141" s="12" t="str">
        <x:v>Enlarger requiring more local machine capacity to download and install the software. Size information is available on the SeaDAS website under Downloads &gt; SeaDAS Software Package.</x:v>
      </x:c>
      <x:c r="I141" s="12" t="str"/>
      <x:c r="J141" s="12" t="str">
        <x:v>SRC-0004</x:v>
      </x:c>
      <x:c r="K141" s="12" t="str">
        <x:v>Section: New Actions and Recommendations</x:v>
      </x:c>
    </x:row>
    <x:row r="142">
      <x:c r="A142" s="12" t="str">
        <x:v>RSP-0141</x:v>
      </x:c>
      <x:c r="B142" s="12" t="str">
        <x:v>Discussion about SeaDAS usage led to compare/contrast with other popular tools like Panoply. While UWG agrees that SeaDAS is much more powerful than a tool like Panoply, they expressed a learning curve for visualization </x:v>
      </x:c>
      <x:c r="C142" s="12" t="str">
        <x:v>Action item</x:v>
      </x:c>
      <x:c r="D142" s="12" t="str"/>
      <x:c r="E142" s="12" t="str">
        <x:v>Proposed</x:v>
      </x:c>
      <x:c r="F142" s="12" t="str"/>
      <x:c r="G142" s="12" t="str"/>
      <x:c r="H142" s="12" t="str">
        <x:v>Discussion about SeaDAS usage led to compare/contrast with other popular tools like Panoply. While UWG agrees that SeaDAS is much more powerful than a tool like Panoply, they expressed a learning curve for visualization since it just accepts lat/lon. It was suggested that tools like ArcGIS may make for a better comparison with SeaDAS in terms of capability/ease of use.</x:v>
      </x:c>
      <x:c r="I142" s="12" t="str"/>
      <x:c r="J142" s="12" t="str">
        <x:v>SRC-0004</x:v>
      </x:c>
      <x:c r="K142" s="12" t="str">
        <x:v>Section: New Actions and Recommendations</x:v>
      </x:c>
    </x:row>
    <x:row r="143">
      <x:c r="A143" s="12" t="str">
        <x:v>RSP-0142</x:v>
      </x:c>
      <x:c r="B143" s="12" t="str">
        <x:v>The move to cloud computing presents significant risks to access.</x:v>
      </x:c>
      <x:c r="C143" s="12" t="str">
        <x:v>Action item</x:v>
      </x:c>
      <x:c r="D143" s="12" t="str"/>
      <x:c r="E143" s="12" t="str">
        <x:v>Proposed</x:v>
      </x:c>
      <x:c r="F143" s="12" t="str"/>
      <x:c r="G143" s="12" t="str"/>
      <x:c r="H143" s="12" t="str">
        <x:v>Concern: The move to cloud computing presents significant risks to access.</x:v>
      </x:c>
      <x:c r="I143" s="12" t="str"/>
      <x:c r="J143" s="12" t="str">
        <x:v>SRC-0004</x:v>
      </x:c>
      <x:c r="K143" s="12" t="str">
        <x:v>Section: New Actions and Recommendations</x:v>
      </x:c>
    </x:row>
    <x:row r="144">
      <x:c r="A144" s="12" t="str">
        <x:v>RSP-0143</x:v>
      </x:c>
      <x:c r="B144" s="12" t="str">
        <x:v>Universities can't afford the costs under current internal structures.</x:v>
      </x:c>
      <x:c r="C144" s="12" t="str">
        <x:v>Action item</x:v>
      </x:c>
      <x:c r="D144" s="12" t="str"/>
      <x:c r="E144" s="12" t="str">
        <x:v>Proposed</x:v>
      </x:c>
      <x:c r="F144" s="12" t="str"/>
      <x:c r="G144" s="12" t="str"/>
      <x:c r="H144" s="12" t="str">
        <x:v>Universities can't afford the costs under current internal structures.</x:v>
      </x:c>
      <x:c r="I144" s="12" t="str"/>
      <x:c r="J144" s="12" t="str">
        <x:v>SRC-0004</x:v>
      </x:c>
      <x:c r="K144" s="12" t="str">
        <x:v>Section: New Actions and Recommendations</x:v>
      </x:c>
    </x:row>
    <x:row r="145">
      <x:c r="A145" s="12" t="str">
        <x:v>RSP-0144</x:v>
      </x:c>
      <x:c r="B145" s="12" t="str">
        <x:v>Grants may provide temporary relief, but sustainability is a concern post-grant.</x:v>
      </x:c>
      <x:c r="C145" s="12" t="str">
        <x:v>Action item</x:v>
      </x:c>
      <x:c r="D145" s="12" t="str"/>
      <x:c r="E145" s="12" t="str">
        <x:v>Proposed</x:v>
      </x:c>
      <x:c r="F145" s="12" t="str"/>
      <x:c r="G145" s="12" t="str"/>
      <x:c r="H145" s="12" t="str">
        <x:v>Grants may provide temporary relief, but sustainability is a concern post-grant.</x:v>
      </x:c>
      <x:c r="I145" s="12" t="str"/>
      <x:c r="J145" s="12" t="str">
        <x:v>SRC-0004</x:v>
      </x:c>
      <x:c r="K145" s="12" t="str">
        <x:v>Section: New Actions and Recommendations</x:v>
      </x:c>
    </x:row>
    <x:row r="146">
      <x:c r="A146" s="12" t="str">
        <x:v>RSP-0145</x:v>
      </x:c>
      <x:c r="B146" s="12" t="str">
        <x:v>Funding for classroom/university settings is uncertain.</x:v>
      </x:c>
      <x:c r="C146" s="12" t="str">
        <x:v>Action item</x:v>
      </x:c>
      <x:c r="D146" s="12" t="str"/>
      <x:c r="E146" s="12" t="str">
        <x:v>Proposed</x:v>
      </x:c>
      <x:c r="F146" s="12" t="str"/>
      <x:c r="G146" s="12" t="str"/>
      <x:c r="H146" s="12" t="str">
        <x:v>Funding for classroom/university settings is uncertain.</x:v>
      </x:c>
      <x:c r="I146" s="12" t="str"/>
      <x:c r="J146" s="12" t="str">
        <x:v>SRC-0004</x:v>
      </x:c>
      <x:c r="K146" s="12" t="str">
        <x:v>Section: New Actions and Recommendations</x:v>
      </x:c>
    </x:row>
    <x:row r="147">
      <x:c r="A147" s="12" t="str">
        <x:v>RSP-0146</x:v>
      </x:c>
      <x:c r="B147" s="12" t="str">
        <x:v>Partnerships with NIH and NSF to address concerns collectively.</x:v>
      </x:c>
      <x:c r="C147" s="12" t="str">
        <x:v>Action item</x:v>
      </x:c>
      <x:c r="D147" s="12" t="str"/>
      <x:c r="E147" s="12" t="str">
        <x:v>Proposed</x:v>
      </x:c>
      <x:c r="F147" s="12" t="str"/>
      <x:c r="G147" s="12" t="str"/>
      <x:c r="H147" s="12" t="str">
        <x:v>Partnerships with NIH and NSF to address concerns collectively.</x:v>
      </x:c>
      <x:c r="I147" s="12" t="str"/>
      <x:c r="J147" s="12" t="str">
        <x:v>SRC-0004</x:v>
      </x:c>
      <x:c r="K147" s="12" t="str">
        <x:v>Section: New Actions and Recommendations</x:v>
      </x:c>
    </x:row>
    <x:row r="148">
      <x:c r="A148" s="12" t="str">
        <x:v>RSP-0147</x:v>
      </x:c>
      <x:c r="B148" s="12" t="str">
        <x:v>Perform data transformations to alleviate data size and machine capacity issues.</x:v>
      </x:c>
      <x:c r="C148" s="12" t="str">
        <x:v>Action item</x:v>
      </x:c>
      <x:c r="D148" s="12" t="str"/>
      <x:c r="E148" s="12" t="str">
        <x:v>Proposed</x:v>
      </x:c>
      <x:c r="F148" s="12" t="str"/>
      <x:c r="G148" s="12" t="str"/>
      <x:c r="H148" s="12" t="str">
        <x:v>Perform data transformations to alleviate data size and machine capacity issues.</x:v>
      </x:c>
      <x:c r="I148" s="12" t="str"/>
      <x:c r="J148" s="12" t="str">
        <x:v>SRC-0004</x:v>
      </x:c>
      <x:c r="K148" s="12" t="str">
        <x:v>Section: New Actions and Recommendations</x:v>
      </x:c>
    </x:row>
    <x:row r="149">
      <x:c r="A149" s="12" t="str">
        <x:v>RSP-0148</x:v>
      </x:c>
      <x:c r="B149" s="12" t="str">
        <x:v>Consider models like Copernicus to lessen user cost burdens.</x:v>
      </x:c>
      <x:c r="C149" s="12" t="str">
        <x:v>Action item</x:v>
      </x:c>
      <x:c r="D149" s="12" t="str"/>
      <x:c r="E149" s="12" t="str">
        <x:v>Proposed</x:v>
      </x:c>
      <x:c r="F149" s="12" t="str"/>
      <x:c r="G149" s="12" t="str"/>
      <x:c r="H149" s="12" t="str">
        <x:v>Consider models like Copernicus to lessen user cost burdens.</x:v>
      </x:c>
      <x:c r="I149" s="12" t="str"/>
      <x:c r="J149" s="12" t="str">
        <x:v>SRC-0004</x:v>
      </x:c>
      <x:c r="K149" s="12" t="str">
        <x:v>Section: New Actions and Recommendations</x:v>
      </x:c>
    </x:row>
    <x:row r="150">
      <x:c r="A150" s="12" t="str">
        <x:v>RSP-0149</x:v>
      </x:c>
      <x:c r="B150" s="12" t="str">
        <x:v>NASA should focus on ensuring equitable access and avoid cost traps with private services.</x:v>
      </x:c>
      <x:c r="C150" s="12" t="str">
        <x:v>Action item</x:v>
      </x:c>
      <x:c r="D150" s="12" t="str"/>
      <x:c r="E150" s="12" t="str">
        <x:v>Proposed</x:v>
      </x:c>
      <x:c r="F150" s="12" t="str"/>
      <x:c r="G150" s="12" t="str"/>
      <x:c r="H150" s="12" t="str">
        <x:v>NASA should focus on ensuring equitable access and avoid cost traps with private services.</x:v>
      </x:c>
      <x:c r="I150" s="12" t="str"/>
      <x:c r="J150" s="12" t="str">
        <x:v>SRC-0004</x:v>
      </x:c>
      <x:c r="K150" s="12" t="str">
        <x:v>Section: New Actions and Recommendations</x:v>
      </x:c>
    </x:row>
    <x:row r="151">
      <x:c r="A151" s="12" t="str">
        <x:v>RSP-0150</x:v>
      </x:c>
      <x:c r="B151" s="12" t="str">
        <x:v>Users are worried about potential charges for previously free services like Google Earth Engine.</x:v>
      </x:c>
      <x:c r="C151" s="12" t="str">
        <x:v>Action item</x:v>
      </x:c>
      <x:c r="D151" s="12" t="str"/>
      <x:c r="E151" s="12" t="str">
        <x:v>Proposed</x:v>
      </x:c>
      <x:c r="F151" s="12" t="str"/>
      <x:c r="G151" s="12" t="str"/>
      <x:c r="H151" s="12" t="str">
        <x:v>Concern: Users are worried about potential charges for previously free services like Google Earth Engine.</x:v>
      </x:c>
      <x:c r="I151" s="12" t="str"/>
      <x:c r="J151" s="12" t="str">
        <x:v>SRC-0004</x:v>
      </x:c>
      <x:c r="K151" s="12" t="str">
        <x:v>Section: New Actions and Recommendations</x:v>
      </x:c>
    </x:row>
    <x:row r="152">
      <x:c r="A152" s="12" t="str">
        <x:v>RSP-0151</x:v>
      </x:c>
      <x:c r="B152" s="12" t="str">
        <x:v>Under-resourced users rely on free services.</x:v>
      </x:c>
      <x:c r="C152" s="12" t="str">
        <x:v>Action item</x:v>
      </x:c>
      <x:c r="D152" s="12" t="str"/>
      <x:c r="E152" s="12" t="str">
        <x:v>Proposed</x:v>
      </x:c>
      <x:c r="F152" s="12" t="str"/>
      <x:c r="G152" s="12" t="str"/>
      <x:c r="H152" s="12" t="str">
        <x:v>Under-resourced users rely on free services.</x:v>
      </x:c>
      <x:c r="I152" s="12" t="str"/>
      <x:c r="J152" s="12" t="str">
        <x:v>SRC-0004</x:v>
      </x:c>
      <x:c r="K152" s="12" t="str">
        <x:v>Section: New Actions and Recommendations</x:v>
      </x:c>
    </x:row>
    <x:row r="153">
      <x:c r="A153" s="12" t="str">
        <x:v>RSP-0152</x:v>
      </x:c>
      <x:c r="B153" s="12" t="str">
        <x:v>Examples like UC Berkeley's sudden end of Google's free tier cause concern.</x:v>
      </x:c>
      <x:c r="C153" s="12" t="str">
        <x:v>Action item</x:v>
      </x:c>
      <x:c r="D153" s="12" t="str"/>
      <x:c r="E153" s="12" t="str">
        <x:v>Proposed</x:v>
      </x:c>
      <x:c r="F153" s="12" t="str"/>
      <x:c r="G153" s="12" t="str"/>
      <x:c r="H153" s="12" t="str">
        <x:v>Examples like UC Berkeley's sudden end of Google's free tier cause concern.</x:v>
      </x:c>
      <x:c r="I153" s="12" t="str"/>
      <x:c r="J153" s="12" t="str">
        <x:v>SRC-0004</x:v>
      </x:c>
      <x:c r="K153" s="12" t="str">
        <x:v>Section: New Actions and Recommendations</x:v>
      </x:c>
    </x:row>
    <x:row r="154">
      <x:c r="A154" s="12" t="str">
        <x:v>RSP-0153</x:v>
      </x:c>
      <x:c r="B154" s="12" t="str">
        <x:v>Define use cases for cloud computing to help users understand costs.</x:v>
      </x:c>
      <x:c r="C154" s="12" t="str">
        <x:v>Action item</x:v>
      </x:c>
      <x:c r="D154" s="12" t="str"/>
      <x:c r="E154" s="12" t="str">
        <x:v>Proposed</x:v>
      </x:c>
      <x:c r="F154" s="12" t="str"/>
      <x:c r="G154" s="12" t="str"/>
      <x:c r="H154" s="12" t="str">
        <x:v>Define use cases for cloud computing to help users understand costs.</x:v>
      </x:c>
      <x:c r="I154" s="12" t="str"/>
      <x:c r="J154" s="12" t="str">
        <x:v>SRC-0004</x:v>
      </x:c>
      <x:c r="K154" s="12" t="str">
        <x:v>Section: New Actions and Recommendations</x:v>
      </x:c>
    </x:row>
    <x:row r="155">
      <x:c r="A155" s="12" t="str">
        <x:v>RSP-0154</x:v>
      </x:c>
      <x:c r="B155" s="12" t="str">
        <x:v>Provide cloud usage statistics (like those from EO Browser) to help users plan for computational costs.</x:v>
      </x:c>
      <x:c r="C155" s="12" t="str">
        <x:v>Action item</x:v>
      </x:c>
      <x:c r="D155" s="12" t="str"/>
      <x:c r="E155" s="12" t="str">
        <x:v>Proposed</x:v>
      </x:c>
      <x:c r="F155" s="12" t="str"/>
      <x:c r="G155" s="12" t="str"/>
      <x:c r="H155" s="12" t="str">
        <x:v>Provide cloud usage statistics (like those from EO Browser) to help users plan for computational costs.</x:v>
      </x:c>
      <x:c r="I155" s="12" t="str"/>
      <x:c r="J155" s="12" t="str">
        <x:v>SRC-0004</x:v>
      </x:c>
      <x:c r="K155" s="12" t="str">
        <x:v>Section: New Actions and Recommendations</x:v>
      </x:c>
    </x:row>
    <x:row r="156">
      <x:c r="A156" s="12" t="str">
        <x:v>RSP-0155</x:v>
      </x:c>
      <x:c r="B156" s="12" t="str">
        <x:v>Ensure downloading NASA data from the cloud remains free, though computing costs are the user’s responsibility.</x:v>
      </x:c>
      <x:c r="C156" s="12" t="str">
        <x:v>Action item</x:v>
      </x:c>
      <x:c r="D156" s="12" t="str"/>
      <x:c r="E156" s="12" t="str">
        <x:v>Proposed</x:v>
      </x:c>
      <x:c r="F156" s="12" t="str"/>
      <x:c r="G156" s="12" t="str"/>
      <x:c r="H156" s="12" t="str">
        <x:v>Ensure downloading NASA data from the cloud remains free, though computing costs are the user’s responsibility.</x:v>
      </x:c>
      <x:c r="I156" s="12" t="str"/>
      <x:c r="J156" s="12" t="str">
        <x:v>SRC-0004</x:v>
      </x:c>
      <x:c r="K156" s="12" t="str">
        <x:v>Section: New Actions and Recommendations</x:v>
      </x:c>
    </x:row>
    <x:row r="157">
      <x:c r="A157" s="12" t="str">
        <x:v>RSP-0156</x:v>
      </x:c>
      <x:c r="B157" s="12" t="str">
        <x:v>Securing funding for cloud computing in certain areas.</x:v>
      </x:c>
      <x:c r="C157" s="12" t="str">
        <x:v>Action item</x:v>
      </x:c>
      <x:c r="D157" s="12" t="str"/>
      <x:c r="E157" s="12" t="str">
        <x:v>Proposed</x:v>
      </x:c>
      <x:c r="F157" s="12" t="str"/>
      <x:c r="G157" s="12" t="str"/>
      <x:c r="H157" s="12" t="str">
        <x:v>Concern: Securing funding for cloud computing in certain areas.</x:v>
      </x:c>
      <x:c r="I157" s="12" t="str"/>
      <x:c r="J157" s="12" t="str">
        <x:v>SRC-0004</x:v>
      </x:c>
      <x:c r="K157" s="12" t="str">
        <x:v>Section: New Actions and Recommendations</x:v>
      </x:c>
    </x:row>
    <x:row r="158">
      <x:c r="A158" s="12" t="str">
        <x:v>RSP-0157</x:v>
      </x:c>
      <x:c r="B158" s="12" t="str">
        <x:v>Privatization of resources could negatively affect science outcomes.</x:v>
      </x:c>
      <x:c r="C158" s="12" t="str">
        <x:v>Action item</x:v>
      </x:c>
      <x:c r="D158" s="12" t="str"/>
      <x:c r="E158" s="12" t="str">
        <x:v>Proposed</x:v>
      </x:c>
      <x:c r="F158" s="12" t="str"/>
      <x:c r="G158" s="12" t="str"/>
      <x:c r="H158" s="12" t="str">
        <x:v>Privatization of resources could negatively affect science outcomes.</x:v>
      </x:c>
      <x:c r="I158" s="12" t="str"/>
      <x:c r="J158" s="12" t="str">
        <x:v>SRC-0004</x:v>
      </x:c>
      <x:c r="K158" s="12" t="str">
        <x:v>Section: New Actions and Recommendations</x:v>
      </x:c>
    </x:row>
    <x:row r="159">
      <x:c r="A159" s="12" t="str">
        <x:v>RSP-0158</x:v>
      </x:c>
      <x:c r="B159" s="12" t="str">
        <x:v>Collaborate between NASA, NSF, and NIH to improve coordination and avoid cost traps.</x:v>
      </x:c>
      <x:c r="C159" s="12" t="str">
        <x:v>Action item</x:v>
      </x:c>
      <x:c r="D159" s="12" t="str"/>
      <x:c r="E159" s="12" t="str">
        <x:v>Proposed</x:v>
      </x:c>
      <x:c r="F159" s="12" t="str"/>
      <x:c r="G159" s="12" t="str"/>
      <x:c r="H159" s="12" t="str">
        <x:v>Collaborate between NASA, NSF, and NIH to improve coordination and avoid cost traps.</x:v>
      </x:c>
      <x:c r="I159" s="12" t="str"/>
      <x:c r="J159" s="12" t="str">
        <x:v>SRC-0004</x:v>
      </x:c>
      <x:c r="K159" s="12" t="str">
        <x:v>Section: New Actions and Recommendations</x:v>
      </x:c>
    </x:row>
    <x:row r="160">
      <x:c r="A160" s="12" t="str">
        <x:v>RSP-0159</x:v>
      </x:c>
      <x:c r="B160" s="12" t="str">
        <x:v>NASA HQ should address broader trends in privatization to ensure appropriate resource allocation.</x:v>
      </x:c>
      <x:c r="C160" s="12" t="str">
        <x:v>Action item</x:v>
      </x:c>
      <x:c r="D160" s="12" t="str"/>
      <x:c r="E160" s="12" t="str">
        <x:v>Proposed</x:v>
      </x:c>
      <x:c r="F160" s="12" t="str"/>
      <x:c r="G160" s="12" t="str"/>
      <x:c r="H160" s="12" t="str">
        <x:v>NASA HQ should address broader trends in privatization to ensure appropriate resource allocation.</x:v>
      </x:c>
      <x:c r="I160" s="12" t="str"/>
      <x:c r="J160" s="12" t="str">
        <x:v>SRC-0004</x:v>
      </x:c>
      <x:c r="K160" s="12" t="str">
        <x:v>Section: New Actions and Recommendations</x:v>
      </x:c>
    </x:row>
    <x:row r="161">
      <x:c r="A161" s="12" t="str">
        <x:v>RSP-0160</x:v>
      </x:c>
      <x:c r="B161" s="12" t="str">
        <x:v>Better communication and understanding of other DAACs’ activities.</x:v>
      </x:c>
      <x:c r="C161" s="12" t="str">
        <x:v>Action item</x:v>
      </x:c>
      <x:c r="D161" s="12" t="str"/>
      <x:c r="E161" s="12" t="str">
        <x:v>Proposed</x:v>
      </x:c>
      <x:c r="F161" s="12" t="str"/>
      <x:c r="G161" s="12" t="str"/>
      <x:c r="H161" s="12" t="str">
        <x:v>Concern: Better communication and understanding of other DAACs’ activities.</x:v>
      </x:c>
      <x:c r="I161" s="12" t="str"/>
      <x:c r="J161" s="12" t="str">
        <x:v>SRC-0004</x:v>
      </x:c>
      <x:c r="K161" s="12" t="str">
        <x:v>Section: New Actions and Recommendations</x:v>
      </x:c>
    </x:row>
    <x:row r="162">
      <x:c r="A162" s="12" t="str">
        <x:v>RSP-0161</x:v>
      </x:c>
      <x:c r="B162" s="12" t="str">
        <x:v>Lack of interaction across DAACs' UWGs.</x:v>
      </x:c>
      <x:c r="C162" s="12" t="str">
        <x:v>Action item</x:v>
      </x:c>
      <x:c r="D162" s="12" t="str"/>
      <x:c r="E162" s="12" t="str">
        <x:v>Proposed</x:v>
      </x:c>
      <x:c r="F162" s="12" t="str"/>
      <x:c r="G162" s="12" t="str"/>
      <x:c r="H162" s="12" t="str">
        <x:v>Lack of interaction across DAACs' UWGs.</x:v>
      </x:c>
      <x:c r="I162" s="12" t="str"/>
      <x:c r="J162" s="12" t="str">
        <x:v>SRC-0004</x:v>
      </x:c>
      <x:c r="K162" s="12" t="str">
        <x:v>Section: New Actions and Recommendations</x:v>
      </x:c>
    </x:row>
    <x:row r="163">
      <x:c r="A163" s="12" t="str">
        <x:v>RSP-0162</x:v>
      </x:c>
      <x:c r="B163" s="12" t="str">
        <x:v>ESDIS is developing a combined working group (ESWG) to discuss common needs, issues, and solutions.</x:v>
      </x:c>
      <x:c r="C163" s="12" t="str">
        <x:v>Action item</x:v>
      </x:c>
      <x:c r="D163" s="12" t="str"/>
      <x:c r="E163" s="12" t="str">
        <x:v>Proposed</x:v>
      </x:c>
      <x:c r="F163" s="12" t="str"/>
      <x:c r="G163" s="12" t="str"/>
      <x:c r="H163" s="12" t="str">
        <x:v>ESDIS is developing a combined working group (ESWG) to discuss common needs, issues, and solutions.</x:v>
      </x:c>
      <x:c r="I163" s="12" t="str"/>
      <x:c r="J163" s="12" t="str">
        <x:v>SRC-0004</x:v>
      </x:c>
      <x:c r="K163" s="12" t="str">
        <x:v>Section: New Actions and Recommendations</x:v>
      </x:c>
    </x:row>
    <x:row r="164">
      <x:c r="A164" s="12" t="str">
        <x:v>RSP-0163</x:v>
      </x:c>
      <x:c r="B164" s="12" t="str">
        <x:v>New Action Items</x:v>
      </x:c>
      <x:c r="C164" s="12" t="str">
        <x:v>Action item</x:v>
      </x:c>
      <x:c r="D164" s="12" t="str"/>
      <x:c r="E164" s="12" t="str">
        <x:v>Proposed</x:v>
      </x:c>
      <x:c r="F164" s="12" t="str"/>
      <x:c r="G164" s="12" t="str"/>
      <x:c r="H164" s="12" t="str">
        <x:v>New Action Items</x:v>
      </x:c>
      <x:c r="I164" s="12" t="str"/>
      <x:c r="J164" s="12" t="str">
        <x:v>SRC-0004</x:v>
      </x:c>
      <x:c r="K164" s="12" t="str">
        <x:v>Section: New Actions and Recommendations</x:v>
      </x:c>
    </x:row>
    <x:row r="165">
      <x:c r="A165" s="12" t="str">
        <x:v>RSP-0164</x:v>
      </x:c>
      <x:c r="B165" s="12" t="str">
        <x:v>Explore creating merged products composed of complementary datasets (for PACE to start).</x:v>
      </x:c>
      <x:c r="C165" s="12" t="str">
        <x:v>Action item</x:v>
      </x:c>
      <x:c r="D165" s="12" t="str"/>
      <x:c r="E165" s="12" t="str">
        <x:v>Proposed</x:v>
      </x:c>
      <x:c r="F165" s="12" t="str"/>
      <x:c r="G165" s="12" t="str"/>
      <x:c r="H165" s="12" t="str">
        <x:v>Explore creating merged products composed of complementary datasets (for PACE to start).</x:v>
      </x:c>
      <x:c r="I165" s="12" t="str"/>
      <x:c r="J165" s="12" t="str">
        <x:v>SRC-0004</x:v>
      </x:c>
      <x:c r="K165" s="12" t="str">
        <x:v>Section: New Actions and Recommendations</x:v>
      </x:c>
    </x:row>
    <x:row r="166">
      <x:c r="A166" s="12" t="str">
        <x:v>RSP-0165</x:v>
      </x:c>
      <x:c r="B166" s="12" t="str">
        <x:v>Contact NSIDC to learn about their notification mechanism used to report changes in datasets to user community.</x:v>
      </x:c>
      <x:c r="C166" s="12" t="str">
        <x:v>Action item</x:v>
      </x:c>
      <x:c r="D166" s="12" t="str"/>
      <x:c r="E166" s="12" t="str">
        <x:v>Proposed</x:v>
      </x:c>
      <x:c r="F166" s="12" t="str"/>
      <x:c r="G166" s="12" t="str"/>
      <x:c r="H166" s="12" t="str">
        <x:v>Contact NSIDC to learn about their notification mechanism used to report changes in datasets to user community.</x:v>
      </x:c>
      <x:c r="I166" s="12" t="str"/>
      <x:c r="J166" s="12" t="str">
        <x:v>SRC-0004</x:v>
      </x:c>
      <x:c r="K166" s="12" t="str">
        <x:v>Section: New Actions and Recommendations</x:v>
      </x:c>
    </x:row>
    <x:row r="167">
      <x:c r="A167" s="12" t="str">
        <x:v>RSP-0166</x:v>
      </x:c>
      <x:c r="B167" s="12" t="str">
        <x:v>Look into feasibility of using EULA mechanism in EDL to force users to acknowledge data version.</x:v>
      </x:c>
      <x:c r="C167" s="12" t="str">
        <x:v>Action item</x:v>
      </x:c>
      <x:c r="D167" s="12" t="str"/>
      <x:c r="E167" s="12" t="str">
        <x:v>Proposed</x:v>
      </x:c>
      <x:c r="F167" s="12" t="str"/>
      <x:c r="G167" s="12" t="str"/>
      <x:c r="H167" s="12" t="str">
        <x:v>Look into feasibility of using EULA mechanism in EDL to force users to acknowledge data version.</x:v>
      </x:c>
      <x:c r="I167" s="12" t="str"/>
      <x:c r="J167" s="12" t="str">
        <x:v>SRC-0004</x:v>
      </x:c>
      <x:c r="K167" s="12" t="str">
        <x:v>Section: New Actions and Recommendations</x:v>
      </x:c>
    </x:row>
    <x:row r="168">
      <x:c r="A168" s="12" t="str">
        <x:v>RSP-0167</x:v>
      </x:c>
      <x:c r="B168" s="12" t="str">
        <x:v>Look into adding metadata to collections to include release notes link.</x:v>
      </x:c>
      <x:c r="C168" s="12" t="str">
        <x:v>Action item</x:v>
      </x:c>
      <x:c r="D168" s="12" t="str"/>
      <x:c r="E168" s="12" t="str">
        <x:v>Proposed</x:v>
      </x:c>
      <x:c r="F168" s="12" t="str"/>
      <x:c r="G168" s="12" t="str"/>
      <x:c r="H168" s="12" t="str">
        <x:v>Look into adding metadata to collections to include release notes link.</x:v>
      </x:c>
      <x:c r="I168" s="12" t="str"/>
      <x:c r="J168" s="12" t="str">
        <x:v>SRC-0004</x:v>
      </x:c>
      <x:c r="K168" s="12" t="str">
        <x:v>Section: New Actions and Recommendations</x:v>
      </x:c>
    </x:row>
    <x:row r="169">
      <x:c r="A169" s="12" t="str">
        <x:v>RSP-0168</x:v>
      </x:c>
      <x:c r="B169" s="12" t="str">
        <x:v>Look into requesting new metadata field for science data product stage (Std, provisional, test, special) -AND-</x:v>
      </x:c>
      <x:c r="C169" s="12" t="str">
        <x:v>Action item</x:v>
      </x:c>
      <x:c r="D169" s="12" t="str"/>
      <x:c r="E169" s="12" t="str">
        <x:v>Proposed</x:v>
      </x:c>
      <x:c r="F169" s="12" t="str"/>
      <x:c r="G169" s="12" t="str"/>
      <x:c r="H169" s="12" t="str">
        <x:v>Look into requesting new metadata field for science data product stage (Std, provisional, test, special) -AND-</x:v>
      </x:c>
      <x:c r="I169" s="12" t="str"/>
      <x:c r="J169" s="12" t="str">
        <x:v>SRC-0004</x:v>
      </x:c>
      <x:c r="K169" s="12" t="str">
        <x:v>Section: New Actions and Recommendations</x:v>
      </x:c>
    </x:row>
    <x:row r="170">
      <x:c r="A170" s="12" t="str">
        <x:v>RSP-0169</x:v>
      </x:c>
      <x:c r="B170" s="12" t="str">
        <x:v>will also consider adding Science Data Product Implementation Plan as related URL to collection metadata so information about data product stage procedure is accessible from product.</x:v>
      </x:c>
      <x:c r="C170" s="12" t="str">
        <x:v>Action item</x:v>
      </x:c>
      <x:c r="D170" s="12" t="str"/>
      <x:c r="E170" s="12" t="str">
        <x:v>Proposed</x:v>
      </x:c>
      <x:c r="F170" s="12" t="str"/>
      <x:c r="G170" s="12" t="str"/>
      <x:c r="H170" s="12" t="str">
        <x:v>will also consider adding Science Data Product Implementation Plan as related URL to collection metadata so information about data product stage procedure is accessible from product.</x:v>
      </x:c>
      <x:c r="I170" s="12" t="str"/>
      <x:c r="J170" s="12" t="str">
        <x:v>SRC-0004</x:v>
      </x:c>
      <x:c r="K170" s="12" t="str">
        <x:v>Section: New Actions and Recommendations</x:v>
      </x:c>
    </x:row>
    <x:row r="171">
      <x:c r="A171" s="12" t="str">
        <x:v>RSP-0170</x:v>
      </x:c>
      <x:c r="B171" s="12" t="str">
        <x:v>Contact EMS for user breakdown in the past year for OB.DAAC.</x:v>
      </x:c>
      <x:c r="C171" s="12" t="str">
        <x:v>Action item</x:v>
      </x:c>
      <x:c r="D171" s="12" t="str"/>
      <x:c r="E171" s="12" t="str">
        <x:v>Proposed</x:v>
      </x:c>
      <x:c r="F171" s="12" t="str"/>
      <x:c r="G171" s="12" t="str"/>
      <x:c r="H171" s="12" t="str">
        <x:v>Contact EMS for user breakdown in the past year for OB.DAAC.</x:v>
      </x:c>
      <x:c r="I171" s="12" t="str"/>
      <x:c r="J171" s="12" t="str">
        <x:v>SRC-0004</x:v>
      </x:c>
      <x:c r="K171" s="12" t="str">
        <x:v>Section: New Actions and Recommendations</x:v>
      </x:c>
    </x:row>
    <x:row r="172">
      <x:c r="A172" s="12" t="str">
        <x:v>RSP-0171</x:v>
      </x:c>
      <x:c r="B172" s="12" t="str">
        <x:v>OB.DAAC will investigate adding keywords for sub-products into OC and IOP collections.</x:v>
      </x:c>
      <x:c r="C172" s="12" t="str">
        <x:v>Action item</x:v>
      </x:c>
      <x:c r="D172" s="12" t="str"/>
      <x:c r="E172" s="12" t="str">
        <x:v>Proposed</x:v>
      </x:c>
      <x:c r="F172" s="12" t="str"/>
      <x:c r="G172" s="12" t="str"/>
      <x:c r="H172" s="12" t="str">
        <x:v>OB.DAAC will investigate adding keywords for sub-products into OC and IOP collections.</x:v>
      </x:c>
      <x:c r="I172" s="12" t="str"/>
      <x:c r="J172" s="12" t="str">
        <x:v>SRC-0004</x:v>
      </x:c>
      <x:c r="K172" s="12" t="str">
        <x:v>Section: New Actions and Recommendations</x:v>
      </x:c>
    </x:row>
    <x:row r="173">
      <x:c r="A173" s="12" t="str">
        <x:v>RSP-0172</x:v>
      </x:c>
      <x:c r="B173" s="12" t="str">
        <x:v>Enable SeaBASS download reporting in EMS/the Cloud.</x:v>
      </x:c>
      <x:c r="C173" s="12" t="str">
        <x:v>Action item</x:v>
      </x:c>
      <x:c r="D173" s="12" t="str"/>
      <x:c r="E173" s="12" t="str">
        <x:v>Proposed</x:v>
      </x:c>
      <x:c r="F173" s="12" t="str"/>
      <x:c r="G173" s="12" t="str"/>
      <x:c r="H173" s="12" t="str">
        <x:v>Enable SeaBASS download reporting in EMS/the Cloud.</x:v>
      </x:c>
      <x:c r="I173" s="12" t="str"/>
      <x:c r="J173" s="12" t="str">
        <x:v>SRC-0004</x:v>
      </x:c>
      <x:c r="K173" s="12" t="str">
        <x:v>Section: New Actions and Recommendations</x:v>
      </x:c>
    </x:row>
    <x:row r="174">
      <x:c r="A174" s="12" t="str">
        <x:v>RSP-0173</x:v>
      </x:c>
      <x:c r="B174" s="12" t="str">
        <x:v>An update on the final decision about CALIOP will be provided to the UWG in October.</x:v>
      </x:c>
      <x:c r="C174" s="12" t="str">
        <x:v>Action item</x:v>
      </x:c>
      <x:c r="D174" s="12" t="str"/>
      <x:c r="E174" s="12" t="str">
        <x:v>Proposed</x:v>
      </x:c>
      <x:c r="F174" s="12" t="str"/>
      <x:c r="G174" s="12" t="str"/>
      <x:c r="H174" s="12" t="str">
        <x:v>An update on the final decision about CALIOP will be provided to the UWG in October.</x:v>
      </x:c>
      <x:c r="I174" s="12" t="str"/>
      <x:c r="J174" s="12" t="str">
        <x:v>SRC-0004</x:v>
      </x:c>
      <x:c r="K174" s="12" t="str">
        <x:v>Section: New Actions and Recommendations</x:v>
      </x:c>
    </x:row>
    <x:row r="175">
      <x:c r="A175" s="12" t="str">
        <x:v>RSP-0174</x:v>
      </x:c>
      <x:c r="B175" s="12" t="str">
        <x:v>SeaDAS will develop a tutorial that lets users know Windows requires subsystem for Linux (WSL 2) to run Docker (https://docs.docker.com/desktop/wsl/).</x:v>
      </x:c>
      <x:c r="C175" s="12" t="str">
        <x:v>Action item</x:v>
      </x:c>
      <x:c r="D175" s="12" t="str"/>
      <x:c r="E175" s="12" t="str">
        <x:v>Proposed</x:v>
      </x:c>
      <x:c r="F175" s="12" t="str"/>
      <x:c r="G175" s="12" t="str"/>
      <x:c r="H175" s="12" t="str">
        <x:v>SeaDAS will develop a tutorial that lets users know Windows requires subsystem for Linux (WSL 2) to run Docker (https://docs.docker.com/desktop/wsl/).</x:v>
      </x:c>
      <x:c r="I175" s="12" t="str"/>
      <x:c r="J175" s="12" t="str">
        <x:v>SRC-0004</x:v>
      </x:c>
      <x:c r="K175" s="12" t="str">
        <x:v>Section: New Actions and Recommendations</x:v>
      </x:c>
    </x:row>
    <x:row r="176">
      <x:c r="A176" s="12" t="str">
        <x:v>RSP-0175</x:v>
      </x:c>
      <x:c r="B176" s="12" t="str">
        <x:v>SeaDAS is considering ways to return just the subset of data users want vs giving them all the data.</x:v>
      </x:c>
      <x:c r="C176" s="12" t="str">
        <x:v>Action item</x:v>
      </x:c>
      <x:c r="D176" s="12" t="str"/>
      <x:c r="E176" s="12" t="str">
        <x:v>Proposed</x:v>
      </x:c>
      <x:c r="F176" s="12" t="str"/>
      <x:c r="G176" s="12" t="str"/>
      <x:c r="H176" s="12" t="str">
        <x:v>SeaDAS is considering ways to return just the subset of data users want vs giving them all the data.</x:v>
      </x:c>
      <x:c r="I176" s="12" t="str"/>
      <x:c r="J176" s="12" t="str">
        <x:v>SRC-0004</x:v>
      </x:c>
      <x:c r="K176" s="12" t="str">
        <x:v>Section: New Actions and Recommendations</x:v>
      </x:c>
    </x:row>
    <x:row r="177">
      <x:c r="A177" s="12" t="str">
        <x:v>RSP-0176</x:v>
      </x:c>
      <x:c r="B177" s="12" t="str">
        <x:v>OB.DAAC will coordinate with ARSET if scheduling a training for pulling data from Earthdata Search rather than the Level 1 and 2 Browser seems like a viable training to request.</x:v>
      </x:c>
      <x:c r="C177" s="12" t="str">
        <x:v>Action item</x:v>
      </x:c>
      <x:c r="D177" s="12" t="str"/>
      <x:c r="E177" s="12" t="str">
        <x:v>Proposed</x:v>
      </x:c>
      <x:c r="F177" s="12" t="str"/>
      <x:c r="G177" s="12" t="str"/>
      <x:c r="H177" s="12" t="str">
        <x:v>OB.DAAC will coordinate with ARSET if scheduling a training for pulling data from Earthdata Search rather than the Level 1 and 2 Browser seems like a viable training to request.</x:v>
      </x:c>
      <x:c r="I177" s="12" t="str"/>
      <x:c r="J177" s="12" t="str">
        <x:v>SRC-0004</x:v>
      </x:c>
      <x:c r="K177" s="12" t="str">
        <x:v>Section: New Actions and Recommendations</x:v>
      </x:c>
    </x:row>
    <x:row r="178">
      <x:c r="A178" s="12" t="str">
        <x:v>RSP-0177</x:v>
      </x:c>
      <x:c r="B178" s="12" t="str">
        <x:v>OB.DAAC will obtain user statistics and share with UWG.</x:v>
      </x:c>
      <x:c r="C178" s="12" t="str">
        <x:v>Action item</x:v>
      </x:c>
      <x:c r="D178" s="12" t="str"/>
      <x:c r="E178" s="12" t="str">
        <x:v>Proposed</x:v>
      </x:c>
      <x:c r="F178" s="12" t="str"/>
      <x:c r="G178" s="12" t="str"/>
      <x:c r="H178" s="12" t="str">
        <x:v>OB.DAAC will obtain user statistics and share with UWG.</x:v>
      </x:c>
      <x:c r="I178" s="12" t="str"/>
      <x:c r="J178" s="12" t="str">
        <x:v>SRC-0004</x:v>
      </x:c>
      <x:c r="K178" s="12" t="str">
        <x:v>Section: New Actions and Recommendations</x:v>
      </x:c>
    </x:row>
    <x:row r="179">
      <x:c r="A179" s="12" t="str">
        <x:v>RSP-0178</x:v>
      </x:c>
      <x:c r="B179" s="12" t="str">
        <x:v>The 2023 UWG report will be emailed to the group.</x:v>
      </x:c>
      <x:c r="C179" s="12" t="str">
        <x:v>Action item</x:v>
      </x:c>
      <x:c r="D179" s="12" t="str"/>
      <x:c r="E179" s="12" t="str">
        <x:v>Proposed</x:v>
      </x:c>
      <x:c r="F179" s="12" t="str"/>
      <x:c r="G179" s="12" t="str"/>
      <x:c r="H179" s="12" t="str">
        <x:v>The 2023 UWG report will be emailed to the group.</x:v>
      </x:c>
      <x:c r="I179" s="12" t="str"/>
      <x:c r="J179" s="12" t="str">
        <x:v>SRC-0004</x:v>
      </x:c>
      <x:c r="K179" s="12" t="str">
        <x:v>Section: New Actions and Recommendations</x:v>
      </x:c>
    </x:row>
    <x:row r="180">
      <x:c r="A180" s="12" t="str">
        <x:v>RSP-0179</x:v>
      </x:c>
      <x:c r="B180" s="12" t="str">
        <x:v>Mailing list is not working well. OB.DAAC will look for alternate means of communicating with UWG.</x:v>
      </x:c>
      <x:c r="C180" s="12" t="str">
        <x:v>Action item</x:v>
      </x:c>
      <x:c r="D180" s="12" t="str"/>
      <x:c r="E180" s="12" t="str">
        <x:v>Proposed</x:v>
      </x:c>
      <x:c r="F180" s="12" t="str"/>
      <x:c r="G180" s="12" t="str"/>
      <x:c r="H180" s="12" t="str">
        <x:v>Mailing list is not working well. OB.DAAC will look for alternate means of communicating with UWG.</x:v>
      </x:c>
      <x:c r="I180" s="12" t="str"/>
      <x:c r="J180" s="12" t="str">
        <x:v>SRC-0004</x:v>
      </x:c>
      <x:c r="K180" s="12" t="str">
        <x:v>Section: New Actions and Recommendations</x:v>
      </x:c>
    </x:row>
    <x:row r="181">
      <x:c r="A181" s="12" t="str">
        <x:v>RSP-0180</x:v>
      </x:c>
      <x:c r="B181" s="12" t="str">
        <x:v>The action items and recommendations reflect the UWG's commitment to enhancing the usability, accessibility, and overall quality of ocean color data provided by OB.DAAC, ensuring it meets the evolving needs of the scient</x:v>
      </x:c>
      <x:c r="C181" s="12" t="str">
        <x:v>Action item</x:v>
      </x:c>
      <x:c r="D181" s="12" t="str"/>
      <x:c r="E181" s="12" t="str">
        <x:v>Proposed</x:v>
      </x:c>
      <x:c r="F181" s="12" t="str"/>
      <x:c r="G181" s="12" t="str"/>
      <x:c r="H181" s="12" t="str">
        <x:v>The action items and recommendations reflect the UWG's commitment to enhancing the usability, accessibility, and overall quality of ocean color data provided by OB.DAAC, ensuring it meets the evolving needs of the scientific community and other stakeholders. For detailed information, you can refer to the meeting notes for Day 1 and Day 2, as well as the Action Items.</x:v>
      </x:c>
      <x:c r="I181" s="12" t="str"/>
      <x:c r="J181" s="12" t="str">
        <x:v>SRC-0004</x:v>
      </x:c>
      <x:c r="K181" s="12" t="str">
        <x:v>Section: New Actions and Recommendations</x:v>
      </x:c>
    </x:row>
    <x:row r="182">
      <x:c r="A182" s="12" t="str">
        <x:v>RSP-0181</x:v>
      </x:c>
      <x:c r="B182" s="12" t="str">
        <x:v>Hold in-person UWG meetings.</x:v>
      </x:c>
      <x:c r="C182" s="12" t="str">
        <x:v>Action item</x:v>
      </x:c>
      <x:c r="D182" s="12" t="str"/>
      <x:c r="E182" s="12" t="str">
        <x:v>Proposed</x:v>
      </x:c>
      <x:c r="F182" s="12" t="str"/>
      <x:c r="G182" s="12" t="str"/>
      <x:c r="H182" s="12" t="str">
        <x:v>Hold in-person UWG meetings.</x:v>
      </x:c>
      <x:c r="I182" s="12" t="str"/>
      <x:c r="J182" s="12" t="str">
        <x:v>SRC-0004</x:v>
      </x:c>
      <x:c r="K182" s="12" t="str">
        <x:v>Section: New Actions and Recommendations; table row 2</x:v>
      </x:c>
    </x:row>
    <x:row r="183">
      <x:c r="A183" s="12" t="str">
        <x:v>RSP-0182</x:v>
      </x:c>
      <x:c r="B183" s="12" t="str">
        <x:v>Revisit high-priority topics at follow-on UWG meetings.</x:v>
      </x:c>
      <x:c r="C183" s="12" t="str">
        <x:v>Action item</x:v>
      </x:c>
      <x:c r="D183" s="12" t="str"/>
      <x:c r="E183" s="12" t="str">
        <x:v>Proposed</x:v>
      </x:c>
      <x:c r="F183" s="12" t="str"/>
      <x:c r="G183" s="12" t="str"/>
      <x:c r="H183" s="12" t="str">
        <x:v>Revisit high-priority topics at follow-on UWG meetings.</x:v>
      </x:c>
      <x:c r="I183" s="12" t="str"/>
      <x:c r="J183" s="12" t="str">
        <x:v>SRC-0004</x:v>
      </x:c>
      <x:c r="K183" s="12" t="str">
        <x:v>Section: New Actions and Recommendations; table row 3</x:v>
      </x:c>
    </x:row>
    <x:row r="184">
      <x:c r="A184" s="12" t="str">
        <x:v>RSP-0183</x:v>
      </x:c>
      <x:c r="B184" s="12" t="str">
        <x:v>We recommend that ESDIS develops a short white paper defining and describing the vision for a “Science Enabling Center”. At present, the boundaries between “IT and Archive” (i.e., the traditional DAAC role), “Science Ena</x:v>
      </x:c>
      <x:c r="C184" s="12" t="str">
        <x:v>Action item</x:v>
      </x:c>
      <x:c r="D184" s="12" t="str"/>
      <x:c r="E184" s="12" t="str">
        <x:v>Proposed</x:v>
      </x:c>
      <x:c r="F184" s="12" t="str"/>
      <x:c r="G184" s="12" t="str"/>
      <x:c r="H184" s="12" t="str">
        <x:v>We recommend that ESDIS develops a short white paper defining and describing the vision for a “Science Enabling Center”. At present, the boundaries between “IT and Archive” (i.e., the traditional DAAC role), “Science Enabling”, and “Science” are unclear.</x:v>
      </x:c>
      <x:c r="I184" s="12" t="str"/>
      <x:c r="J184" s="12" t="str">
        <x:v>SRC-0004</x:v>
      </x:c>
      <x:c r="K184" s="12" t="str">
        <x:v>Section: New Actions and Recommendations; table row 5</x:v>
      </x:c>
    </x:row>
    <x:row r="185">
      <x:c r="A185" s="12" t="str">
        <x:v>RSP-0184</x:v>
      </x:c>
      <x:c r="B185" s="12" t="str">
        <x:v>We recommend adding PO.DAAC’s initial vision for becoming a “Science Enabling Center” to the overarching PO.DAAC strategic plan.</x:v>
      </x:c>
      <x:c r="C185" s="12" t="str">
        <x:v>Action item</x:v>
      </x:c>
      <x:c r="D185" s="12" t="str"/>
      <x:c r="E185" s="12" t="str">
        <x:v>Proposed</x:v>
      </x:c>
      <x:c r="F185" s="12" t="str"/>
      <x:c r="G185" s="12" t="str"/>
      <x:c r="H185" s="12" t="str">
        <x:v>We recommend adding PO.DAAC’s initial vision for becoming a “Science Enabling Center” to the overarching PO.DAAC strategic plan.</x:v>
      </x:c>
      <x:c r="I185" s="12" t="str"/>
      <x:c r="J185" s="12" t="str">
        <x:v>SRC-0004</x:v>
      </x:c>
      <x:c r="K185" s="12" t="str">
        <x:v>Section: New Actions and Recommendations; table row 6</x:v>
      </x:c>
    </x:row>
    <x:row r="186">
      <x:c r="A186" s="12" t="str">
        <x:v>RSP-0185</x:v>
      </x:c>
      <x:c r="B186" s="12" t="str">
        <x:v>We recommend utilizing an upcoming UWG quarterly call to focus on discussions of PO.DAAC’s transition to a Science Enabling Center.</x:v>
      </x:c>
      <x:c r="C186" s="12" t="str">
        <x:v>Action item</x:v>
      </x:c>
      <x:c r="D186" s="12" t="str"/>
      <x:c r="E186" s="12" t="str">
        <x:v>Proposed</x:v>
      </x:c>
      <x:c r="F186" s="12" t="str"/>
      <x:c r="G186" s="12" t="str"/>
      <x:c r="H186" s="12" t="str">
        <x:v>We recommend utilizing an upcoming UWG quarterly call to focus on discussions of PO.DAAC’s transition to a Science Enabling Center.</x:v>
      </x:c>
      <x:c r="I186" s="12" t="str"/>
      <x:c r="J186" s="12" t="str">
        <x:v>SRC-0004</x:v>
      </x:c>
      <x:c r="K186" s="12" t="str">
        <x:v>Section: New Actions and Recommendations; table row 7</x:v>
      </x:c>
    </x:row>
    <x:row r="187">
      <x:c r="A187" s="12" t="str">
        <x:v>RSP-0186</x:v>
      </x:c>
      <x:c r="B187" s="12" t="str">
        <x:v>We recommend utilizing an upcoming UWG quarterly call to focus on discussions of PO.DAAC’s website and dataset landing pages.</x:v>
      </x:c>
      <x:c r="C187" s="12" t="str">
        <x:v>Action item</x:v>
      </x:c>
      <x:c r="D187" s="12" t="str"/>
      <x:c r="E187" s="12" t="str">
        <x:v>Proposed</x:v>
      </x:c>
      <x:c r="F187" s="12" t="str"/>
      <x:c r="G187" s="12" t="str"/>
      <x:c r="H187" s="12" t="str">
        <x:v>We recommend utilizing an upcoming UWG quarterly call to focus on discussions of PO.DAAC’s website and dataset landing pages.</x:v>
      </x:c>
      <x:c r="I187" s="12" t="str"/>
      <x:c r="J187" s="12" t="str">
        <x:v>SRC-0004</x:v>
      </x:c>
      <x:c r="K187" s="12" t="str">
        <x:v>Section: New Actions and Recommendations; table row 9</x:v>
      </x:c>
    </x:row>
    <x:row r="188">
      <x:c r="A188" s="12" t="str">
        <x:v>RSP-0187</x:v>
      </x:c>
      <x:c r="B188" s="12" t="str">
        <x:v>We recommend that PO.DAAC communicate to ESDIS the need for DAACs to be able to deploy DAAC-specific features and capabilities when needed on the unified site.</x:v>
      </x:c>
      <x:c r="C188" s="12" t="str">
        <x:v>Action item</x:v>
      </x:c>
      <x:c r="D188" s="12" t="str"/>
      <x:c r="E188" s="12" t="str">
        <x:v>Proposed</x:v>
      </x:c>
      <x:c r="F188" s="12" t="str"/>
      <x:c r="G188" s="12" t="str"/>
      <x:c r="H188" s="12" t="str">
        <x:v>We recommend that PO.DAAC communicate to ESDIS the need for DAACs to be able to deploy DAAC-specific features and capabilities when needed on the unified site.</x:v>
      </x:c>
      <x:c r="I188" s="12" t="str"/>
      <x:c r="J188" s="12" t="str">
        <x:v>SRC-0004</x:v>
      </x:c>
      <x:c r="K188" s="12" t="str">
        <x:v>Section: New Actions and Recommendations; table row 10</x:v>
      </x:c>
    </x:row>
    <x:row r="189">
      <x:c r="A189" s="12" t="str">
        <x:v>RSP-0188</x:v>
      </x:c>
      <x:c r="B189" s="12" t="str">
        <x:v>Assure continuity of PO.DAAC specific expertise to support ongoing PO.DAAC and cross-DAAC needs.</x:v>
      </x:c>
      <x:c r="C189" s="12" t="str">
        <x:v>Action item</x:v>
      </x:c>
      <x:c r="D189" s="12" t="str"/>
      <x:c r="E189" s="12" t="str">
        <x:v>Proposed</x:v>
      </x:c>
      <x:c r="F189" s="12" t="str"/>
      <x:c r="G189" s="12" t="str"/>
      <x:c r="H189" s="12" t="str">
        <x:v>Assure continuity of PO.DAAC specific expertise to support ongoing PO.DAAC and cross-DAAC needs.</x:v>
      </x:c>
      <x:c r="I189" s="12" t="str"/>
      <x:c r="J189" s="12" t="str">
        <x:v>SRC-0004</x:v>
      </x:c>
      <x:c r="K189" s="12" t="str">
        <x:v>Section: New Actions and Recommendations; table row 11</x:v>
      </x:c>
    </x:row>
    <x:row r="190">
      <x:c r="A190" s="12" t="str">
        <x:v>RSP-0189</x:v>
      </x:c>
      <x:c r="B190" s="12" t="str">
        <x:v>We recommend that PO.DAAC engineers consider options for caching and subsetting virtual aggregations or virtual datacubes on the server side to increase ease of access to PO.DAAC datasets.</x:v>
      </x:c>
      <x:c r="C190" s="12" t="str">
        <x:v>Action item</x:v>
      </x:c>
      <x:c r="D190" s="12" t="str"/>
      <x:c r="E190" s="12" t="str">
        <x:v>Proposed</x:v>
      </x:c>
      <x:c r="F190" s="12" t="str"/>
      <x:c r="G190" s="12" t="str"/>
      <x:c r="H190" s="12" t="str">
        <x:v>We recommend that PO.DAAC engineers consider options for caching and subsetting virtual aggregations or virtual datacubes on the server side to increase ease of access to PO.DAAC datasets.</x:v>
      </x:c>
      <x:c r="I190" s="12" t="str"/>
      <x:c r="J190" s="12" t="str">
        <x:v>SRC-0004</x:v>
      </x:c>
      <x:c r="K190" s="12" t="str">
        <x:v>Section: New Actions and Recommendations; table row 13</x:v>
      </x:c>
    </x:row>
    <x:row r="191">
      <x:c r="A191" s="12" t="str">
        <x:v>RSP-0190</x:v>
      </x:c>
      <x:c r="B191" s="12" t="str">
        <x:v>We recommend working across DAACs to incorporate technologies in the earthaccess Python library, particularly ideas around virtual aggregation, into the appropriate API (e.g. Harmony) to facilitate efficient and convenie</x:v>
      </x:c>
      <x:c r="C191" s="12" t="str">
        <x:v>Action item</x:v>
      </x:c>
      <x:c r="D191" s="12" t="str"/>
      <x:c r="E191" s="12" t="str">
        <x:v>Proposed</x:v>
      </x:c>
      <x:c r="F191" s="12" t="str"/>
      <x:c r="G191" s="12" t="str"/>
      <x:c r="H191" s="12" t="str">
        <x:v>We recommend working across DAACs to incorporate technologies in the earthaccess Python library, particularly ideas around virtual aggregation, into the appropriate API (e.g. Harmony) to facilitate efficient and convenient data access from other programming languages.</x:v>
      </x:c>
      <x:c r="I191" s="12" t="str"/>
      <x:c r="J191" s="12" t="str">
        <x:v>SRC-0004</x:v>
      </x:c>
      <x:c r="K191" s="12" t="str">
        <x:v>Section: New Actions and Recommendations; table row 14</x:v>
      </x:c>
    </x:row>
    <x:row r="192">
      <x:c r="A192" s="12" t="str">
        <x:v>RSP-0191</x:v>
      </x:c>
      <x:c r="B192" s="12" t="str">
        <x:v>We recommend that PO.DAAC continue to intentionally innovate and develop new ideas on how to perform analysis at scale, and approach future data access and analytics challenges through its coding club initiative. This ac</x:v>
      </x:c>
      <x:c r="C192" s="12" t="str">
        <x:v>Action item</x:v>
      </x:c>
      <x:c r="D192" s="12" t="str"/>
      <x:c r="E192" s="12" t="str">
        <x:v>Proposed</x:v>
      </x:c>
      <x:c r="F192" s="12" t="str"/>
      <x:c r="G192" s="12" t="str"/>
      <x:c r="H192" s="12" t="str">
        <x:v>We recommend that PO.DAAC continue to intentionally innovate and develop new ideas on how to perform analysis at scale, and approach future data access and analytics challenges through its coding club initiative. This activity is well aligned with PO.DAACs future mission of Science Enabling Center.</x:v>
      </x:c>
      <x:c r="I192" s="12" t="str"/>
      <x:c r="J192" s="12" t="str">
        <x:v>SRC-0004</x:v>
      </x:c>
      <x:c r="K192" s="12" t="str">
        <x:v>Section: New Actions and Recommendations; table row 15</x:v>
      </x:c>
    </x:row>
    <x:row r="193">
      <x:c r="A193" s="12" t="str">
        <x:v>RSP-0192</x:v>
      </x:c>
      <x:c r="B193" s="12" t="str">
        <x:v>We recommend providing cookbook recipes (either on Earthdata or PO.DAAC) focused on budgeting for cloud computing costs in proposals.</x:v>
      </x:c>
      <x:c r="C193" s="12" t="str">
        <x:v>Action item</x:v>
      </x:c>
      <x:c r="D193" s="12" t="str"/>
      <x:c r="E193" s="12" t="str">
        <x:v>Proposed</x:v>
      </x:c>
      <x:c r="F193" s="12" t="str"/>
      <x:c r="G193" s="12" t="str"/>
      <x:c r="H193" s="12" t="str">
        <x:v>We recommend providing cookbook recipes (either on Earthdata or PO.DAAC) focused on budgeting for cloud computing costs in proposals.</x:v>
      </x:c>
      <x:c r="I193" s="12" t="str"/>
      <x:c r="J193" s="12" t="str">
        <x:v>SRC-0004</x:v>
      </x:c>
      <x:c r="K193" s="12" t="str">
        <x:v>Section: New Actions and Recommendations; table row 16</x:v>
      </x:c>
    </x:row>
    <x:row r="194">
      <x:c r="A194" s="12" t="str">
        <x:v>RSP-0193</x:v>
      </x:c>
      <x:c r="B194" s="12" t="str">
        <x:v>We recommend utilizing an upcoming UWG quarterly call to focus on discussions of PO.DAAC’s tools and services in the context of DAAC/web unification.</x:v>
      </x:c>
      <x:c r="C194" s="12" t="str">
        <x:v>Action item</x:v>
      </x:c>
      <x:c r="D194" s="12" t="str"/>
      <x:c r="E194" s="12" t="str">
        <x:v>Proposed</x:v>
      </x:c>
      <x:c r="F194" s="12" t="str"/>
      <x:c r="G194" s="12" t="str"/>
      <x:c r="H194" s="12" t="str">
        <x:v>We recommend utilizing an upcoming UWG quarterly call to focus on discussions of PO.DAAC’s tools and services in the context of DAAC/web unification.</x:v>
      </x:c>
      <x:c r="I194" s="12" t="str"/>
      <x:c r="J194" s="12" t="str">
        <x:v>SRC-0004</x:v>
      </x:c>
      <x:c r="K194" s="12" t="str">
        <x:v>Section: New Actions and Recommendations; table row 18</x:v>
      </x:c>
    </x:row>
    <x:row r="195">
      <x:c r="A195" s="12" t="str">
        <x:v>RSP-0194</x:v>
      </x:c>
      <x:c r="B195" s="12" t="str">
        <x:v>We recommend taking the following basic steps to ensure that new data providers are aware of the resources and information needed for efficient data publication.</x:v>
      </x:c>
      <x:c r="C195" s="12" t="str">
        <x:v>Action item</x:v>
      </x:c>
      <x:c r="D195" s="12" t="str"/>
      <x:c r="E195" s="12" t="str">
        <x:v>Proposed</x:v>
      </x:c>
      <x:c r="F195" s="12" t="str"/>
      <x:c r="G195" s="12" t="str"/>
      <x:c r="H195" s="12" t="str">
        <x:v>We recommend taking the following basic steps to ensure that new data providers are aware of the resources and information needed for efficient data publication.</x:v>
      </x:c>
      <x:c r="I195" s="12" t="str"/>
      <x:c r="J195" s="12" t="str">
        <x:v>SRC-0004</x:v>
      </x:c>
      <x:c r="K195" s="12" t="str">
        <x:v>Section: New Actions and Recommendations; table row 19</x:v>
      </x:c>
    </x:row>
    <x:row r="196">
      <x:c r="A196" s="12" t="str">
        <x:v>RSP-0195</x:v>
      </x:c>
      <x:c r="B196" s="12" t="str">
        <x:v>Planned for delivery in FY2025.</x:v>
      </x:c>
      <x:c r="C196" s="12" t="str">
        <x:v>Action item</x:v>
      </x:c>
      <x:c r="D196" s="12" t="str"/>
      <x:c r="E196" s="12" t="str">
        <x:v>Proposed</x:v>
      </x:c>
      <x:c r="F196" s="12" t="str"/>
      <x:c r="G196" s="12" t="str"/>
      <x:c r="H196" s="12" t="str">
        <x:v>Planned for delivery in FY2025.</x:v>
      </x:c>
      <x:c r="I196" s="12" t="str"/>
      <x:c r="J196" s="12" t="str">
        <x:v>SRC-0004</x:v>
      </x:c>
      <x:c r="K196" s="12" t="str">
        <x:v>Section: New Actions and Recommendations; table row 20</x:v>
      </x:c>
    </x:row>
    <x:row r="197">
      <x:c r="A197" s="12" t="str">
        <x:v>RSP-0196</x:v>
      </x:c>
      <x:c r="B197" s="12" t="str">
        <x:v>Perhaps require the MCC report be included with dataset submission to verify use.</x:v>
      </x:c>
      <x:c r="C197" s="12" t="str">
        <x:v>Action item</x:v>
      </x:c>
      <x:c r="D197" s="12" t="str"/>
      <x:c r="E197" s="12" t="str">
        <x:v>Proposed</x:v>
      </x:c>
      <x:c r="F197" s="12" t="str"/>
      <x:c r="G197" s="12" t="str"/>
      <x:c r="H197" s="12" t="str">
        <x:v>Perhaps require the MCC report be included with dataset submission to verify use.</x:v>
      </x:c>
      <x:c r="I197" s="12" t="str"/>
      <x:c r="J197" s="12" t="str">
        <x:v>SRC-0004</x:v>
      </x:c>
      <x:c r="K197" s="12" t="str">
        <x:v>Section: New Actions and Recommendations; table row 21</x:v>
      </x:c>
    </x:row>
    <x:row r="198">
      <x:c r="A198" s="12" t="str">
        <x:v>RSP-0197</x:v>
      </x:c>
      <x:c r="B198" s="12" t="str">
        <x:v>Will publicize upon completion.</x:v>
      </x:c>
      <x:c r="C198" s="12" t="str">
        <x:v>Action item</x:v>
      </x:c>
      <x:c r="D198" s="12" t="str"/>
      <x:c r="E198" s="12" t="str">
        <x:v>Proposed</x:v>
      </x:c>
      <x:c r="F198" s="12" t="str"/>
      <x:c r="G198" s="12" t="str"/>
      <x:c r="H198" s="12" t="str">
        <x:v>Will publicize upon completion.</x:v>
      </x:c>
      <x:c r="I198" s="12" t="str"/>
      <x:c r="J198" s="12" t="str">
        <x:v>SRC-0004</x:v>
      </x:c>
      <x:c r="K198" s="12" t="str">
        <x:v>Section: New Actions and Recommendations; table row 22</x:v>
      </x:c>
    </x:row>
    <x:row r="199">
      <x:c r="A199" s="12" t="str">
        <x:v>RSP-0198</x:v>
      </x:c>
      <x:c r="B199" s="12" t="str">
        <x:v>Will work with Web Unification team to identify if/how to incorporate this into dataset landing pages.</x:v>
      </x:c>
      <x:c r="C199" s="12" t="str">
        <x:v>Action item</x:v>
      </x:c>
      <x:c r="D199" s="12" t="str"/>
      <x:c r="E199" s="12" t="str">
        <x:v>Proposed</x:v>
      </x:c>
      <x:c r="F199" s="12" t="str"/>
      <x:c r="G199" s="12" t="str"/>
      <x:c r="H199" s="12" t="str">
        <x:v>Will work with Web Unification team to identify if/how to incorporate this into dataset landing pages.</x:v>
      </x:c>
      <x:c r="I199" s="12" t="str"/>
      <x:c r="J199" s="12" t="str">
        <x:v>SRC-0004</x:v>
      </x:c>
      <x:c r="K199" s="12" t="str">
        <x:v>Section: New Actions and Recommendations; table row 23</x:v>
      </x:c>
    </x:row>
    <x:row r="200">
      <x:c r="A200" s="12" t="str">
        <x:v>RSP-0199</x:v>
      </x:c>
      <x:c r="B200" s="12" t="str">
        <x:v>Discuss alignment with enterprise efforts (e.g. SIA) and related processes.</x:v>
      </x:c>
      <x:c r="C200" s="12" t="str">
        <x:v>Action item</x:v>
      </x:c>
      <x:c r="D200" s="12" t="str"/>
      <x:c r="E200" s="12" t="str">
        <x:v>Proposed</x:v>
      </x:c>
      <x:c r="F200" s="12" t="str"/>
      <x:c r="G200" s="12" t="str"/>
      <x:c r="H200" s="12" t="str">
        <x:v>Discuss alignment with enterprise efforts (e.g. SIA) and related processes.</x:v>
      </x:c>
      <x:c r="I200" s="12" t="str"/>
      <x:c r="J200" s="12" t="str">
        <x:v>SRC-0004</x:v>
      </x:c>
      <x:c r="K200" s="12" t="str">
        <x:v>Section: New Actions and Recommendations; table row 24</x:v>
      </x:c>
    </x:row>
    <x:row r="201">
      <x:c r="A201" s="12" t="str">
        <x:v>RSP-0200</x:v>
      </x:c>
      <x:c r="B201" s="12" t="str">
        <x:v>We recommend creating a one-page data submission guide that includes the procedure and task list for first-time data providers. This will help these new users quickly understand the process, find the necessary resources,</x:v>
      </x:c>
      <x:c r="C201" s="12" t="str">
        <x:v>Action item</x:v>
      </x:c>
      <x:c r="D201" s="12" t="str"/>
      <x:c r="E201" s="12" t="str">
        <x:v>Proposed</x:v>
      </x:c>
      <x:c r="F201" s="12" t="str"/>
      <x:c r="G201" s="12" t="str"/>
      <x:c r="H201" s="12" t="str">
        <x:v>We recommend creating a one-page data submission guide that includes the procedure and task list for first-time data providers. This will help these new users quickly understand the process, find the necessary resources, and know when and who to ask for help.</x:v>
      </x:c>
      <x:c r="I201" s="12" t="str"/>
      <x:c r="J201" s="12" t="str">
        <x:v>SRC-0004</x:v>
      </x:c>
      <x:c r="K201" s="12" t="str">
        <x:v>Section: New Actions and Recommendations; table row 25</x:v>
      </x:c>
    </x:row>
    <x:row r="202">
      <x:c r="A202" s="12" t="str">
        <x:v>RSP-0201</x:v>
      </x:c>
      <x:c r="B202" s="12" t="str">
        <x:v>SEDAC should increase its visibility to current and new users by refreshing its branding and outreach strategy in a way that leverages its name recognition and the trust that has established within the social and Earth s</x:v>
      </x:c>
      <x:c r="C202" s="12" t="str">
        <x:v>Action item</x:v>
      </x:c>
      <x:c r="D202" s="12" t="str"/>
      <x:c r="E202" s="12" t="str">
        <x:v>Proposed</x:v>
      </x:c>
      <x:c r="F202" s="12" t="str"/>
      <x:c r="G202" s="12" t="str"/>
      <x:c r="H202" s="12" t="str">
        <x:v>SEDAC should increase its visibility to current and new users by refreshing its branding and outreach strategy in a way that leverages its name recognition and the trust that has established within the social and Earth science communities (for example, work with NASA’s Earth Information Center to include SEDAC data as part of their data visualizations). Differentiation of SEDAC could become increasingly important as the DAACs migrate to the unified web platform.</x:v>
      </x:c>
      <x:c r="I202" s="12" t="str"/>
      <x:c r="J202" s="12" t="str">
        <x:v>SRC-0004</x:v>
      </x:c>
      <x:c r="K202" s="12" t="str">
        <x:v>Section: New Actions and Recommendations; table row 2</x:v>
      </x:c>
    </x:row>
    <x:row r="203">
      <x:c r="A203" s="12" t="str">
        <x:v>RSP-0202</x:v>
      </x:c>
      <x:c r="B203" s="12" t="str">
        <x:v>SEDAC should consider formalizing partnerships and developing trusted relationships with commercial and non-profit organizations that re-distribute SEDAC data to obtain ongoing feedback about the use of its data offering</x:v>
      </x:c>
      <x:c r="C203" s="12" t="str">
        <x:v>Action item</x:v>
      </x:c>
      <x:c r="D203" s="12" t="str"/>
      <x:c r="E203" s="12" t="str">
        <x:v>Proposed</x:v>
      </x:c>
      <x:c r="F203" s="12" t="str"/>
      <x:c r="G203" s="12" t="str"/>
      <x:c r="H203" s="12" t="str">
        <x:v>SEDAC should consider formalizing partnerships and developing trusted relationships with commercial and non-profit organizations that re-distribute SEDAC data to obtain ongoing feedback about the use of its data offerings, the users, and their data needs.</x:v>
      </x:c>
      <x:c r="I203" s="12" t="str"/>
      <x:c r="J203" s="12" t="str">
        <x:v>SRC-0004</x:v>
      </x:c>
      <x:c r="K203" s="12" t="str">
        <x:v>Section: New Actions and Recommendations; table row 3</x:v>
      </x:c>
    </x:row>
    <x:row r="204">
      <x:c r="A204" s="12" t="str">
        <x:v>RSP-0203</x:v>
      </x:c>
      <x:c r="B204" s="12" t="str">
        <x:v>Identify and describe impactful uses of SEDAC data by end users or intermediaries (e.g., international organizations or government agencies), and report on those uses in a future meeting. Insofar as it is possible, attem</x:v>
      </x:c>
      <x:c r="C204" s="12" t="str">
        <x:v>Action item</x:v>
      </x:c>
      <x:c r="D204" s="12" t="str"/>
      <x:c r="E204" s="12" t="str">
        <x:v>Proposed</x:v>
      </x:c>
      <x:c r="F204" s="12" t="str"/>
      <x:c r="G204" s="12" t="str"/>
      <x:c r="H204" s="12" t="str">
        <x:v>Identify and describe impactful uses of SEDAC data by end users or intermediaries (e.g., international organizations or government agencies), and report on those uses in a future meeting. Insofar as it is possible, attempt to go beyond download or citation metrics to understand the actual impact of the data use.</x:v>
      </x:c>
      <x:c r="I204" s="12" t="str"/>
      <x:c r="J204" s="12" t="str">
        <x:v>SRC-0004</x:v>
      </x:c>
      <x:c r="K204" s="12" t="str">
        <x:v>Section: New Actions and Recommendations; table row 5</x:v>
      </x:c>
    </x:row>
    <x:row r="205">
      <x:c r="A205" s="12" t="str">
        <x:v>RSP-0204</x:v>
      </x:c>
      <x:c r="B205" s="12" t="str">
        <x:v>Connect with Earth Action’s Collaborative Network for Valuing Earth Information (CONVEI) to develop better metrics to evaluate impact.</x:v>
      </x:c>
      <x:c r="C205" s="12" t="str">
        <x:v>Action item</x:v>
      </x:c>
      <x:c r="D205" s="12" t="str"/>
      <x:c r="E205" s="12" t="str">
        <x:v>Proposed</x:v>
      </x:c>
      <x:c r="F205" s="12" t="str"/>
      <x:c r="G205" s="12" t="str"/>
      <x:c r="H205" s="12" t="str">
        <x:v>Connect with Earth Action’s Collaborative Network for Valuing Earth Information (CONVEI) to develop better metrics to evaluate impact.</x:v>
      </x:c>
      <x:c r="I205" s="12" t="str"/>
      <x:c r="J205" s="12" t="str">
        <x:v>SRC-0004</x:v>
      </x:c>
      <x:c r="K205" s="12" t="str">
        <x:v>Section: New Actions and Recommendations; table row 6</x:v>
      </x:c>
    </x:row>
    <x:row r="206">
      <x:c r="A206" s="12" t="str">
        <x:v>RSP-0205</x:v>
      </x:c>
      <x:c r="B206" s="12" t="str">
        <x:v>To achieve a better balance of intermediate (e.g., academic) and end users, and diversity among UWG members, SEDAC should consider establishing open mechanisms to solicit nominations for new UWG members, e.g., by circula</x:v>
      </x:c>
      <x:c r="C206" s="12" t="str">
        <x:v>Action item</x:v>
      </x:c>
      <x:c r="D206" s="12" t="str"/>
      <x:c r="E206" s="12" t="str">
        <x:v>Proposed</x:v>
      </x:c>
      <x:c r="F206" s="12" t="str"/>
      <x:c r="G206" s="12" t="str"/>
      <x:c r="H206" s="12" t="str">
        <x:v>To achieve a better balance of intermediate (e.g., academic) and end users, and diversity among UWG members, SEDAC should consider establishing open mechanisms to solicit nominations for new UWG members, e.g., by circulating an open expression of interest among networks and announcing it on its website. Additionally, as has sometimes been done in the past, retired UWG members from other DAACs might be considered for membership on the SEDAC UWG, and vice versa.</x:v>
      </x:c>
      <x:c r="I206" s="12" t="str"/>
      <x:c r="J206" s="12" t="str">
        <x:v>SRC-0004</x:v>
      </x:c>
      <x:c r="K206" s="12" t="str">
        <x:v>Section: New Actions and Recommendations; table row 7</x:v>
      </x:c>
    </x:row>
    <x:row r="207">
      <x:c r="A207" s="12" t="str">
        <x:v>RSP-0206</x:v>
      </x:c>
      <x:c r="B207" s="12" t="str">
        <x:v>For select SEDAC datasets, assess what it would look like to perform data co-production and/or validation with interim users (e.g. academia, industry, NGO) and end users (e.g., community-based organizations, local govern</x:v>
      </x:c>
      <x:c r="C207" s="12" t="str">
        <x:v>Action item</x:v>
      </x:c>
      <x:c r="D207" s="12" t="str"/>
      <x:c r="E207" s="12" t="str">
        <x:v>Proposed</x:v>
      </x:c>
      <x:c r="F207" s="12" t="str"/>
      <x:c r="G207" s="12" t="str"/>
      <x:c r="H207" s="12" t="str">
        <x:v>For select SEDAC datasets, assess what it would look like to perform data co-production and/or validation with interim users (e.g. academia, industry, NGO) and end users (e.g., community-based organizations, local government), and identify the funding requirements needed to do so.</x:v>
      </x:c>
      <x:c r="I207" s="12" t="str"/>
      <x:c r="J207" s="12" t="str">
        <x:v>SRC-0004</x:v>
      </x:c>
      <x:c r="K207" s="12" t="str">
        <x:v>Section: New Actions and Recommendations; table row 9</x:v>
      </x:c>
    </x:row>
    <x:row r="208">
      <x:c r="A208" s="12" t="str">
        <x:v>RSP-0207</x:v>
      </x:c>
      <x:c r="B208" s="12" t="str">
        <x:v>Work with applied user communities to co-develop a priority list of data products of needed data products, such as NISAR-derived infrastructure data, global data on the location of health facilities or schools from OpenS</x:v>
      </x:c>
      <x:c r="C208" s="12" t="str">
        <x:v>Action item</x:v>
      </x:c>
      <x:c r="D208" s="12" t="str"/>
      <x:c r="E208" s="12" t="str">
        <x:v>Proposed</x:v>
      </x:c>
      <x:c r="F208" s="12" t="str"/>
      <x:c r="G208" s="12" t="str"/>
      <x:c r="H208" s="12" t="str">
        <x:v>Work with applied user communities to co-develop a priority list of data products of needed data products, such as NISAR-derived infrastructure data, global data on the location of health facilities or schools from OpenStreetMap, a livelihood zone data set based on the Anthropogenic Biomes, or possible gridding of IPUMS variables. Out of these interactions, develop a priority list of such data for review at a forthcoming telecon or meeting.</x:v>
      </x:c>
      <x:c r="I208" s="12" t="str"/>
      <x:c r="J208" s="12" t="str">
        <x:v>SRC-0004</x:v>
      </x:c>
      <x:c r="K208" s="12" t="str">
        <x:v>Section: New Actions and Recommendations; table row 10</x:v>
      </x:c>
    </x:row>
    <x:row r="209">
      <x:c r="A209" s="12" t="str">
        <x:v>RSP-0208</x:v>
      </x:c>
      <x:c r="B209" s="12" t="str">
        <x:v>SEDAC is encouraged to assess the complementary and intersecting contributions of open science and participatory science principles, and to develop a strategy statement around: (1) creating awareness and evaluating usabi</x:v>
      </x:c>
      <x:c r="C209" s="12" t="str">
        <x:v>Action item</x:v>
      </x:c>
      <x:c r="D209" s="12" t="str"/>
      <x:c r="E209" s="12" t="str">
        <x:v>Proposed</x:v>
      </x:c>
      <x:c r="F209" s="12" t="str"/>
      <x:c r="G209" s="12" t="str"/>
      <x:c r="H209" s="12" t="str">
        <x:v>SEDAC is encouraged to assess the complementary and intersecting contributions of open science and participatory science principles, and to develop a strategy statement around: (1) creating awareness and evaluating usability/validity of current data, and (2) identifying and co-producing data that are needed and non-existent. The strategy could also clarify distinctions between roles/missions/strategies of CIESIN versus SEDAC. SEDAC could also increase contact with current and new users by employing open and participatory processes for communication that complement an open and participatory science strategy.</x:v>
      </x:c>
      <x:c r="I209" s="12" t="str"/>
      <x:c r="J209" s="12" t="str">
        <x:v>SRC-0004</x:v>
      </x:c>
      <x:c r="K209" s="12" t="str">
        <x:v>Section: New Actions and Recommendations; table row 12</x:v>
      </x:c>
    </x:row>
    <x:row r="210">
      <x:c r="A210" s="12" t="str">
        <x:v>RSP-0209</x:v>
      </x:c>
      <x:c r="B210" s="12" t="str">
        <x:v>SEDAC should move forward with development of an Open Science Workshop for Applied Users, possibly starting with organizations in the NY metropolitan area, or with boundary organizations who work with end users. Key ques</x:v>
      </x:c>
      <x:c r="C210" s="12" t="str">
        <x:v>Action item</x:v>
      </x:c>
      <x:c r="D210" s="12" t="str"/>
      <x:c r="E210" s="12" t="str">
        <x:v>Proposed</x:v>
      </x:c>
      <x:c r="F210" s="12" t="str"/>
      <x:c r="G210" s="12" t="str"/>
      <x:c r="H210" s="12" t="str">
        <x:v>SEDAC should move forward with development of an Open Science Workshop for Applied Users, possibly starting with organizations in the NY metropolitan area, or with boundary organizations who work with end users. Key questions to be addressed include how OS leads to better decision making, appropriateness of available data and data gaps, and possible barriers to use.</x:v>
      </x:c>
      <x:c r="I210" s="12" t="str"/>
      <x:c r="J210" s="12" t="str">
        <x:v>SRC-0004</x:v>
      </x:c>
      <x:c r="K210" s="12" t="str">
        <x:v>Section: New Actions and Recommendations; table row 13</x:v>
      </x:c>
    </x:row>
    <x:row r="211">
      <x:c r="A211" s="12" t="str">
        <x:v>RSP-0210</x:v>
      </x:c>
      <x:c r="B211" s="12" t="str">
        <x:v>The ES2A strategy offers opportunities for SEDAC to contribute to more applied data uses, by co-producing open data about systems that sustain human wellbeing. The areas identified in the presentation by Sid Boukabara re</x:v>
      </x:c>
      <x:c r="C211" s="12" t="str">
        <x:v>Action item</x:v>
      </x:c>
      <x:c r="D211" s="12" t="str"/>
      <x:c r="E211" s="12" t="str">
        <x:v>Proposed</x:v>
      </x:c>
      <x:c r="F211" s="12" t="str"/>
      <x:c r="G211" s="12" t="str"/>
      <x:c r="H211" s="12" t="str">
        <x:v>The ES2A strategy offers opportunities for SEDAC to contribute to more applied data uses, by co-producing open data about systems that sustain human wellbeing. The areas identified in the presentation by Sid Boukabara represent many of the areas where SEDAC already has data and could continue to contribute: (1) Agriculture, (2) Air Quality &amp; Stratospheric Ozone, (3) Biodiversity, (4) Greenhouse gasses, (5) Sea Level Rise and Coastal, (6) Urbanization, (7) Disasters, (8) Wildfires, (9) Carbon Accounting, (10) Water &amp; Food Resources, (11) Environmental health &amp; Water Quality, (12) Human-Ocean Interactions, (13) Policy/Decision Support, (14) Energy &amp; Infrastructure, (15) Socio-Economic Sectors (transport, real estate, etc.), and (16) National Security.</x:v>
      </x:c>
      <x:c r="I211" s="12" t="str"/>
      <x:c r="J211" s="12" t="str">
        <x:v>SRC-0004</x:v>
      </x:c>
      <x:c r="K211" s="12" t="str">
        <x:v>Section: New Actions and Recommendations; table row 14</x:v>
      </x:c>
    </x:row>
    <x:row r="212">
      <x:c r="A212" s="12" t="str">
        <x:v>RSP-0211</x:v>
      </x:c>
      <x:c r="B212" s="12" t="str">
        <x:v>UWG24-11: Organize the Open Science Workshop for Applied Users in the Winter/Springtime period of 2025, with engagement of UWG members, and report back to the UWG.</x:v>
      </x:c>
      <x:c r="C212" s="12" t="str">
        <x:v>Action item</x:v>
      </x:c>
      <x:c r="D212" s="12" t="str"/>
      <x:c r="E212" s="12" t="str">
        <x:v>Proposed</x:v>
      </x:c>
      <x:c r="F212" s="12" t="str"/>
      <x:c r="G212" s="12" t="str"/>
      <x:c r="H212" s="12" t="str">
        <x:v>UWG24-11: Organize the Open Science Workshop for Applied Users in the Winter/Springtime period of 2025, with engagement of UWG members, and report back to the UWG.</x:v>
      </x:c>
      <x:c r="I212" s="12" t="str"/>
      <x:c r="J212" s="12" t="str">
        <x:v>SRC-0004</x:v>
      </x:c>
      <x:c r="K212" s="12" t="str">
        <x:v>Section: New Actions and Recommendations; table row 15</x:v>
      </x:c>
    </x:row>
    <x:row r="213">
      <x:c r="A213" s="12" t="str">
        <x:v>RSP-0212</x:v>
      </x:c>
      <x:c r="B213" s="12" t="str">
        <x:v>Revise the SEDAC Data Nomination Forms to include a category for summarizing the description of the methodology employed to create the data set being nominated, and create a field for summarizing the limitations of appli</x:v>
      </x:c>
      <x:c r="C213" s="12" t="str">
        <x:v>Action item</x:v>
      </x:c>
      <x:c r="D213" s="12" t="str"/>
      <x:c r="E213" s="12" t="str">
        <x:v>Proposed</x:v>
      </x:c>
      <x:c r="F213" s="12" t="str"/>
      <x:c r="G213" s="12" t="str"/>
      <x:c r="H213" s="12" t="str">
        <x:v>Revise the SEDAC Data Nomination Forms to include a category for summarizing the description of the methodology employed to create the data set being nominated, and create a field for summarizing the limitations of applicable uses in addition to the existing field that summarizes the limitations relating to licensing, intellectual property rights or ethical restrictions.</x:v>
      </x:c>
      <x:c r="I213" s="12" t="str"/>
      <x:c r="J213" s="12" t="str">
        <x:v>SRC-0004</x:v>
      </x:c>
      <x:c r="K213" s="12" t="str">
        <x:v>Section: New Actions and Recommendations; table row 17</x:v>
      </x:c>
    </x:row>
    <x:row r="214">
      <x:c r="A214" s="12" t="str">
        <x:v>RSP-0213</x:v>
      </x:c>
      <x:c r="B214" s="12" t="str">
        <x:v>UWG24-13: Work with the UWG Chair, members, and NASA staff to identify a date and agenda for a telecon in the January-March 2025 time frame.</x:v>
      </x:c>
      <x:c r="C214" s="12" t="str">
        <x:v>Action item</x:v>
      </x:c>
      <x:c r="D214" s="12" t="str"/>
      <x:c r="E214" s="12" t="str">
        <x:v>Proposed</x:v>
      </x:c>
      <x:c r="F214" s="12" t="str"/>
      <x:c r="G214" s="12" t="str"/>
      <x:c r="H214" s="12" t="str">
        <x:v>UWG24-13: Work with the UWG Chair, members, and NASA staff to identify a date and agenda for a telecon in the January-March 2025 time frame.</x:v>
      </x:c>
      <x:c r="I214" s="12" t="str"/>
      <x:c r="J214" s="12" t="str">
        <x:v>SRC-0004</x:v>
      </x:c>
      <x:c r="K214" s="12" t="str">
        <x:v>Section: New Actions and Recommendations; table row 18</x:v>
      </x:c>
    </x:row>
    <x:row r="215">
      <x:c r="A215" s="12" t="str">
        <x:v>RSP-0214</x:v>
      </x:c>
      <x:c r="B215" s="12" t="str">
        <x:v>UWG24-14: Work with the UWG Chair, members, and NASA staff to identify a date and agenda for an in-person meeting in the May-June 2025 time frame.</x:v>
      </x:c>
      <x:c r="C215" s="12" t="str">
        <x:v>Action item</x:v>
      </x:c>
      <x:c r="D215" s="12" t="str"/>
      <x:c r="E215" s="12" t="str">
        <x:v>Proposed</x:v>
      </x:c>
      <x:c r="F215" s="12" t="str"/>
      <x:c r="G215" s="12" t="str"/>
      <x:c r="H215" s="12" t="str">
        <x:v>UWG24-14: Work with the UWG Chair, members, and NASA staff to identify a date and agenda for an in-person meeting in the May-June 2025 time frame.</x:v>
      </x:c>
      <x:c r="I215" s="12" t="str"/>
      <x:c r="J215" s="12" t="str">
        <x:v>SRC-0004</x:v>
      </x:c>
      <x:c r="K215" s="12" t="str">
        <x:v>Section: New Actions and Recommendations; table row 19</x:v>
      </x:c>
    </x:row>
    <x:row r="216">
      <x:c r="A216" s="12" t="str">
        <x:v>RSP-0215</x:v>
      </x:c>
      <x:c r="B216" s="12" t="str">
        <x:v>UWG24-15: Work with the UWG Chair and SEDAC’s program scientist to finalize the list of new candidates for the UWG to replace those whose terms are ending in December 2024.</x:v>
      </x:c>
      <x:c r="C216" s="12" t="str">
        <x:v>Action item</x:v>
      </x:c>
      <x:c r="D216" s="12" t="str"/>
      <x:c r="E216" s="12" t="str">
        <x:v>Proposed</x:v>
      </x:c>
      <x:c r="F216" s="12" t="str"/>
      <x:c r="G216" s="12" t="str"/>
      <x:c r="H216" s="12" t="str">
        <x:v>UWG24-15: Work with the UWG Chair and SEDAC’s program scientist to finalize the list of new candidates for the UWG to replace those whose terms are ending in December 2024.</x:v>
      </x:c>
      <x:c r="I216" s="12" t="str"/>
      <x:c r="J216" s="12" t="str">
        <x:v>SRC-0004</x:v>
      </x:c>
      <x:c r="K216" s="12" t="str">
        <x:v>Section: New Actions and Recommendations; table row 20</x:v>
      </x:c>
    </x:row>
    <x:row r="217">
      <x:c r="A217" s="12" t="str">
        <x:v>RSP-0216</x:v>
      </x:c>
      <x:c r="B217" s="12" t="str">
        <x:v>Ask Stinger (Gerald) Guala to do a virtual presentation about MAAP, potentially at Nov. UWG.</x:v>
      </x:c>
      <x:c r="C217" s="12" t="str">
        <x:v>Action item</x:v>
      </x:c>
      <x:c r="D217" s="12" t="str"/>
      <x:c r="E217" s="12" t="str">
        <x:v>Proposed</x:v>
      </x:c>
      <x:c r="F217" s="12" t="str"/>
      <x:c r="G217" s="12" t="str"/>
      <x:c r="H217" s="12" t="str">
        <x:v>Ask Stinger (Gerald) Guala to do a virtual presentation about MAAP, potentially at Nov. UWG.</x:v>
      </x:c>
      <x:c r="I217" s="12" t="str"/>
      <x:c r="J217" s="12" t="str">
        <x:v>SRC-0003</x:v>
      </x:c>
      <x:c r="K217" s="12" t="str">
        <x:v>Section: 2.7 Action Items; table row 2</x:v>
      </x:c>
    </x:row>
    <x:row r="218">
      <x:c r="A218" s="12" t="str">
        <x:v>RSP-0217</x:v>
      </x:c>
      <x:c r="B218" s="12" t="str">
        <x:v>Create a consolidated list of educational resources for NISAR and SAR in general.</x:v>
      </x:c>
      <x:c r="C218" s="12" t="str">
        <x:v>Action item</x:v>
      </x:c>
      <x:c r="D218" s="12" t="str"/>
      <x:c r="E218" s="12" t="str">
        <x:v>Proposed</x:v>
      </x:c>
      <x:c r="F218" s="12" t="str"/>
      <x:c r="G218" s="12" t="str"/>
      <x:c r="H218" s="12" t="str">
        <x:v>Create a consolidated list of educational resources for NISAR and SAR in general.</x:v>
      </x:c>
      <x:c r="I218" s="12" t="str"/>
      <x:c r="J218" s="12" t="str">
        <x:v>SRC-0003</x:v>
      </x:c>
      <x:c r="K218" s="12" t="str">
        <x:v>Section: 2.7 Action Items; table row 3</x:v>
      </x:c>
    </x:row>
    <x:row r="219">
      <x:c r="A219" s="12" t="str">
        <x:v>RSP-0218</x:v>
      </x:c>
      <x:c r="B219" s="12" t="str">
        <x:v>Identify visualizations for OPERA and NISAR L2+ products.</x:v>
      </x:c>
      <x:c r="C219" s="12" t="str">
        <x:v>Action item</x:v>
      </x:c>
      <x:c r="D219" s="12" t="str"/>
      <x:c r="E219" s="12" t="str">
        <x:v>Proposed</x:v>
      </x:c>
      <x:c r="F219" s="12" t="str"/>
      <x:c r="G219" s="12" t="str"/>
      <x:c r="H219" s="12" t="str">
        <x:v>Identify visualizations for OPERA and NISAR L2+ products.</x:v>
      </x:c>
      <x:c r="I219" s="12" t="str"/>
      <x:c r="J219" s="12" t="str">
        <x:v>SRC-0003</x:v>
      </x:c>
      <x:c r="K219" s="12" t="str">
        <x:v>Section: 2.7 Action Items; table row 4</x:v>
      </x:c>
    </x:row>
    <x:row r="220">
      <x:c r="A220" s="12" t="str">
        <x:v>RSP-0219</x:v>
      </x:c>
      <x:c r="B220" s="12" t="str">
        <x:v>SEDAC and HazPop: identify collaboration opportunities.</x:v>
      </x:c>
      <x:c r="C220" s="12" t="str">
        <x:v>Action item</x:v>
      </x:c>
      <x:c r="D220" s="12" t="str"/>
      <x:c r="E220" s="12" t="str">
        <x:v>Proposed</x:v>
      </x:c>
      <x:c r="F220" s="12" t="str"/>
      <x:c r="G220" s="12" t="str"/>
      <x:c r="H220" s="12" t="str">
        <x:v>SEDAC and HazPop: identify collaboration opportunities.</x:v>
      </x:c>
      <x:c r="I220" s="12" t="str"/>
      <x:c r="J220" s="12" t="str">
        <x:v>SRC-0003</x:v>
      </x:c>
      <x:c r="K220" s="12" t="str">
        <x:v>Section: 2.7 Action Items; table row 5</x:v>
      </x:c>
    </x:row>
    <x:row r="221">
      <x:c r="A221" s="12" t="str">
        <x:v>RSP-0220</x:v>
      </x:c>
      <x:c r="B221" s="12" t="str">
        <x:v>Transparent browse in Vertex.</x:v>
      </x:c>
      <x:c r="C221" s="12" t="str">
        <x:v>Action item</x:v>
      </x:c>
      <x:c r="D221" s="12" t="str"/>
      <x:c r="E221" s="12" t="str">
        <x:v>Proposed</x:v>
      </x:c>
      <x:c r="F221" s="12" t="str"/>
      <x:c r="G221" s="12" t="str"/>
      <x:c r="H221" s="12" t="str">
        <x:v>Transparent browse in Vertex.</x:v>
      </x:c>
      <x:c r="I221" s="12" t="str"/>
      <x:c r="J221" s="12" t="str">
        <x:v>SRC-0003</x:v>
      </x:c>
      <x:c r="K221" s="12" t="str">
        <x:v>Section: 2.7 Action Items; table row 6</x:v>
      </x:c>
    </x:row>
    <x:row r="222">
      <x:c r="A222" s="12" t="str">
        <x:v>RSP-0221</x:v>
      </x:c>
      <x:c r="B222" s="12" t="str">
        <x:v>Expand outreach: newsletter, additional languages…updates (email? – one paragraph); sprint reviews?...keep it quick</x:v>
      </x:c>
      <x:c r="C222" s="12" t="str">
        <x:v>Action item</x:v>
      </x:c>
      <x:c r="D222" s="12" t="str"/>
      <x:c r="E222" s="12" t="str">
        <x:v>Proposed</x:v>
      </x:c>
      <x:c r="F222" s="12" t="str"/>
      <x:c r="G222" s="12" t="str"/>
      <x:c r="H222" s="12" t="str">
        <x:v>Expand outreach: newsletter, additional languages…updates (email? – one paragraph); sprint reviews?...keep it quick</x:v>
      </x:c>
      <x:c r="I222" s="12" t="str"/>
      <x:c r="J222" s="12" t="str">
        <x:v>SRC-0003</x:v>
      </x:c>
      <x:c r="K222" s="12" t="str">
        <x:v>Section: 2.7 Action Items; table row 7</x:v>
      </x:c>
    </x:row>
    <x:row r="223">
      <x:c r="A223" s="12" t="str">
        <x:v>RSP-0222</x:v>
      </x:c>
      <x:c r="B223" s="12" t="str">
        <x:v>Wave mode / ocean searches / wind speed? Do not display the browse images in color in Vertex. Reach out to Ralph to get a better understanding of how ASF can improve our services for that community.</x:v>
      </x:c>
      <x:c r="C223" s="12" t="str">
        <x:v>Action item</x:v>
      </x:c>
      <x:c r="D223" s="12" t="str"/>
      <x:c r="E223" s="12" t="str">
        <x:v>Proposed</x:v>
      </x:c>
      <x:c r="F223" s="12" t="str"/>
      <x:c r="G223" s="12" t="str"/>
      <x:c r="H223" s="12" t="str">
        <x:v>Wave mode / ocean searches / wind speed? Do not display the browse images in color in Vertex. Reach out to Ralph to get a better understanding of how ASF can improve our services for that community.</x:v>
      </x:c>
      <x:c r="I223" s="12" t="str"/>
      <x:c r="J223" s="12" t="str">
        <x:v>SRC-0003</x:v>
      </x:c>
      <x:c r="K223" s="12" t="str">
        <x:v>Section: 2.7 Action Items; table row 8</x:v>
      </x:c>
    </x:row>
    <x:row r="224">
      <x:c r="A224" s="12" t="str">
        <x:v>RSP-0223</x:v>
      </x:c>
      <x:c r="B224" s="12" t="str">
        <x:v>Consider change color browse for S1 to use B &amp; W over the ocean, color over land.</x:v>
      </x:c>
      <x:c r="C224" s="12" t="str">
        <x:v>Action item</x:v>
      </x:c>
      <x:c r="D224" s="12" t="str"/>
      <x:c r="E224" s="12" t="str">
        <x:v>Proposed</x:v>
      </x:c>
      <x:c r="F224" s="12" t="str"/>
      <x:c r="G224" s="12" t="str"/>
      <x:c r="H224" s="12" t="str">
        <x:v>Consider change color browse for S1 to use B &amp; W over the ocean, color over land.</x:v>
      </x:c>
      <x:c r="I224" s="12" t="str"/>
      <x:c r="J224" s="12" t="str">
        <x:v>SRC-0003</x:v>
      </x:c>
      <x:c r="K224" s="12" t="str">
        <x:v>Section: 2.7 Action Items; table row 9</x:v>
      </x:c>
    </x:row>
    <x:row r="225">
      <x:c r="A225" s="12" t="str">
        <x:v>RSP-0224</x:v>
      </x:c>
      <x:c r="B225" s="12" t="str">
        <x:v>Reach out to ESA, NSG about decreasing latency with S1.</x:v>
      </x:c>
      <x:c r="C225" s="12" t="str">
        <x:v>Action item</x:v>
      </x:c>
      <x:c r="D225" s="12" t="str"/>
      <x:c r="E225" s="12" t="str">
        <x:v>Proposed</x:v>
      </x:c>
      <x:c r="F225" s="12" t="str"/>
      <x:c r="G225" s="12" t="str"/>
      <x:c r="H225" s="12" t="str">
        <x:v>Reach out to ESA, NSG about decreasing latency with S1.</x:v>
      </x:c>
      <x:c r="I225" s="12" t="str"/>
      <x:c r="J225" s="12" t="str">
        <x:v>SRC-0003</x:v>
      </x:c>
      <x:c r="K225" s="12" t="str">
        <x:v>Section: 2.7 Action Items; table row 10</x:v>
      </x:c>
    </x:row>
    <x:row r="226">
      <x:c r="A226" s="12" t="str">
        <x:v>RSP-0225</x:v>
      </x:c>
      <x:c r="B226" s="12" t="str">
        <x:v>Identify opportunities to provide SWOT data in Vertex, e.g., land. Explore opportunities to work with PO.DAAC on SWOT search/discover tools.</x:v>
      </x:c>
      <x:c r="C226" s="12" t="str">
        <x:v>Action item</x:v>
      </x:c>
      <x:c r="D226" s="12" t="str"/>
      <x:c r="E226" s="12" t="str">
        <x:v>Proposed</x:v>
      </x:c>
      <x:c r="F226" s="12" t="str"/>
      <x:c r="G226" s="12" t="str"/>
      <x:c r="H226" s="12" t="str">
        <x:v>Identify opportunities to provide SWOT data in Vertex, e.g., land. Explore opportunities to work with PO.DAAC on SWOT search/discover tools.</x:v>
      </x:c>
      <x:c r="I226" s="12" t="str"/>
      <x:c r="J226" s="12" t="str">
        <x:v>SRC-0003</x:v>
      </x:c>
      <x:c r="K226" s="12" t="str">
        <x:v>Section: 2.7 Action Items; table row 11</x:v>
      </x:c>
    </x:row>
    <x:row r="227">
      <x:c r="A227" s="12" t="str">
        <x:v>RSP-0226</x:v>
      </x:c>
      <x:c r="B227" s="12" t="str">
        <x:v>Schedule SWOT talk for ASF.</x:v>
      </x:c>
      <x:c r="C227" s="12" t="str">
        <x:v>Action item</x:v>
      </x:c>
      <x:c r="D227" s="12" t="str"/>
      <x:c r="E227" s="12" t="str">
        <x:v>Proposed</x:v>
      </x:c>
      <x:c r="F227" s="12" t="str"/>
      <x:c r="G227" s="12" t="str"/>
      <x:c r="H227" s="12" t="str">
        <x:v>Schedule SWOT talk for ASF.</x:v>
      </x:c>
      <x:c r="I227" s="12" t="str"/>
      <x:c r="J227" s="12" t="str">
        <x:v>SRC-0003</x:v>
      </x:c>
      <x:c r="K227" s="12" t="str">
        <x:v>Section: 2.7 Action Items; table row 12</x:v>
      </x:c>
    </x:row>
    <x:row r="228">
      <x:c r="A228" s="12" t="str">
        <x:v>RSP-0227</x:v>
      </x:c>
      <x:c r="B228" s="12" t="str">
        <x:v>Action for us to confirm with ESA the RTC resolution and justification. ESA intends 10M RTC. Continue the dialogue to ensure future compatibility.</x:v>
      </x:c>
      <x:c r="C228" s="12" t="str">
        <x:v>Action item</x:v>
      </x:c>
      <x:c r="D228" s="12" t="str"/>
      <x:c r="E228" s="12" t="str">
        <x:v>Proposed</x:v>
      </x:c>
      <x:c r="F228" s="12" t="str"/>
      <x:c r="G228" s="12" t="str"/>
      <x:c r="H228" s="12" t="str">
        <x:v>Action for us to confirm with ESA the RTC resolution and justification. ESA intends 10M RTC. Continue the dialogue to ensure future compatibility.</x:v>
      </x:c>
      <x:c r="I228" s="12" t="str"/>
      <x:c r="J228" s="12" t="str">
        <x:v>SRC-0003</x:v>
      </x:c>
      <x:c r="K228" s="12" t="str">
        <x:v>Section: 2.7 Action Items; table row 13</x:v>
      </x:c>
    </x:row>
    <x:row r="229">
      <x:c r="A229" s="12" t="str">
        <x:v>RSP-0228</x:v>
      </x:c>
      <x:c r="B229" s="12" t="str">
        <x:v>OPERA and ASF to engage with community to evaluate different resolutions.</x:v>
      </x:c>
      <x:c r="C229" s="12" t="str">
        <x:v>Action item</x:v>
      </x:c>
      <x:c r="D229" s="12" t="str"/>
      <x:c r="E229" s="12" t="str">
        <x:v>Proposed</x:v>
      </x:c>
      <x:c r="F229" s="12" t="str"/>
      <x:c r="G229" s="12" t="str"/>
      <x:c r="H229" s="12" t="str">
        <x:v>OPERA and ASF to engage with community to evaluate different resolutions.</x:v>
      </x:c>
      <x:c r="I229" s="12" t="str"/>
      <x:c r="J229" s="12" t="str">
        <x:v>SRC-0003</x:v>
      </x:c>
      <x:c r="K229" s="12" t="str">
        <x:v>Section: 2.7 Action Items; table row 14</x:v>
      </x:c>
    </x:row>
    <x:row r="230">
      <x:c r="A230" s="12" t="str">
        <x:v>RSP-0229</x:v>
      </x:c>
      <x:c r="B230" s="12" t="str">
        <x:v>Attend Association of State Geologists Meeting (next years will be in Park City, UT)</x:v>
      </x:c>
      <x:c r="C230" s="12" t="str">
        <x:v>Action item</x:v>
      </x:c>
      <x:c r="D230" s="12" t="str"/>
      <x:c r="E230" s="12" t="str">
        <x:v>Proposed</x:v>
      </x:c>
      <x:c r="F230" s="12" t="str"/>
      <x:c r="G230" s="12" t="str"/>
      <x:c r="H230" s="12" t="str">
        <x:v>Attend Association of State Geologists Meeting (next years will be in Park City, UT)</x:v>
      </x:c>
      <x:c r="I230" s="12" t="str"/>
      <x:c r="J230" s="12" t="str">
        <x:v>SRC-0003</x:v>
      </x:c>
      <x:c r="K230" s="12" t="str">
        <x:v>Section: 2.7 Action Items; table row 15</x:v>
      </x:c>
    </x:row>
    <x:row r="231">
      <x:c r="A231" s="12" t="str">
        <x:v>RSP-0230</x:v>
      </x:c>
      <x:c r="B231" s="12" t="str">
        <x:v>Explore working with WinSAR to gain access to ERS-1 &amp; 2 data products. Talk to them soon before December.</x:v>
      </x:c>
      <x:c r="C231" s="12" t="str">
        <x:v>Action item</x:v>
      </x:c>
      <x:c r="D231" s="12" t="str"/>
      <x:c r="E231" s="12" t="str">
        <x:v>Proposed</x:v>
      </x:c>
      <x:c r="F231" s="12" t="str"/>
      <x:c r="G231" s="12" t="str"/>
      <x:c r="H231" s="12" t="str">
        <x:v>Explore working with WinSAR to gain access to ERS-1 &amp; 2 data products. Talk to them soon before December.</x:v>
      </x:c>
      <x:c r="I231" s="12" t="str"/>
      <x:c r="J231" s="12" t="str">
        <x:v>SRC-0003</x:v>
      </x:c>
      <x:c r="K231" s="12" t="str">
        <x:v>Section: 2.7 Action Items; table row 16</x:v>
      </x:c>
    </x:row>
    <x:row r="232">
      <x:c r="A232" s="12" t="str">
        <x:v>RSP-0231</x:v>
      </x:c>
      <x:c r="B232" s="12" t="str">
        <x:v>Sharing code in OSL and Hyp3 is hard: continue to work on. Video tutorials &amp; better curation and search for notebooks within OSL.</x:v>
      </x:c>
      <x:c r="C232" s="12" t="str">
        <x:v>Action item</x:v>
      </x:c>
      <x:c r="D232" s="12" t="str"/>
      <x:c r="E232" s="12" t="str">
        <x:v>Proposed</x:v>
      </x:c>
      <x:c r="F232" s="12" t="str"/>
      <x:c r="G232" s="12" t="str"/>
      <x:c r="H232" s="12" t="str">
        <x:v>Sharing code in OSL and Hyp3 is hard: continue to work on. Video tutorials &amp; better curation and search for notebooks within OSL.</x:v>
      </x:c>
      <x:c r="I232" s="12" t="str"/>
      <x:c r="J232" s="12" t="str">
        <x:v>SRC-0003</x:v>
      </x:c>
      <x:c r="K232" s="12" t="str">
        <x:v>Section: 2.7 Action Items; table row 18</x:v>
      </x:c>
    </x:row>
    <x:row r="233">
      <x:c r="A233" s="12" t="str">
        <x:v>RSP-0232</x:v>
      </x:c>
      <x:c r="B233" s="12" t="str">
        <x:v>Attach shuttle photographs to SIR-C data products (Steve has them on his website as well).</x:v>
      </x:c>
      <x:c r="C233" s="12" t="str">
        <x:v>Action item</x:v>
      </x:c>
      <x:c r="D233" s="12" t="str"/>
      <x:c r="E233" s="12" t="str">
        <x:v>Proposed</x:v>
      </x:c>
      <x:c r="F233" s="12" t="str"/>
      <x:c r="G233" s="12" t="str"/>
      <x:c r="H233" s="12" t="str">
        <x:v>Attach shuttle photographs to SIR-C data products (Steve has them on his website as well).</x:v>
      </x:c>
      <x:c r="I233" s="12" t="str"/>
      <x:c r="J233" s="12" t="str">
        <x:v>SRC-0003</x:v>
      </x:c>
      <x:c r="K233" s="12" t="str">
        <x:v>Section: 2.7 Action Items; table row 19</x:v>
      </x:c>
    </x:row>
    <x:row r="234">
      <x:c r="A234" s="12" t="str">
        <x:v>RSP-0233</x:v>
      </x:c>
      <x:c r="B234" s="12" t="str">
        <x:v>Send an email out to the science community asking if scientists have SIR-A/B/C data. Look at ADMG best practices (Deb Smith).</x:v>
      </x:c>
      <x:c r="C234" s="12" t="str">
        <x:v>Action item</x:v>
      </x:c>
      <x:c r="D234" s="12" t="str"/>
      <x:c r="E234" s="12" t="str">
        <x:v>Proposed</x:v>
      </x:c>
      <x:c r="F234" s="12" t="str"/>
      <x:c r="G234" s="12" t="str"/>
      <x:c r="H234" s="12" t="str">
        <x:v>Send an email out to the science community asking if scientists have SIR-A/B/C data. Look at ADMG best practices (Deb Smith).</x:v>
      </x:c>
      <x:c r="I234" s="12" t="str"/>
      <x:c r="J234" s="12" t="str">
        <x:v>SRC-0003</x:v>
      </x:c>
      <x:c r="K234" s="12" t="str">
        <x:v>Section: 2.7 Action Items; table row 20</x:v>
      </x:c>
    </x:row>
    <x:row r="235">
      <x:c r="A235" s="12" t="str">
        <x:v>RSP-0234</x:v>
      </x:c>
      <x:c r="B235" s="12" t="str">
        <x:v>Airbus data: help them get it into CMR and make it more accessible.</x:v>
      </x:c>
      <x:c r="C235" s="12" t="str">
        <x:v>Action item</x:v>
      </x:c>
      <x:c r="D235" s="12" t="str"/>
      <x:c r="E235" s="12" t="str">
        <x:v>Proposed</x:v>
      </x:c>
      <x:c r="F235" s="12" t="str"/>
      <x:c r="G235" s="12" t="str"/>
      <x:c r="H235" s="12" t="str">
        <x:v>Airbus data: help them get it into CMR and make it more accessible.</x:v>
      </x:c>
      <x:c r="I235" s="12" t="str"/>
      <x:c r="J235" s="12" t="str">
        <x:v>SRC-0003</x:v>
      </x:c>
      <x:c r="K235" s="12" t="str">
        <x:v>Section: 2.7 Action Items; table row 21</x:v>
      </x:c>
    </x:row>
    <x:row r="236">
      <x:c r="A236" s="12" t="str">
        <x:v>RSP-0235</x:v>
      </x:c>
      <x:c r="B236" s="12" t="str">
        <x:v>ASF to speak with Tools team about scoping a sensor agnostic tropospheric correction using the European weather model, and a tool to generate a product/service that could be used by others.</x:v>
      </x:c>
      <x:c r="C236" s="12" t="str">
        <x:v>Action item</x:v>
      </x:c>
      <x:c r="D236" s="12" t="str"/>
      <x:c r="E236" s="12" t="str">
        <x:v>Proposed</x:v>
      </x:c>
      <x:c r="F236" s="12" t="str"/>
      <x:c r="G236" s="12" t="str"/>
      <x:c r="H236" s="12" t="str">
        <x:v>ASF to speak with Tools team about scoping a sensor agnostic tropospheric correction using the European weather model, and a tool to generate a product/service that could be used by others.</x:v>
      </x:c>
      <x:c r="I236" s="12" t="str"/>
      <x:c r="J236" s="12" t="str">
        <x:v>SRC-0003</x:v>
      </x:c>
      <x:c r="K236" s="12" t="str">
        <x:v>Section: 2.7 Action Items; table row 22</x:v>
      </x:c>
    </x:row>
    <x:row r="237">
      <x:c r="A237" s="12" t="str">
        <x:v>RSP-0236</x:v>
      </x:c>
      <x:c r="B237" s="12" t="str">
        <x:v>ASF to work with the NISAR ST on making the ATBDs useful and available to the public. Also, coordinate with other teams at NASA who might be doing similar efforts, MAAP, VEDA.</x:v>
      </x:c>
      <x:c r="C237" s="12" t="str">
        <x:v>Action item</x:v>
      </x:c>
      <x:c r="D237" s="12" t="str"/>
      <x:c r="E237" s="12" t="str">
        <x:v>Proposed</x:v>
      </x:c>
      <x:c r="F237" s="12" t="str"/>
      <x:c r="G237" s="12" t="str"/>
      <x:c r="H237" s="12" t="str">
        <x:v>ASF to work with the NISAR ST on making the ATBDs useful and available to the public. Also, coordinate with other teams at NASA who might be doing similar efforts, MAAP, VEDA.</x:v>
      </x:c>
      <x:c r="I237" s="12" t="str"/>
      <x:c r="J237" s="12" t="str">
        <x:v>SRC-0003</x:v>
      </x:c>
      <x:c r="K237" s="12" t="str">
        <x:v>Section: 2.7 Action Items; table row 23</x:v>
      </x:c>
    </x:row>
    <x:row r="238">
      <x:c r="A238" s="12" t="str">
        <x:v>RSP-0237</x:v>
      </x:c>
      <x:c r="B238" s="12" t="str">
        <x:v>Develop strategy for NISAR Urgent Response.</x:v>
      </x:c>
      <x:c r="C238" s="12" t="str">
        <x:v>Action item</x:v>
      </x:c>
      <x:c r="D238" s="12" t="str"/>
      <x:c r="E238" s="12" t="str">
        <x:v>Proposed</x:v>
      </x:c>
      <x:c r="F238" s="12" t="str"/>
      <x:c r="G238" s="12" t="str"/>
      <x:c r="H238" s="12" t="str">
        <x:v>Develop strategy for NISAR Urgent Response.</x:v>
      </x:c>
      <x:c r="I238" s="12" t="str"/>
      <x:c r="J238" s="12" t="str">
        <x:v>SRC-0003</x:v>
      </x:c>
      <x:c r="K238" s="12" t="str">
        <x:v>Section: 2.7 Action Items; table row 24</x:v>
      </x:c>
    </x:row>
    <x:row r="239">
      <x:c r="A239" s="12" t="str">
        <x:v>RSP-0238</x:v>
      </x:c>
      <x:c r="B239" s="12" t="str">
        <x:v>Implement ability to subscribe to AOIs in Vertex: notify me when new data is available (cf PO.DAAC)</x:v>
      </x:c>
      <x:c r="C239" s="12" t="str">
        <x:v>Action item</x:v>
      </x:c>
      <x:c r="D239" s="12" t="str"/>
      <x:c r="E239" s="12" t="str">
        <x:v>Proposed</x:v>
      </x:c>
      <x:c r="F239" s="12" t="str"/>
      <x:c r="G239" s="12" t="str"/>
      <x:c r="H239" s="12" t="str">
        <x:v>Implement ability to subscribe to AOIs in Vertex: notify me when new data is available (cf PO.DAAC)</x:v>
      </x:c>
      <x:c r="I239" s="12" t="str"/>
      <x:c r="J239" s="12" t="str">
        <x:v>SRC-0003</x:v>
      </x:c>
      <x:c r="K239" s="12" t="str">
        <x:v>Section: 2.7 Action Items; table row 25</x:v>
      </x:c>
    </x:row>
    <x:row r="240">
      <x:c r="A240" s="12" t="str">
        <x:v>RSP-0239</x:v>
      </x:c>
      <x:c r="B240" s="12" t="str">
        <x:v>Get with the different science communities (seismology, earthquake, sea ice) about their needs for emergency response with NISAR data. Discuss with Karen Michael.</x:v>
      </x:c>
      <x:c r="C240" s="12" t="str">
        <x:v>Action item</x:v>
      </x:c>
      <x:c r="D240" s="12" t="str"/>
      <x:c r="E240" s="12" t="str">
        <x:v>Proposed</x:v>
      </x:c>
      <x:c r="F240" s="12" t="str"/>
      <x:c r="G240" s="12" t="str"/>
      <x:c r="H240" s="12" t="str">
        <x:v>Get with the different science communities (seismology, earthquake, sea ice) about their needs for emergency response with NISAR data. Discuss with Karen Michael.</x:v>
      </x:c>
      <x:c r="I240" s="12" t="str"/>
      <x:c r="J240" s="12" t="str">
        <x:v>SRC-0003</x:v>
      </x:c>
      <x:c r="K240" s="12" t="str">
        <x:v>Section: 2.7 Action Items; table row 26</x:v>
      </x:c>
    </x:row>
    <x:row r="241">
      <x:c r="A241" s="12" t="str">
        <x:v>RSP-0240</x:v>
      </x:c>
      <x:c r="B241" s="12" t="str">
        <x:v>Start a new UWG working group on Urgent response…feedback on the NISAR interface/notifications.</x:v>
      </x:c>
      <x:c r="C241" s="12" t="str">
        <x:v>Action item</x:v>
      </x:c>
      <x:c r="D241" s="12" t="str"/>
      <x:c r="E241" s="12" t="str">
        <x:v>Proposed</x:v>
      </x:c>
      <x:c r="F241" s="12" t="str"/>
      <x:c r="G241" s="12" t="str"/>
      <x:c r="H241" s="12" t="str">
        <x:v>Start a new UWG working group on Urgent response…feedback on the NISAR interface/notifications.</x:v>
      </x:c>
      <x:c r="I241" s="12" t="str"/>
      <x:c r="J241" s="12" t="str">
        <x:v>SRC-0003</x:v>
      </x:c>
      <x:c r="K241" s="12" t="str">
        <x:v>Section: 2.7 Action Items; table row 27</x:v>
      </x:c>
    </x:row>
    <x:row r="242">
      <x:c r="A242" s="12" t="str">
        <x:v>RSP-0241</x:v>
      </x:c>
      <x:c r="B242" s="12" t="str">
        <x:v>Suggestion for ASF Vertex engineering team to meet with a group of users and get the users feedback of Vertex pros and cons.</x:v>
      </x:c>
      <x:c r="C242" s="12" t="str">
        <x:v>Action item</x:v>
      </x:c>
      <x:c r="D242" s="12" t="str"/>
      <x:c r="E242" s="12" t="str">
        <x:v>Proposed</x:v>
      </x:c>
      <x:c r="F242" s="12" t="str"/>
      <x:c r="G242" s="12" t="str"/>
      <x:c r="H242" s="12" t="str">
        <x:v>Suggestion for ASF Vertex engineering team to meet with a group of users and get the users feedback of Vertex pros and cons.</x:v>
      </x:c>
      <x:c r="I242" s="12" t="str"/>
      <x:c r="J242" s="12" t="str">
        <x:v>SRC-0003</x:v>
      </x:c>
      <x:c r="K242" s="12" t="str">
        <x:v>Section: 2.7 Action Items; table row 28</x:v>
      </x:c>
    </x:row>
    <x:row r="243">
      <x:c r="A243" s="12" t="str">
        <x:v>RSP-0242</x:v>
      </x:c>
      <x:c r="B243" s="12" t="str">
        <x:v>Review the TOPS curriculum.</x:v>
      </x:c>
      <x:c r="C243" s="12" t="str">
        <x:v>Action item</x:v>
      </x:c>
      <x:c r="D243" s="12" t="str"/>
      <x:c r="E243" s="12" t="str">
        <x:v>Proposed</x:v>
      </x:c>
      <x:c r="F243" s="12" t="str"/>
      <x:c r="G243" s="12" t="str"/>
      <x:c r="H243" s="12" t="str">
        <x:v>Review the TOPS curriculum.</x:v>
      </x:c>
      <x:c r="I243" s="12" t="str"/>
      <x:c r="J243" s="12" t="str">
        <x:v>SRC-0003</x:v>
      </x:c>
      <x:c r="K243" s="12" t="str">
        <x:v>Section: 2.7 Action Items; table row 29</x:v>
      </x:c>
    </x:row>
    <x:row r="244">
      <x:c r="A244" s="12" t="str">
        <x:v>RSP-0243</x:v>
      </x:c>
      <x:c r="B244" s="12" t="str">
        <x:v>Set up a virtual session on Open Science, possibly at next quarterly UWG meeting.</x:v>
      </x:c>
      <x:c r="C244" s="12" t="str">
        <x:v>Action item</x:v>
      </x:c>
      <x:c r="D244" s="12" t="str"/>
      <x:c r="E244" s="12" t="str">
        <x:v>Proposed</x:v>
      </x:c>
      <x:c r="F244" s="12" t="str"/>
      <x:c r="G244" s="12" t="str"/>
      <x:c r="H244" s="12" t="str">
        <x:v>Set up a virtual session on Open Science, possibly at next quarterly UWG meeting.</x:v>
      </x:c>
      <x:c r="I244" s="12" t="str"/>
      <x:c r="J244" s="12" t="str">
        <x:v>SRC-0003</x:v>
      </x:c>
      <x:c r="K244" s="12" t="str">
        <x:v>Section: 2.7 Action Items; table row 30</x:v>
      </x:c>
    </x:row>
    <x:row r="245">
      <x:c r="A245" s="12" t="str">
        <x:v>RSP-0244</x:v>
      </x:c>
      <x:c r="B245" s="12" t="str">
        <x:v>Engage with ESDIS and the group working to improve DOIs.</x:v>
      </x:c>
      <x:c r="C245" s="12" t="str">
        <x:v>Action item</x:v>
      </x:c>
      <x:c r="D245" s="12" t="str"/>
      <x:c r="E245" s="12" t="str">
        <x:v>Proposed</x:v>
      </x:c>
      <x:c r="F245" s="12" t="str"/>
      <x:c r="G245" s="12" t="str"/>
      <x:c r="H245" s="12" t="str">
        <x:v>Engage with ESDIS and the group working to improve DOIs.</x:v>
      </x:c>
      <x:c r="I245" s="12" t="str"/>
      <x:c r="J245" s="12" t="str">
        <x:v>SRC-0003</x:v>
      </x:c>
      <x:c r="K245" s="12" t="str">
        <x:v>Section: 2.7 Action Items; table row 31</x:v>
      </x:c>
    </x:row>
    <x:row r="246">
      <x:c r="A246" s="12" t="str">
        <x:v>RSP-0245</x:v>
      </x:c>
      <x:c r="B246" s="12" t="str">
        <x:v>ASF work with UAF to see if our institution is teaching open-source principles.</x:v>
      </x:c>
      <x:c r="C246" s="12" t="str">
        <x:v>Action item</x:v>
      </x:c>
      <x:c r="D246" s="12" t="str"/>
      <x:c r="E246" s="12" t="str">
        <x:v>Proposed</x:v>
      </x:c>
      <x:c r="F246" s="12" t="str"/>
      <x:c r="G246" s="12" t="str"/>
      <x:c r="H246" s="12" t="str">
        <x:v>ASF work with UAF to see if our institution is teaching open-source principles.</x:v>
      </x:c>
      <x:c r="I246" s="12" t="str"/>
      <x:c r="J246" s="12" t="str">
        <x:v>SRC-0003</x:v>
      </x:c>
      <x:c r="K246" s="12" t="str">
        <x:v>Section: 2.7 Action Items; table row 32</x:v>
      </x:c>
    </x:row>
    <x:row r="247">
      <x:c r="A247" s="12" t="str">
        <x:v>RSP-0246</x:v>
      </x:c>
      <x:c r="B247" s="12" t="str">
        <x:v>Create a heat map for GUNW, of the locations that are covered and where to get the data, regularly updated and needs a DOI.</x:v>
      </x:c>
      <x:c r="C247" s="12" t="str">
        <x:v>Action item</x:v>
      </x:c>
      <x:c r="D247" s="12" t="str"/>
      <x:c r="E247" s="12" t="str">
        <x:v>Proposed</x:v>
      </x:c>
      <x:c r="F247" s="12" t="str"/>
      <x:c r="G247" s="12" t="str"/>
      <x:c r="H247" s="12" t="str">
        <x:v>Create a heat map for GUNW, of the locations that are covered and where to get the data, regularly updated and needs a DOI.</x:v>
      </x:c>
      <x:c r="I247" s="12" t="str"/>
      <x:c r="J247" s="12" t="str">
        <x:v>SRC-0003</x:v>
      </x:c>
      <x:c r="K247" s="12" t="str">
        <x:v>Section: 2.7 Action Items; table row 33</x:v>
      </x:c>
    </x:row>
    <x:row r="248">
      <x:c r="A248" s="12" t="str">
        <x:v>RSP-0247</x:v>
      </x:c>
      <x:c r="B248" s="12" t="str">
        <x:v>Simplify and streamline the Vertex search options, make sure process to do e.g. On Demand is clear.</x:v>
      </x:c>
      <x:c r="C248" s="12" t="str">
        <x:v>Action item</x:v>
      </x:c>
      <x:c r="D248" s="12" t="str"/>
      <x:c r="E248" s="12" t="str">
        <x:v>Proposed</x:v>
      </x:c>
      <x:c r="F248" s="12" t="str"/>
      <x:c r="G248" s="12" t="str"/>
      <x:c r="H248" s="12" t="str">
        <x:v>Simplify and streamline the Vertex search options, make sure process to do e.g. On Demand is clear.</x:v>
      </x:c>
      <x:c r="I248" s="12" t="str"/>
      <x:c r="J248" s="12" t="str">
        <x:v>SRC-0003</x:v>
      </x:c>
      <x:c r="K248" s="12" t="str">
        <x:v>Section: 2.7 Action Items; table row 34</x:v>
      </x:c>
    </x:row>
    <x:row r="249">
      <x:c r="A249" s="12" t="str">
        <x:v>RSP-0248</x:v>
      </x:c>
      <x:c r="B249" s="12" t="str">
        <x:v>Develop strategy to properly identify On Demand products that a user generated to augment standard ones (particularly InSAR).</x:v>
      </x:c>
      <x:c r="C249" s="12" t="str">
        <x:v>Action item</x:v>
      </x:c>
      <x:c r="D249" s="12" t="str"/>
      <x:c r="E249" s="12" t="str">
        <x:v>Proposed</x:v>
      </x:c>
      <x:c r="F249" s="12" t="str"/>
      <x:c r="G249" s="12" t="str"/>
      <x:c r="H249" s="12" t="str">
        <x:v>Develop strategy to properly identify On Demand products that a user generated to augment standard ones (particularly InSAR).</x:v>
      </x:c>
      <x:c r="I249" s="12" t="str"/>
      <x:c r="J249" s="12" t="str">
        <x:v>SRC-0003</x:v>
      </x:c>
      <x:c r="K249" s="12" t="str">
        <x:v>Section: 2.7 Action Items; table row 35</x:v>
      </x:c>
    </x:row>
    <x:row r="250">
      <x:c r="A250" s="12" t="str">
        <x:v>RSP-0249</x:v>
      </x:c>
      <x:c r="B250" s="12" t="str">
        <x:v>Explore ways for ASF to allow users to take advantage of NISAR S-band data, and exploit dual-frequency.</x:v>
      </x:c>
      <x:c r="C250" s="12" t="str">
        <x:v>Action item</x:v>
      </x:c>
      <x:c r="D250" s="12" t="str"/>
      <x:c r="E250" s="12" t="str">
        <x:v>Proposed</x:v>
      </x:c>
      <x:c r="F250" s="12" t="str"/>
      <x:c r="G250" s="12" t="str"/>
      <x:c r="H250" s="12" t="str">
        <x:v>Explore ways for ASF to allow users to take advantage of NISAR S-band data, and exploit dual-frequency.</x:v>
      </x:c>
      <x:c r="I250" s="12" t="str"/>
      <x:c r="J250" s="12" t="str">
        <x:v>SRC-0003</x:v>
      </x:c>
      <x:c r="K250" s="12" t="str">
        <x:v>Section: 2.7 Action Items; table row 36</x:v>
      </x:c>
    </x:row>
    <x:row r="251">
      <x:c r="A251" s="12" t="str">
        <x:v>RSP-0250</x:v>
      </x:c>
      <x:c r="B251" s="12" t="str">
        <x:v>Develop API for mosaicking of OPERA RTC, NISAR GCOV.</x:v>
      </x:c>
      <x:c r="C251" s="12" t="str">
        <x:v>Action item</x:v>
      </x:c>
      <x:c r="D251" s="12" t="str"/>
      <x:c r="E251" s="12" t="str">
        <x:v>Proposed</x:v>
      </x:c>
      <x:c r="F251" s="12" t="str"/>
      <x:c r="G251" s="12" t="str"/>
      <x:c r="H251" s="12" t="str">
        <x:v>Develop API for mosaicking of OPERA RTC, NISAR GCOV.</x:v>
      </x:c>
      <x:c r="I251" s="12" t="str"/>
      <x:c r="J251" s="12" t="str">
        <x:v>SRC-0003</x:v>
      </x:c>
      <x:c r="K251" s="12" t="str">
        <x:v>Section: 2.7 Action Items; table row 37</x:v>
      </x:c>
    </x:row>
    <x:row r="252">
      <x:c r="A252" s="12" t="str">
        <x:v>RSP-0251</x:v>
      </x:c>
      <x:c r="B252" s="12" t="str">
        <x:v>Outreach: Define a cool user experience for users who come to ASF excited about NISAR. Something preloaded in Vertex to highlight NiSAR. E.g. Show 1 InSAR product by default, 1 RTC. Highlight first-light images. Canned s</x:v>
      </x:c>
      <x:c r="C252" s="12" t="str">
        <x:v>Action item</x:v>
      </x:c>
      <x:c r="D252" s="12" t="str"/>
      <x:c r="E252" s="12" t="str">
        <x:v>Proposed</x:v>
      </x:c>
      <x:c r="F252" s="12" t="str"/>
      <x:c r="G252" s="12" t="str"/>
      <x:c r="H252" s="12" t="str">
        <x:v>Outreach: Define a cool user experience for users who come to ASF excited about NISAR. Something preloaded in Vertex to highlight NiSAR. E.g. Show 1 InSAR product by default, 1 RTC. Highlight first-light images. Canned searches that take you right to cool NISAR products.</x:v>
      </x:c>
      <x:c r="I252" s="12" t="str"/>
      <x:c r="J252" s="12" t="str">
        <x:v>SRC-0003</x:v>
      </x:c>
      <x:c r="K252" s="12" t="str">
        <x:v>Section: 2.7 Action Items; table row 38</x:v>
      </x:c>
    </x:row>
    <x:row r="253">
      <x:c r="A253" s="12" t="str">
        <x:v>RSP-0252</x:v>
      </x:c>
      <x:c r="B253" s="12" t="str">
        <x:v>Ensure users know how to effectively leverage HDF5 products that are cloud-optimized: documentation, etc., that specifies parameters etc. for fetching.</x:v>
      </x:c>
      <x:c r="C253" s="12" t="str">
        <x:v>Action item</x:v>
      </x:c>
      <x:c r="D253" s="12" t="str"/>
      <x:c r="E253" s="12" t="str">
        <x:v>Proposed</x:v>
      </x:c>
      <x:c r="F253" s="12" t="str"/>
      <x:c r="G253" s="12" t="str"/>
      <x:c r="H253" s="12" t="str">
        <x:v>Ensure users know how to effectively leverage HDF5 products that are cloud-optimized: documentation, etc., that specifies parameters etc. for fetching.</x:v>
      </x:c>
      <x:c r="I253" s="12" t="str"/>
      <x:c r="J253" s="12" t="str">
        <x:v>SRC-0003</x:v>
      </x:c>
      <x:c r="K253" s="12" t="str">
        <x:v>Section: 2.7 Action Items; table row 39</x:v>
      </x:c>
    </x:row>
    <x:row r="254">
      <x:c r="A254" s="12" t="str">
        <x:v>RSP-0253</x:v>
      </x:c>
      <x:c r="B254" s="12" t="str">
        <x:v>Thought exercise: What would embarrass us if we didn’t do it?</x:v>
      </x:c>
      <x:c r="C254" s="12" t="str">
        <x:v>Action item</x:v>
      </x:c>
      <x:c r="D254" s="12" t="str"/>
      <x:c r="E254" s="12" t="str">
        <x:v>Proposed</x:v>
      </x:c>
      <x:c r="F254" s="12" t="str"/>
      <x:c r="G254" s="12" t="str"/>
      <x:c r="H254" s="12" t="str">
        <x:v>Thought exercise: What would embarrass us if we didn’t do it?</x:v>
      </x:c>
      <x:c r="I254" s="12" t="str"/>
      <x:c r="J254" s="12" t="str">
        <x:v>SRC-0003</x:v>
      </x:c>
      <x:c r="K254" s="12" t="str">
        <x:v>Section: 2.7 Action Items; table row 40</x:v>
      </x:c>
    </x:row>
    <x:row r="255">
      <x:c r="A255" s="12" t="str">
        <x:v>RSP-0254</x:v>
      </x:c>
      <x:c r="B255" s="12" t="str">
        <x:v>Solve the S-band data transfers, work with ISRO Community really wants S-band data!</x:v>
      </x:c>
      <x:c r="C255" s="12" t="str">
        <x:v>Action item</x:v>
      </x:c>
      <x:c r="D255" s="12" t="str"/>
      <x:c r="E255" s="12" t="str">
        <x:v>Proposed</x:v>
      </x:c>
      <x:c r="F255" s="12" t="str"/>
      <x:c r="G255" s="12" t="str"/>
      <x:c r="H255" s="12" t="str">
        <x:v>Solve the S-band data transfers, work with ISRO Community really wants S-band data!</x:v>
      </x:c>
      <x:c r="I255" s="12" t="str"/>
      <x:c r="J255" s="12" t="str">
        <x:v>SRC-0003</x:v>
      </x:c>
      <x:c r="K255" s="12" t="str">
        <x:v>Section: 2.7 Action Items; table row 41</x:v>
      </x:c>
    </x:row>
    <x:row r="256">
      <x:c r="A256" s="12" t="str">
        <x:v>RSP-0255</x:v>
      </x:c>
      <x:c r="B256" s="12" t="str">
        <x:v>Identify the courses ASF offers in workshops/trainings on NISAR, SAR, specialty courses (earthquake, volcanoes, sea ice).</x:v>
      </x:c>
      <x:c r="C256" s="12" t="str">
        <x:v>Action item</x:v>
      </x:c>
      <x:c r="D256" s="12" t="str"/>
      <x:c r="E256" s="12" t="str">
        <x:v>Proposed</x:v>
      </x:c>
      <x:c r="F256" s="12" t="str"/>
      <x:c r="G256" s="12" t="str"/>
      <x:c r="H256" s="12" t="str">
        <x:v>Identify the courses ASF offers in workshops/trainings on NISAR, SAR, specialty courses (earthquake, volcanoes, sea ice).</x:v>
      </x:c>
      <x:c r="I256" s="12" t="str"/>
      <x:c r="J256" s="12" t="str">
        <x:v>SRC-0003</x:v>
      </x:c>
      <x:c r="K256" s="12" t="str">
        <x:v>Section: 2.7 Action Items</x:v>
      </x:c>
    </x:row>
    <x:row r="257">
      <x:c r="A257" s="12" t="str">
        <x:v>RSP-0256</x:v>
      </x:c>
      <x:c r="B257" s="12" t="str">
        <x:v>Compare what is offered with what is requested by users to identify the gaps that could be addressed with additional courses.</x:v>
      </x:c>
      <x:c r="C257" s="12" t="str">
        <x:v>Action item</x:v>
      </x:c>
      <x:c r="D257" s="12" t="str"/>
      <x:c r="E257" s="12" t="str">
        <x:v>Proposed</x:v>
      </x:c>
      <x:c r="F257" s="12" t="str"/>
      <x:c r="G257" s="12" t="str"/>
      <x:c r="H257" s="12" t="str">
        <x:v>Compare what is offered with what is requested by users to identify the gaps that could be addressed with additional courses.</x:v>
      </x:c>
      <x:c r="I257" s="12" t="str"/>
      <x:c r="J257" s="12" t="str">
        <x:v>SRC-0003</x:v>
      </x:c>
      <x:c r="K257" s="12" t="str">
        <x:v>Section: 2.7 Action Items</x:v>
      </x:c>
    </x:row>
    <x:row r="258">
      <x:c r="A258" s="12" t="str">
        <x:v>RSP-0257</x:v>
      </x:c>
      <x:c r="B258" s="12" t="str">
        <x:v>Consider creating a living document/web page with resources (like EO College).</x:v>
      </x:c>
      <x:c r="C258" s="12" t="str">
        <x:v>Action item</x:v>
      </x:c>
      <x:c r="D258" s="12" t="str"/>
      <x:c r="E258" s="12" t="str">
        <x:v>Proposed</x:v>
      </x:c>
      <x:c r="F258" s="12" t="str"/>
      <x:c r="G258" s="12" t="str"/>
      <x:c r="H258" s="12" t="str">
        <x:v>Consider creating a living document/web page with resources (like EO College).</x:v>
      </x:c>
      <x:c r="I258" s="12" t="str"/>
      <x:c r="J258" s="12" t="str">
        <x:v>SRC-0003</x:v>
      </x:c>
      <x:c r="K258" s="12" t="str">
        <x:v>Section: 2.7 Action Items</x:v>
      </x:c>
    </x:row>
    <x:row r="259">
      <x:c r="A259" s="12" t="str">
        <x:v>RSP-0258</x:v>
      </x:c>
      <x:c r="B259" s="12" t="str">
        <x:v>What is the user interface with the data and are there things that ASF in general could develop to better use the products (e.g., time series data).</x:v>
      </x:c>
      <x:c r="C259" s="12" t="str">
        <x:v>Action item</x:v>
      </x:c>
      <x:c r="D259" s="12" t="str"/>
      <x:c r="E259" s="12" t="str">
        <x:v>Proposed</x:v>
      </x:c>
      <x:c r="F259" s="12" t="str"/>
      <x:c r="G259" s="12" t="str"/>
      <x:c r="H259" s="12" t="str">
        <x:v>What is the user interface with the data and are there things that ASF in general could develop to better use the products (e.g., time series data).</x:v>
      </x:c>
      <x:c r="I259" s="12" t="str"/>
      <x:c r="J259" s="12" t="str">
        <x:v>SRC-0003</x:v>
      </x:c>
      <x:c r="K259" s="12" t="str">
        <x:v>Section: 2.7 Action Items</x:v>
      </x:c>
    </x:row>
    <x:row r="260">
      <x:c r="A260" s="12" t="str">
        <x:v>RSP-0259</x:v>
      </x:c>
      <x:c r="B260" s="12" t="str">
        <x:v>What is lacking is the visualization tool of the data.</x:v>
      </x:c>
      <x:c r="C260" s="12" t="str">
        <x:v>Action item</x:v>
      </x:c>
      <x:c r="D260" s="12" t="str"/>
      <x:c r="E260" s="12" t="str">
        <x:v>Proposed</x:v>
      </x:c>
      <x:c r="F260" s="12" t="str"/>
      <x:c r="G260" s="12" t="str"/>
      <x:c r="H260" s="12" t="str">
        <x:v>What is lacking is the visualization tool of the data.</x:v>
      </x:c>
      <x:c r="I260" s="12" t="str"/>
      <x:c r="J260" s="12" t="str">
        <x:v>SRC-0003</x:v>
      </x:c>
      <x:c r="K260" s="12" t="str">
        <x:v>Section: 2.7 Action Items</x:v>
      </x:c>
    </x:row>
    <x:row r="261">
      <x:c r="A261" s="12" t="str">
        <x:v>RSP-0260</x:v>
      </x:c>
      <x:c r="B261" s="12" t="str">
        <x:v>How ASF can develop tools and web interface tools to advance the OPERA products.</x:v>
      </x:c>
      <x:c r="C261" s="12" t="str">
        <x:v>Action item</x:v>
      </x:c>
      <x:c r="D261" s="12" t="str"/>
      <x:c r="E261" s="12" t="str">
        <x:v>Proposed</x:v>
      </x:c>
      <x:c r="F261" s="12" t="str"/>
      <x:c r="G261" s="12" t="str"/>
      <x:c r="H261" s="12" t="str">
        <x:v>How ASF can develop tools and web interface tools to advance the OPERA products.</x:v>
      </x:c>
      <x:c r="I261" s="12" t="str"/>
      <x:c r="J261" s="12" t="str">
        <x:v>SRC-0003</x:v>
      </x:c>
      <x:c r="K261" s="12" t="str">
        <x:v>Section: 2.7 Action Items</x:v>
      </x:c>
    </x:row>
    <x:row r="262">
      <x:c r="A262" s="12" t="str">
        <x:v>RSP-0261</x:v>
      </x:c>
      <x:c r="B262" s="12" t="str">
        <x:v>Will we use the EOSDIS Worldview tool or will there be a specialized tool for NISAR &amp; OPERA?</x:v>
      </x:c>
      <x:c r="C262" s="12" t="str">
        <x:v>Action item</x:v>
      </x:c>
      <x:c r="D262" s="12" t="str"/>
      <x:c r="E262" s="12" t="str">
        <x:v>Proposed</x:v>
      </x:c>
      <x:c r="F262" s="12" t="str"/>
      <x:c r="G262" s="12" t="str"/>
      <x:c r="H262" s="12" t="str">
        <x:v>Will we use the EOSDIS Worldview tool or will there be a specialized tool for NISAR &amp; OPERA?</x:v>
      </x:c>
      <x:c r="I262" s="12" t="str"/>
      <x:c r="J262" s="12" t="str">
        <x:v>SRC-0003</x:v>
      </x:c>
      <x:c r="K262" s="12" t="str">
        <x:v>Section: 2.7 Action Items</x:v>
      </x:c>
    </x:row>
    <x:row r="263">
      <x:c r="A263" s="12" t="str">
        <x:v>RSP-0262</x:v>
      </x:c>
      <x:c r="B263" s="12" t="str">
        <x:v>Further understanding of the evaluation process of higher resolutions of the data is also important.</x:v>
      </x:c>
      <x:c r="C263" s="12" t="str">
        <x:v>Action item</x:v>
      </x:c>
      <x:c r="D263" s="12" t="str"/>
      <x:c r="E263" s="12" t="str">
        <x:v>Proposed</x:v>
      </x:c>
      <x:c r="F263" s="12" t="str"/>
      <x:c r="G263" s="12" t="str"/>
      <x:c r="H263" s="12" t="str">
        <x:v>Further understanding of the evaluation process of higher resolutions of the data is also important.</x:v>
      </x:c>
      <x:c r="I263" s="12" t="str"/>
      <x:c r="J263" s="12" t="str">
        <x:v>SRC-0003</x:v>
      </x:c>
      <x:c r="K263" s="12" t="str">
        <x:v>Section: 2.7 Action Items</x:v>
      </x:c>
    </x:row>
    <x:row r="264">
      <x:c r="A264" s="12" t="str">
        <x:v>RSP-0263</x:v>
      </x:c>
      <x:c r="B264" s="12" t="str">
        <x:v>Work with VEDA to identify common solutions we can use.</x:v>
      </x:c>
      <x:c r="C264" s="12" t="str">
        <x:v>Action item</x:v>
      </x:c>
      <x:c r="D264" s="12" t="str"/>
      <x:c r="E264" s="12" t="str">
        <x:v>Proposed</x:v>
      </x:c>
      <x:c r="F264" s="12" t="str"/>
      <x:c r="G264" s="12" t="str"/>
      <x:c r="H264" s="12" t="str">
        <x:v>Work with VEDA to identify common solutions we can use.</x:v>
      </x:c>
      <x:c r="I264" s="12" t="str"/>
      <x:c r="J264" s="12" t="str">
        <x:v>SRC-0003</x:v>
      </x:c>
      <x:c r="K264" s="12" t="str">
        <x:v>Section: 2.7 Action Items</x:v>
      </x:c>
    </x:row>
    <x:row r="265">
      <x:c r="A265" s="12" t="str">
        <x:v>RSP-0264</x:v>
      </x:c>
      <x:c r="B265" s="12" t="str">
        <x:v>NISAR-Tool development for visualization. That the user can download and use on their desktop system. Use the DAAC tool as an exploratory tool but do more analysis offline. Look at VEDA for data storage (recommended by S</x:v>
      </x:c>
      <x:c r="C265" s="12" t="str">
        <x:v>Action item</x:v>
      </x:c>
      <x:c r="D265" s="12" t="str"/>
      <x:c r="E265" s="12" t="str">
        <x:v>Proposed</x:v>
      </x:c>
      <x:c r="F265" s="12" t="str"/>
      <x:c r="G265" s="12" t="str"/>
      <x:c r="H265" s="12" t="str">
        <x:v>NISAR-Tool development for visualization. That the user can download and use on their desktop system. Use the DAAC tool as an exploratory tool but do more analysis offline. Look at VEDA for data storage (recommended by Stinger Guala).</x:v>
      </x:c>
      <x:c r="I265" s="12" t="str"/>
      <x:c r="J265" s="12" t="str">
        <x:v>SRC-0003</x:v>
      </x:c>
      <x:c r="K265" s="12" t="str">
        <x:v>Section: 2.7 Action Items</x:v>
      </x:c>
    </x:row>
    <x:row r="266">
      <x:c r="A266" s="12" t="str">
        <x:v>RSP-0265</x:v>
      </x:c>
      <x:c r="B266" s="12" t="str">
        <x:v>Explore some of the different processing options depending on the cost and end-user model. What models work for our different users? (Notebooks are a way for ASF to teach the users. Turn the notebooks into a more annotat</x:v>
      </x:c>
      <x:c r="C266" s="12" t="str">
        <x:v>Action item</x:v>
      </x:c>
      <x:c r="D266" s="12" t="str"/>
      <x:c r="E266" s="12" t="str">
        <x:v>Proposed</x:v>
      </x:c>
      <x:c r="F266" s="12" t="str"/>
      <x:c r="G266" s="12" t="str"/>
      <x:c r="H266" s="12" t="str">
        <x:v>Explore some of the different processing options depending on the cost and end-user model. What models work for our different users? (Notebooks are a way for ASF to teach the users. Turn the notebooks into a more annotated teaching tool.)</x:v>
      </x:c>
      <x:c r="I266" s="12" t="str"/>
      <x:c r="J266" s="12" t="str">
        <x:v>SRC-0003</x:v>
      </x:c>
      <x:c r="K266" s="12" t="str">
        <x:v>Section: 2.7 Action Items</x:v>
      </x:c>
    </x:row>
    <x:row r="267">
      <x:c r="A267" s="12" t="str">
        <x:v>RSP-0266</x:v>
      </x:c>
      <x:c r="B267" s="12" t="str">
        <x:v>How will users find UR?</x:v>
      </x:c>
      <x:c r="C267" s="12" t="str">
        <x:v>Action item</x:v>
      </x:c>
      <x:c r="D267" s="12" t="str"/>
      <x:c r="E267" s="12" t="str">
        <x:v>Proposed</x:v>
      </x:c>
      <x:c r="F267" s="12" t="str"/>
      <x:c r="G267" s="12" t="str"/>
      <x:c r="H267" s="12" t="str">
        <x:v>How will users find UR?</x:v>
      </x:c>
      <x:c r="I267" s="12" t="str"/>
      <x:c r="J267" s="12" t="str">
        <x:v>SRC-0003</x:v>
      </x:c>
      <x:c r="K267" s="12" t="str">
        <x:v>Section: 2.7 Action Items</x:v>
      </x:c>
    </x:row>
    <x:row r="268">
      <x:c r="A268" s="12" t="str">
        <x:v>RSP-0267</x:v>
      </x:c>
      <x:c r="B268" s="12" t="str">
        <x:v>How will they be cited?</x:v>
      </x:c>
      <x:c r="C268" s="12" t="str">
        <x:v>Action item</x:v>
      </x:c>
      <x:c r="D268" s="12" t="str"/>
      <x:c r="E268" s="12" t="str">
        <x:v>Proposed</x:v>
      </x:c>
      <x:c r="F268" s="12" t="str"/>
      <x:c r="G268" s="12" t="str"/>
      <x:c r="H268" s="12" t="str">
        <x:v>How will they be cited?</x:v>
      </x:c>
      <x:c r="I268" s="12" t="str"/>
      <x:c r="J268" s="12" t="str">
        <x:v>SRC-0003</x:v>
      </x:c>
      <x:c r="K268" s="12" t="str">
        <x:v>Section: 2.7 Action Items</x:v>
      </x:c>
    </x:row>
    <x:row r="269">
      <x:c r="A269" s="12" t="str">
        <x:v>RSP-0268</x:v>
      </x:c>
      <x:c r="B269" s="12" t="str">
        <x:v>How long do they live?</x:v>
      </x:c>
      <x:c r="C269" s="12" t="str">
        <x:v>Action item</x:v>
      </x:c>
      <x:c r="D269" s="12" t="str"/>
      <x:c r="E269" s="12" t="str">
        <x:v>Proposed</x:v>
      </x:c>
      <x:c r="F269" s="12" t="str"/>
      <x:c r="G269" s="12" t="str"/>
      <x:c r="H269" s="12" t="str">
        <x:v>How long do they live?</x:v>
      </x:c>
      <x:c r="I269" s="12" t="str"/>
      <x:c r="J269" s="12" t="str">
        <x:v>SRC-0003</x:v>
      </x:c>
      <x:c r="K269" s="12" t="str">
        <x:v>Section: 2.7 Action Items</x:v>
      </x:c>
    </x:row>
    <x:row r="270">
      <x:c r="A270" s="12" t="str">
        <x:v>RSP-0269</x:v>
      </x:c>
      <x:c r="B270" s="12" t="str">
        <x:v>Can users find out what UR requests exist?</x:v>
      </x:c>
      <x:c r="C270" s="12" t="str">
        <x:v>Action item</x:v>
      </x:c>
      <x:c r="D270" s="12" t="str"/>
      <x:c r="E270" s="12" t="str">
        <x:v>Proposed</x:v>
      </x:c>
      <x:c r="F270" s="12" t="str"/>
      <x:c r="G270" s="12" t="str"/>
      <x:c r="H270" s="12" t="str">
        <x:v>Can users find out what UR requests exist?</x:v>
      </x:c>
      <x:c r="I270" s="12" t="str"/>
      <x:c r="J270" s="12" t="str">
        <x:v>SRC-0003</x:v>
      </x:c>
      <x:c r="K270" s="12" t="str">
        <x:v>Section: 2.7 Action Items</x:v>
      </x:c>
    </x:row>
    <x:row r="271">
      <x:c r="A271" s="12" t="str">
        <x:v>RSP-0270</x:v>
      </x:c>
      <x:c r="B271" s="12" t="str">
        <x:v>Can users subscribe to UR?</x:v>
      </x:c>
      <x:c r="C271" s="12" t="str">
        <x:v>Action item</x:v>
      </x:c>
      <x:c r="D271" s="12" t="str"/>
      <x:c r="E271" s="12" t="str">
        <x:v>Proposed</x:v>
      </x:c>
      <x:c r="F271" s="12" t="str"/>
      <x:c r="G271" s="12" t="str"/>
      <x:c r="H271" s="12" t="str">
        <x:v>Can users subscribe to UR?</x:v>
      </x:c>
      <x:c r="I271" s="12" t="str"/>
      <x:c r="J271" s="12" t="str">
        <x:v>SRC-0003</x:v>
      </x:c>
      <x:c r="K271" s="12" t="str">
        <x:v>Section: 2.7 Action Items</x:v>
      </x:c>
    </x:row>
    <x:row r="272">
      <x:c r="A272" s="12" t="str">
        <x:v>RSP-0271</x:v>
      </x:c>
      <x:c r="B272" s="12" t="str">
        <x:v>How does it fit with LANCE? ASF should work with LANCE to coordinate.</x:v>
      </x:c>
      <x:c r="C272" s="12" t="str">
        <x:v>Action item</x:v>
      </x:c>
      <x:c r="D272" s="12" t="str"/>
      <x:c r="E272" s="12" t="str">
        <x:v>Proposed</x:v>
      </x:c>
      <x:c r="F272" s="12" t="str"/>
      <x:c r="G272" s="12" t="str"/>
      <x:c r="H272" s="12" t="str">
        <x:v>How does it fit with LANCE? ASF should work with LANCE to coordinate.</x:v>
      </x:c>
      <x:c r="I272" s="12" t="str"/>
      <x:c r="J272" s="12" t="str">
        <x:v>SRC-0003</x:v>
      </x:c>
      <x:c r="K272" s="12" t="str">
        <x:v>Section: 2.7 Action Items</x:v>
      </x:c>
    </x:row>
    <x:row r="273">
      <x:c r="A273" s="12" t="str">
        <x:v>RSP-0272</x:v>
      </x:c>
      <x:c r="B273" s="12" t="str">
        <x:v>What will ASF do? Do we create a web page post in regards to disaster?</x:v>
      </x:c>
      <x:c r="C273" s="12" t="str">
        <x:v>Action item</x:v>
      </x:c>
      <x:c r="D273" s="12" t="str"/>
      <x:c r="E273" s="12" t="str">
        <x:v>Proposed</x:v>
      </x:c>
      <x:c r="F273" s="12" t="str"/>
      <x:c r="G273" s="12" t="str"/>
      <x:c r="H273" s="12" t="str">
        <x:v>What will ASF do? Do we create a web page post in regards to disaster?</x:v>
      </x:c>
      <x:c r="I273" s="12" t="str"/>
      <x:c r="J273" s="12" t="str">
        <x:v>SRC-0003</x:v>
      </x:c>
      <x:c r="K273" s="12" t="str">
        <x:v>Section: 2.7 Action Items</x:v>
      </x:c>
    </x:row>
    <x:row r="274">
      <x:c r="A274" s="12" t="str">
        <x:v>RSP-0273</x:v>
      </x:c>
      <x:c r="B274" s="12" t="str">
        <x:v>ASF (Forrest) will be hosting a Disaster Response Workshop regarding SAR imagery and needs of the users (Gerald will like an invitation).</x:v>
      </x:c>
      <x:c r="C274" s="12" t="str">
        <x:v>Action item</x:v>
      </x:c>
      <x:c r="D274" s="12" t="str"/>
      <x:c r="E274" s="12" t="str">
        <x:v>Proposed</x:v>
      </x:c>
      <x:c r="F274" s="12" t="str"/>
      <x:c r="G274" s="12" t="str"/>
      <x:c r="H274" s="12" t="str">
        <x:v>ASF (Forrest) will be hosting a Disaster Response Workshop regarding SAR imagery and needs of the users (Gerald will like an invitation).</x:v>
      </x:c>
      <x:c r="I274" s="12" t="str"/>
      <x:c r="J274" s="12" t="str">
        <x:v>SRC-0003</x:v>
      </x:c>
      <x:c r="K274" s="12" t="str">
        <x:v>Section: 2.7 Action Items</x:v>
      </x:c>
    </x:row>
    <x:row r="275">
      <x:c r="A275" s="12" t="str">
        <x:v>RSP-0274</x:v>
      </x:c>
      <x:c r="B275" s="12" t="str">
        <x:v>Nail down requirements for NISAR UR and NISAR/S1 On-Demand in terms of EMS, DOI, LANCE.</x:v>
      </x:c>
      <x:c r="C275" s="12" t="str">
        <x:v>Action item</x:v>
      </x:c>
      <x:c r="D275" s="12" t="str"/>
      <x:c r="E275" s="12" t="str">
        <x:v>Proposed</x:v>
      </x:c>
      <x:c r="F275" s="12" t="str"/>
      <x:c r="G275" s="12" t="str"/>
      <x:c r="H275" s="12" t="str">
        <x:v>Nail down requirements for NISAR UR and NISAR/S1 On-Demand in terms of EMS, DOI, LANCE.</x:v>
      </x:c>
      <x:c r="I275" s="12" t="str"/>
      <x:c r="J275" s="12" t="str">
        <x:v>SRC-0003</x:v>
      </x:c>
      <x:c r="K275" s="12" t="str">
        <x:v>Section: 2.7 Action Items</x:v>
      </x:c>
    </x:row>
    <x:row r="276">
      <x:c r="A276" s="12" t="str">
        <x:v>RSP-0275</x:v>
      </x:c>
      <x:c r="B276" s="12" t="str">
        <x:v>Propose a virtual session of Open Science at a later date (the next quarterly meeting) with ASF UWG members, Joel Scott’s team at HQs, JPL (NISAR team). Bring in some Open Science team experts, members from the TOPS team</x:v>
      </x:c>
      <x:c r="C276" s="12" t="str">
        <x:v>Action item</x:v>
      </x:c>
      <x:c r="D276" s="12" t="str"/>
      <x:c r="E276" s="12" t="str">
        <x:v>Proposed</x:v>
      </x:c>
      <x:c r="F276" s="12" t="str"/>
      <x:c r="G276" s="12" t="str"/>
      <x:c r="H276" s="12" t="str">
        <x:v>Propose a virtual session of Open Science at a later date (the next quarterly meeting) with ASF UWG members, Joel Scott’s team at HQs, JPL (NISAR team). Bring in some Open Science team experts, members from the TOPS team.</x:v>
      </x:c>
      <x:c r="I276" s="12" t="str"/>
      <x:c r="J276" s="12" t="str">
        <x:v>SRC-0003</x:v>
      </x:c>
      <x:c r="K276" s="12" t="str">
        <x:v>Section: 2.7 Action Items</x:v>
      </x:c>
    </x:row>
    <x:row r="277">
      <x:c r="A277" s="12" t="str">
        <x:v>RSP-0276</x:v>
      </x:c>
      <x:c r="B277" s="12" t="str">
        <x:v>Coordinate an Open Science discussion with UWG.</x:v>
      </x:c>
      <x:c r="C277" s="12" t="str">
        <x:v>Action item</x:v>
      </x:c>
      <x:c r="D277" s="12" t="str"/>
      <x:c r="E277" s="12" t="str">
        <x:v>Proposed</x:v>
      </x:c>
      <x:c r="F277" s="12" t="str"/>
      <x:c r="G277" s="12" t="str"/>
      <x:c r="H277" s="12" t="str">
        <x:v>Coordinate an Open Science discussion with UWG.</x:v>
      </x:c>
      <x:c r="I277" s="12" t="str"/>
      <x:c r="J277" s="12" t="str">
        <x:v>SRC-0003</x:v>
      </x:c>
      <x:c r="K277" s="12" t="str">
        <x:v>Section: 2.7 Action Items</x:v>
      </x:c>
    </x:row>
    <x:row r="278">
      <x:c r="A278" s="12" t="str">
        <x:v>RSP-0277</x:v>
      </x:c>
      <x:c r="B278" s="12" t="str">
        <x:v>ASF should make sure to relay the Open Science information to their users. Via website, social media, and newsletters. (SB41A compliance-software release authority) SB41A is forward-looking. DAACs should be making their </x:v>
      </x:c>
      <x:c r="C278" s="12" t="str">
        <x:v>Action item</x:v>
      </x:c>
      <x:c r="D278" s="12" t="str"/>
      <x:c r="E278" s="12" t="str">
        <x:v>Proposed</x:v>
      </x:c>
      <x:c r="F278" s="12" t="str"/>
      <x:c r="G278" s="12" t="str"/>
      <x:c r="H278" s="12" t="str">
        <x:v>ASF should make sure to relay the Open Science information to their users. Via website, social media, and newsletters. (SB41A compliance-software release authority) SB41A is forward-looking. DAACs should be making their codes Open-Source and available to the public.</x:v>
      </x:c>
      <x:c r="I278" s="12" t="str"/>
      <x:c r="J278" s="12" t="str">
        <x:v>SRC-0003</x:v>
      </x:c>
      <x:c r="K278" s="12" t="str">
        <x:v>Section: 2.7 Action Items</x:v>
      </x:c>
    </x:row>
    <x:row r="279">
      <x:c r="A279" s="12" t="str">
        <x:v>RSP-0278</x:v>
      </x:c>
      <x:c r="B279" s="12" t="str">
        <x:v>When ASF is helping someone who is using a tool that someone else has created we need to make sure that the tools (i.e., On Demand products) are properly cited by the person who created the tool. And that the user cites </x:v>
      </x:c>
      <x:c r="C279" s="12" t="str">
        <x:v>Action item</x:v>
      </x:c>
      <x:c r="D279" s="12" t="str"/>
      <x:c r="E279" s="12" t="str">
        <x:v>Proposed</x:v>
      </x:c>
      <x:c r="F279" s="12" t="str"/>
      <x:c r="G279" s="12" t="str"/>
      <x:c r="H279" s="12" t="str">
        <x:v>When ASF is helping someone who is using a tool that someone else has created we need to make sure that the tools (i.e., On Demand products) are properly cited by the person who created the tool. And that the user cites it in their work. Is this part of TOPS curriculum?</x:v>
      </x:c>
      <x:c r="I279" s="12" t="str"/>
      <x:c r="J279" s="12" t="str">
        <x:v>SRC-0003</x:v>
      </x:c>
      <x:c r="K279" s="12" t="str">
        <x:v>Section: 2.7 Action Items</x:v>
      </x:c>
    </x:row>
    <x:row r="280">
      <x:c r="A280" s="12" t="str">
        <x:v>RSP-0279</x:v>
      </x:c>
      <x:c r="B280" s="12" t="str">
        <x:v>Move tools to the cloud when possible, enabling subsetting, time series extraction, data exploration prior to download.</x:v>
      </x:c>
      <x:c r="C280" s="12" t="str">
        <x:v>Action item</x:v>
      </x:c>
      <x:c r="D280" s="12" t="str"/>
      <x:c r="E280" s="12" t="str">
        <x:v>Proposed</x:v>
      </x:c>
      <x:c r="F280" s="12" t="str"/>
      <x:c r="G280" s="12" t="str"/>
      <x:c r="H280" s="12" t="str">
        <x:v>Move tools to the cloud when possible, enabling subsetting, time series extraction, data exploration prior to download.</x:v>
      </x:c>
      <x:c r="I280" s="12" t="str"/>
      <x:c r="J280" s="12" t="str">
        <x:v>SRC-0003</x:v>
      </x:c>
      <x:c r="K280" s="12" t="str">
        <x:v>Section: 3.5 UWG Findings and Recommendations; table row 5</x:v>
      </x:c>
    </x:row>
    <x:row r="281">
      <x:c r="A281" s="12" t="str">
        <x:v>RSP-0280</x:v>
      </x:c>
      <x:c r="B281" s="12" t="str">
        <x:v>The ASDC UWG was excited about the development of Science Enabling Centers and was interested in assisting in development of these centers. A key idea that came up in discussions was to add applications to the SECs (e.g.</x:v>
      </x:c>
      <x:c r="C281" s="12" t="str">
        <x:v>Action item</x:v>
      </x:c>
      <x:c r="D281" s="12" t="str"/>
      <x:c r="E281" s="12" t="str">
        <x:v>Proposed</x:v>
      </x:c>
      <x:c r="F281" s="12" t="str"/>
      <x:c r="G281" s="12" t="str"/>
      <x:c r="H281" s="12" t="str">
        <x:v>The ASDC UWG was excited about the development of Science Enabling Centers and was interested in assisting in development of these centers. A key idea that came up in discussions was to add applications to the SECs (e.g., SAECs). Some of these applications would be community connections like POWER or connections with health researchers like HAQAST. In this way, a SAEC could facilitate connections including interagency collaboration. We felt that there should be strong educational (e.g. students, stakeholders, universities) and outreach components (e.g., GLOBE, MYNASADATA). Members mentioned that dashboards showing statistics like an Earth action center/Earth information center would be compelling. The UWG agrees that air quality would be an interesting science and application area for ASDC to propose as an SEC focus. Overall, the ASDC UWG supports the development of Science and Applications Enabling Centers and recommends that ASDC works with other DAACs to develop these in line with ASDC’s strengths in air and radiation data, but in collaboration with key applied science projects which have clear and demonstrated pathways to users. A concern would be that these centers would be developed in parallel with existing applied science programs rather than working to be supportive in back-end cloud processing and help with enhancing usage capabilities and experience.</x:v>
      </x:c>
      <x:c r="I281" s="12" t="str"/>
      <x:c r="J281" s="12" t="str">
        <x:v>SRC-0003</x:v>
      </x:c>
      <x:c r="K281" s="12" t="str">
        <x:v>Section: 3.5 UWG Findings and Recommendations</x:v>
      </x:c>
    </x:row>
    <x:row r="282">
      <x:c r="A282" s="12" t="str">
        <x:v>RSP-0281</x:v>
      </x:c>
      <x:c r="B282" s="12" t="str">
        <x:v>Create a value proposition to guide users on when to use the cloud environment.</x:v>
      </x:c>
      <x:c r="C282" s="12" t="str">
        <x:v>Action item</x:v>
      </x:c>
      <x:c r="D282" s="12" t="str"/>
      <x:c r="E282" s="12" t="str">
        <x:v>Proposed</x:v>
      </x:c>
      <x:c r="F282" s="12" t="str"/>
      <x:c r="G282" s="12" t="str"/>
      <x:c r="H282" s="12" t="str">
        <x:v>Create a value proposition to guide users on when to use the cloud environment.</x:v>
      </x:c>
      <x:c r="I282" s="12" t="str"/>
      <x:c r="J282" s="12" t="str">
        <x:v>SRC-0003</x:v>
      </x:c>
      <x:c r="K282" s="12" t="str">
        <x:v>Section: 6.6 New Actions and Recommendations; table row 2</x:v>
      </x:c>
    </x:row>
    <x:row r="283">
      <x:c r="A283" s="12" t="str">
        <x:v>RSP-0282</x:v>
      </x:c>
      <x:c r="B283" s="12" t="str">
        <x:v>Clarify monetary costs associated with using cloud resources for accessing data and performing analysis.</x:v>
      </x:c>
      <x:c r="C283" s="12" t="str">
        <x:v>Action item</x:v>
      </x:c>
      <x:c r="D283" s="12" t="str"/>
      <x:c r="E283" s="12" t="str">
        <x:v>Proposed</x:v>
      </x:c>
      <x:c r="F283" s="12" t="str"/>
      <x:c r="G283" s="12" t="str"/>
      <x:c r="H283" s="12" t="str">
        <x:v>Clarify monetary costs associated with using cloud resources for accessing data and performing analysis.</x:v>
      </x:c>
      <x:c r="I283" s="12" t="str"/>
      <x:c r="J283" s="12" t="str">
        <x:v>SRC-0003</x:v>
      </x:c>
      <x:c r="K283" s="12" t="str">
        <x:v>Section: 6.6 New Actions and Recommendations; table row 3</x:v>
      </x:c>
    </x:row>
    <x:row r="284">
      <x:c r="A284" s="12" t="str">
        <x:v>RSP-0283</x:v>
      </x:c>
      <x:c r="B284" s="12" t="str">
        <x:v>Address pain points that discourage users from getting started or navigating the AWS Cloud.</x:v>
      </x:c>
      <x:c r="C284" s="12" t="str">
        <x:v>Action item</x:v>
      </x:c>
      <x:c r="D284" s="12" t="str"/>
      <x:c r="E284" s="12" t="str">
        <x:v>Proposed</x:v>
      </x:c>
      <x:c r="F284" s="12" t="str"/>
      <x:c r="G284" s="12" t="str"/>
      <x:c r="H284" s="12" t="str">
        <x:v>Address pain points that discourage users from getting started or navigating the AWS Cloud.</x:v>
      </x:c>
      <x:c r="I284" s="12" t="str"/>
      <x:c r="J284" s="12" t="str">
        <x:v>SRC-0003</x:v>
      </x:c>
      <x:c r="K284" s="12" t="str">
        <x:v>Section: 6.6 New Actions and Recommendations; table row 4</x:v>
      </x:c>
    </x:row>
    <x:row r="285">
      <x:c r="A285" s="12" t="str">
        <x:v>RSP-0284</x:v>
      </x:c>
      <x:c r="B285" s="12" t="str">
        <x:v>Users have been conflating JupyterHub software with cloud platforms.</x:v>
      </x:c>
      <x:c r="C285" s="12" t="str">
        <x:v>Action item</x:v>
      </x:c>
      <x:c r="D285" s="12" t="str"/>
      <x:c r="E285" s="12" t="str">
        <x:v>Proposed</x:v>
      </x:c>
      <x:c r="F285" s="12" t="str"/>
      <x:c r="G285" s="12" t="str"/>
      <x:c r="H285" s="12" t="str">
        <x:v>Users have been conflating JupyterHub software with cloud platforms.</x:v>
      </x:c>
      <x:c r="I285" s="12" t="str"/>
      <x:c r="J285" s="12" t="str">
        <x:v>SRC-0003</x:v>
      </x:c>
      <x:c r="K285" s="12" t="str">
        <x:v>Section: 6.6 New Actions and Recommendations; table row 6</x:v>
      </x:c>
    </x:row>
    <x:row r="286">
      <x:c r="A286" s="12" t="str">
        <x:v>RSP-0285</x:v>
      </x:c>
      <x:c r="B286" s="12" t="str">
        <x:v>UWG members are enthusiastic to test the Cloud Playground.</x:v>
      </x:c>
      <x:c r="C286" s="12" t="str">
        <x:v>Action item</x:v>
      </x:c>
      <x:c r="D286" s="12" t="str"/>
      <x:c r="E286" s="12" t="str">
        <x:v>Proposed</x:v>
      </x:c>
      <x:c r="F286" s="12" t="str"/>
      <x:c r="G286" s="12" t="str"/>
      <x:c r="H286" s="12" t="str">
        <x:v>UWG members are enthusiastic to test the Cloud Playground.</x:v>
      </x:c>
      <x:c r="I286" s="12" t="str"/>
      <x:c r="J286" s="12" t="str">
        <x:v>SRC-0003</x:v>
      </x:c>
      <x:c r="K286" s="12" t="str">
        <x:v>Section: 6.6 New Actions and Recommendations; table row 7</x:v>
      </x:c>
    </x:row>
    <x:row r="287">
      <x:c r="A287" s="12" t="str">
        <x:v>RSP-0286</x:v>
      </x:c>
      <x:c r="B287" s="12" t="str">
        <x:v>Prioritize guidance for “user graduation” so users can confidently deploy these workflows elsewhere.</x:v>
      </x:c>
      <x:c r="C287" s="12" t="str">
        <x:v>Action item</x:v>
      </x:c>
      <x:c r="D287" s="12" t="str"/>
      <x:c r="E287" s="12" t="str">
        <x:v>Proposed</x:v>
      </x:c>
      <x:c r="F287" s="12" t="str"/>
      <x:c r="G287" s="12" t="str"/>
      <x:c r="H287" s="12" t="str">
        <x:v>Prioritize guidance for “user graduation” so users can confidently deploy these workflows elsewhere.</x:v>
      </x:c>
      <x:c r="I287" s="12" t="str"/>
      <x:c r="J287" s="12" t="str">
        <x:v>SRC-0003</x:v>
      </x:c>
      <x:c r="K287" s="12" t="str">
        <x:v>Section: 6.6 New Actions and Recommendations; table row 8</x:v>
      </x:c>
    </x:row>
    <x:row r="288">
      <x:c r="A288" s="12" t="str">
        <x:v>RSP-0287</x:v>
      </x:c>
      <x:c r="B288" s="12" t="str">
        <x:v>UWG members expressed interest to provide feedback to the upcoming GES DISC “unified” web.</x:v>
      </x:c>
      <x:c r="C288" s="12" t="str">
        <x:v>Action item</x:v>
      </x:c>
      <x:c r="D288" s="12" t="str"/>
      <x:c r="E288" s="12" t="str">
        <x:v>Proposed</x:v>
      </x:c>
      <x:c r="F288" s="12" t="str"/>
      <x:c r="G288" s="12" t="str"/>
      <x:c r="H288" s="12" t="str">
        <x:v>UWG members expressed interest to provide feedback to the upcoming GES DISC “unified” web.</x:v>
      </x:c>
      <x:c r="I288" s="12" t="str"/>
      <x:c r="J288" s="12" t="str">
        <x:v>SRC-0003</x:v>
      </x:c>
      <x:c r="K288" s="12" t="str">
        <x:v>Section: 6.6 New Actions and Recommendations; table row 10</x:v>
      </x:c>
    </x:row>
    <x:row r="289">
      <x:c r="A289" s="12" t="str">
        <x:v>RSP-0288</x:v>
      </x:c>
      <x:c r="B289" s="12" t="str">
        <x:v>Discovering additional information from the dataset landing page is still a challenge. For example, it's hard to navigate from the product landing page to the user resources in GitHub.</x:v>
      </x:c>
      <x:c r="C289" s="12" t="str">
        <x:v>Action item</x:v>
      </x:c>
      <x:c r="D289" s="12" t="str"/>
      <x:c r="E289" s="12" t="str">
        <x:v>Proposed</x:v>
      </x:c>
      <x:c r="F289" s="12" t="str"/>
      <x:c r="G289" s="12" t="str"/>
      <x:c r="H289" s="12" t="str">
        <x:v>Discovering additional information from the dataset landing page is still a challenge. For example, it's hard to navigate from the product landing page to the user resources in GitHub.</x:v>
      </x:c>
      <x:c r="I289" s="12" t="str"/>
      <x:c r="J289" s="12" t="str">
        <x:v>SRC-0003</x:v>
      </x:c>
      <x:c r="K289" s="12" t="str">
        <x:v>Section: 6.6 New Actions and Recommendations; table row 11</x:v>
      </x:c>
    </x:row>
    <x:row r="290">
      <x:c r="A290" s="12" t="str">
        <x:v>RSP-0289</x:v>
      </x:c>
      <x:c r="B290" s="12" t="str">
        <x:v>DAACs maintain multiple versions of data. Users are confused about which version to use.</x:v>
      </x:c>
      <x:c r="C290" s="12" t="str">
        <x:v>Action item</x:v>
      </x:c>
      <x:c r="D290" s="12" t="str"/>
      <x:c r="E290" s="12" t="str">
        <x:v>Proposed</x:v>
      </x:c>
      <x:c r="F290" s="12" t="str"/>
      <x:c r="G290" s="12" t="str"/>
      <x:c r="H290" s="12" t="str">
        <x:v>DAACs maintain multiple versions of data. Users are confused about which version to use.</x:v>
      </x:c>
      <x:c r="I290" s="12" t="str"/>
      <x:c r="J290" s="12" t="str">
        <x:v>SRC-0003</x:v>
      </x:c>
      <x:c r="K290" s="12" t="str">
        <x:v>Section: 6.6 New Actions and Recommendations; table row 13</x:v>
      </x:c>
    </x:row>
    <x:row r="291">
      <x:c r="A291" s="12" t="str">
        <x:v>RSP-0290</x:v>
      </x:c>
      <x:c r="B291" s="12" t="str">
        <x:v>Users have difficulty selecting the right data collection to fit their application needs.</x:v>
      </x:c>
      <x:c r="C291" s="12" t="str">
        <x:v>Action item</x:v>
      </x:c>
      <x:c r="D291" s="12" t="str"/>
      <x:c r="E291" s="12" t="str">
        <x:v>Proposed</x:v>
      </x:c>
      <x:c r="F291" s="12" t="str"/>
      <x:c r="G291" s="12" t="str"/>
      <x:c r="H291" s="12" t="str">
        <x:v>Users have difficulty selecting the right data collection to fit their application needs.</x:v>
      </x:c>
      <x:c r="I291" s="12" t="str"/>
      <x:c r="J291" s="12" t="str">
        <x:v>SRC-0003</x:v>
      </x:c>
      <x:c r="K291" s="12" t="str">
        <x:v>Section: 6.6 New Actions and Recommendations; table row 14</x:v>
      </x:c>
    </x:row>
    <x:row r="292">
      <x:c r="A292" s="12" t="str">
        <x:v>RSP-0291</x:v>
      </x:c>
      <x:c r="B292" s="12" t="str">
        <x:v>A common platform where Principal Investigators and Subject Matter Experts can interact with each other and with the users. Earthdata Forum was suggested as a potential platform.</x:v>
      </x:c>
      <x:c r="C292" s="12" t="str">
        <x:v>Action item</x:v>
      </x:c>
      <x:c r="D292" s="12" t="str"/>
      <x:c r="E292" s="12" t="str">
        <x:v>Proposed</x:v>
      </x:c>
      <x:c r="F292" s="12" t="str"/>
      <x:c r="G292" s="12" t="str"/>
      <x:c r="H292" s="12" t="str">
        <x:v>A common platform where Principal Investigators and Subject Matter Experts can interact with each other and with the users. Earthdata Forum was suggested as a potential platform.</x:v>
      </x:c>
      <x:c r="I292" s="12" t="str"/>
      <x:c r="J292" s="12" t="str">
        <x:v>SRC-0003</x:v>
      </x:c>
      <x:c r="K292" s="12" t="str">
        <x:v>Section: 6.6 New Actions and Recommendations; table row 17</x:v>
      </x:c>
    </x:row>
    <x:row r="293">
      <x:c r="A293" s="12" t="str">
        <x:v>RSP-0292</x:v>
      </x:c>
      <x:c r="B293" s="12" t="str">
        <x:v>GES DISC's mobile-friendly app mockup shows promise for improving data access to underserved communities.</x:v>
      </x:c>
      <x:c r="C293" s="12" t="str">
        <x:v>Action item</x:v>
      </x:c>
      <x:c r="D293" s="12" t="str"/>
      <x:c r="E293" s="12" t="str">
        <x:v>Proposed</x:v>
      </x:c>
      <x:c r="F293" s="12" t="str"/>
      <x:c r="G293" s="12" t="str"/>
      <x:c r="H293" s="12" t="str">
        <x:v>GES DISC's mobile-friendly app mockup shows promise for improving data access to underserved communities.</x:v>
      </x:c>
      <x:c r="I293" s="12" t="str"/>
      <x:c r="J293" s="12" t="str">
        <x:v>SRC-0003</x:v>
      </x:c>
      <x:c r="K293" s="12" t="str">
        <x:v>Section: 6.6 New Actions and Recommendations; table row 22</x:v>
      </x:c>
    </x:row>
    <x:row r="294">
      <x:c r="A294" s="12" t="str">
        <x:v>RSP-0293</x:v>
      </x:c>
      <x:c r="B294" s="12" t="str">
        <x:v>Caution is needed to avoid oversimplifying complexities. UWG members expressed concern about solely using MERRA-2 to display ECV trends. Careful development before public release is vital.</x:v>
      </x:c>
      <x:c r="C294" s="12" t="str">
        <x:v>Action item</x:v>
      </x:c>
      <x:c r="D294" s="12" t="str"/>
      <x:c r="E294" s="12" t="str">
        <x:v>Proposed</x:v>
      </x:c>
      <x:c r="F294" s="12" t="str"/>
      <x:c r="G294" s="12" t="str"/>
      <x:c r="H294" s="12" t="str">
        <x:v>Caution is needed to avoid oversimplifying complexities. UWG members expressed concern about solely using MERRA-2 to display ECV trends. Careful development before public release is vital.</x:v>
      </x:c>
      <x:c r="I294" s="12" t="str"/>
      <x:c r="J294" s="12" t="str">
        <x:v>SRC-0003</x:v>
      </x:c>
      <x:c r="K294" s="12" t="str">
        <x:v>Section: 6.6 New Actions and Recommendations; table row 23</x:v>
      </x:c>
    </x:row>
    <x:row r="295">
      <x:c r="A295" s="12" t="str">
        <x:v>RSP-0294</x:v>
      </x:c>
      <x:c r="B295" s="12" t="str">
        <x:v>Community data reviewers (UWG members) have the ability to view the data before approving the community products.</x:v>
      </x:c>
      <x:c r="C295" s="12" t="str">
        <x:v>Action item</x:v>
      </x:c>
      <x:c r="D295" s="12" t="str"/>
      <x:c r="E295" s="12" t="str">
        <x:v>Proposed</x:v>
      </x:c>
      <x:c r="F295" s="12" t="str"/>
      <x:c r="G295" s="12" t="str"/>
      <x:c r="H295" s="12" t="str">
        <x:v>Community data reviewers (UWG members) have the ability to view the data before approving the community products.</x:v>
      </x:c>
      <x:c r="I295" s="12" t="str"/>
      <x:c r="J295" s="12" t="str">
        <x:v>SRC-0003</x:v>
      </x:c>
      <x:c r="K295" s="12" t="str">
        <x:v>Section: 6.6 New Actions and Recommendations; table row 25</x:v>
      </x:c>
    </x:row>
    <x:row r="296">
      <x:c r="A296" s="12" t="str">
        <x:v>RSP-0295</x:v>
      </x:c>
      <x:c r="B296" s="12" t="str">
        <x:v>UWG shared concerns about balancing open science vs licensed proprietary data and the issues with data ownership.</x:v>
      </x:c>
      <x:c r="C296" s="12" t="str">
        <x:v>Action item</x:v>
      </x:c>
      <x:c r="D296" s="12" t="str"/>
      <x:c r="E296" s="12" t="str">
        <x:v>Proposed</x:v>
      </x:c>
      <x:c r="F296" s="12" t="str"/>
      <x:c r="G296" s="12" t="str"/>
      <x:c r="H296" s="12" t="str">
        <x:v>UWG shared concerns about balancing open science vs licensed proprietary data and the issues with data ownership.</x:v>
      </x:c>
      <x:c r="I296" s="12" t="str"/>
      <x:c r="J296" s="12" t="str">
        <x:v>SRC-0003</x:v>
      </x:c>
      <x:c r="K296" s="12" t="str">
        <x:v>Section: 6.6 New Actions and Recommendations; table row 27</x:v>
      </x:c>
    </x:row>
    <x:row r="297">
      <x:c r="A297" s="12" t="str">
        <x:v>RSP-0296</x:v>
      </x:c>
      <x:c r="B297" s="12" t="str">
        <x:v>The Geostationary Aerosol Enhancement Request is still pending and should be considered by NASA HQ in FY24.</x:v>
      </x:c>
      <x:c r="C297" s="12" t="str">
        <x:v>Action item</x:v>
      </x:c>
      <x:c r="D297" s="12" t="str"/>
      <x:c r="E297" s="12" t="str">
        <x:v>Proposed</x:v>
      </x:c>
      <x:c r="F297" s="12" t="str"/>
      <x:c r="G297" s="12" t="str"/>
      <x:c r="H297" s="12" t="str">
        <x:v>The Geostationary Aerosol Enhancement Request is still pending and should be considered by NASA HQ in FY24.</x:v>
      </x:c>
      <x:c r="I297" s="12" t="str"/>
      <x:c r="J297" s="12" t="str">
        <x:v>SRC-0003</x:v>
      </x:c>
      <x:c r="K297" s="12" t="str">
        <x:v>Section: 7.8 Actions and Recommendations</x:v>
      </x:c>
    </x:row>
    <x:row r="298">
      <x:c r="A298" s="12" t="str">
        <x:v>RSP-0297</x:v>
      </x:c>
      <x:c r="B298" s="12" t="str">
        <x:v>Minnie to forward request for VIIRS aerosol product polar projection to Jess to discuss with Liam Gumley.</x:v>
      </x:c>
      <x:c r="C298" s="12" t="str">
        <x:v>Action item</x:v>
      </x:c>
      <x:c r="D298" s="12" t="str"/>
      <x:c r="E298" s="12" t="str">
        <x:v>Proposed</x:v>
      </x:c>
      <x:c r="F298" s="12" t="str"/>
      <x:c r="G298" s="12" t="str"/>
      <x:c r="H298" s="12" t="str">
        <x:v>Minnie to forward request for VIIRS aerosol product polar projection to Jess to discuss with Liam Gumley.</x:v>
      </x:c>
      <x:c r="I298" s="12" t="str"/>
      <x:c r="J298" s="12" t="str">
        <x:v>SRC-0003</x:v>
      </x:c>
      <x:c r="K298" s="12" t="str">
        <x:v>Section: 7.8 Actions and Recommendations</x:v>
      </x:c>
    </x:row>
    <x:row r="299">
      <x:c r="A299" s="12" t="str">
        <x:v>RSP-0298</x:v>
      </x:c>
      <x:c r="B299" s="12" t="str">
        <x:v>Coordinate with PIs to generate brief summaries for the UWG regarding their plans for potential new NRT products resulting from ROSES 2020 A.33.</x:v>
      </x:c>
      <x:c r="C299" s="12" t="str">
        <x:v>Action item</x:v>
      </x:c>
      <x:c r="D299" s="12" t="str"/>
      <x:c r="E299" s="12" t="str">
        <x:v>Proposed</x:v>
      </x:c>
      <x:c r="F299" s="12" t="str"/>
      <x:c r="G299" s="12" t="str"/>
      <x:c r="H299" s="12" t="str">
        <x:v>Coordinate with PIs to generate brief summaries for the UWG regarding their plans for potential new NRT products resulting from ROSES 2020 A.33.</x:v>
      </x:c>
      <x:c r="I299" s="12" t="str"/>
      <x:c r="J299" s="12" t="str">
        <x:v>SRC-0003</x:v>
      </x:c>
      <x:c r="K299" s="12" t="str">
        <x:v>Section: 7.8 Actions and Recommendations</x:v>
      </x:c>
    </x:row>
    <x:row r="300">
      <x:c r="A300" s="12" t="str">
        <x:v>RSP-0299</x:v>
      </x:c>
      <x:c r="B300" s="12" t="str">
        <x:v>FIRMS should continue to explore a path to generate a VIIRS NRT Burned Area product.</x:v>
      </x:c>
      <x:c r="C300" s="12" t="str">
        <x:v>Action item</x:v>
      </x:c>
      <x:c r="D300" s="12" t="str"/>
      <x:c r="E300" s="12" t="str">
        <x:v>Proposed</x:v>
      </x:c>
      <x:c r="F300" s="12" t="str"/>
      <x:c r="G300" s="12" t="str"/>
      <x:c r="H300" s="12" t="str">
        <x:v>FIRMS should continue to explore a path to generate a VIIRS NRT Burned Area product.</x:v>
      </x:c>
      <x:c r="I300" s="12" t="str"/>
      <x:c r="J300" s="12" t="str">
        <x:v>SRC-0003</x:v>
      </x:c>
      <x:c r="K300" s="12" t="str">
        <x:v>Section: 7.8 Actions and Recommendations</x:v>
      </x:c>
    </x:row>
    <x:row r="301">
      <x:c r="A301" s="12" t="str">
        <x:v>RSP-0300</x:v>
      </x:c>
      <x:c r="B301" s="12" t="str">
        <x:v>Consider generating two TROPICS ‘applicability’ case studies, given the relevance particularly to underrepresented countries, with examples generated using: a) atmospheric rivers and b) early warning systems. Note: Ryan </x:v>
      </x:c>
      <x:c r="C301" s="12" t="str">
        <x:v>Action item</x:v>
      </x:c>
      <x:c r="D301" s="12" t="str"/>
      <x:c r="E301" s="12" t="str">
        <x:v>Proposed</x:v>
      </x:c>
      <x:c r="F301" s="12" t="str"/>
      <x:c r="G301" s="12" t="str"/>
      <x:c r="H301" s="12" t="str">
        <x:v>Consider generating two TROPICS ‘applicability’ case studies, given the relevance particularly to underrepresented countries, with examples generated using: a) atmospheric rivers and b) early warning systems. Note: Ryan Boller thought visualization of atmospheric rivers would make a good Worldview Story Tour.</x:v>
      </x:c>
      <x:c r="I301" s="12" t="str"/>
      <x:c r="J301" s="12" t="str">
        <x:v>SRC-0003</x:v>
      </x:c>
      <x:c r="K301" s="12" t="str">
        <x:v>Section: 7.8 Actions and Recommendations</x:v>
      </x:c>
    </x:row>
    <x:row r="302">
      <x:c r="A302" s="12" t="str">
        <x:v>RSP-0301</x:v>
      </x:c>
      <x:c r="B302" s="12" t="str">
        <x:v>Colin Seftor is encouraged to submit LANCE UWG enhancement request for NRT OMPS Limb Profiler aerosol products, with backing from at least two NASA HQ program managers.</x:v>
      </x:c>
      <x:c r="C302" s="12" t="str">
        <x:v>Action item</x:v>
      </x:c>
      <x:c r="D302" s="12" t="str"/>
      <x:c r="E302" s="12" t="str">
        <x:v>Proposed</x:v>
      </x:c>
      <x:c r="F302" s="12" t="str"/>
      <x:c r="G302" s="12" t="str"/>
      <x:c r="H302" s="12" t="str">
        <x:v>Colin Seftor is encouraged to submit LANCE UWG enhancement request for NRT OMPS Limb Profiler aerosol products, with backing from at least two NASA HQ program managers.</x:v>
      </x:c>
      <x:c r="I302" s="12" t="str"/>
      <x:c r="J302" s="12" t="str">
        <x:v>SRC-0003</x:v>
      </x:c>
      <x:c r="K302" s="12" t="str">
        <x:v>Section: 7.8 Actions and Recommendations</x:v>
      </x:c>
    </x:row>
    <x:row r="303">
      <x:c r="A303" s="12" t="str">
        <x:v>RSP-0302</x:v>
      </x:c>
      <x:c r="B303" s="12" t="str">
        <x:v>Miguel recommended a wide assessment/analysis of issues tied to continuity be undertaken, with a specific focus on the AI product from OMPS/OMI.</x:v>
      </x:c>
      <x:c r="C303" s="12" t="str">
        <x:v>Action item</x:v>
      </x:c>
      <x:c r="D303" s="12" t="str"/>
      <x:c r="E303" s="12" t="str">
        <x:v>Proposed</x:v>
      </x:c>
      <x:c r="F303" s="12" t="str"/>
      <x:c r="G303" s="12" t="str"/>
      <x:c r="H303" s="12" t="str">
        <x:v>Miguel recommended a wide assessment/analysis of issues tied to continuity be undertaken, with a specific focus on the AI product from OMPS/OMI.</x:v>
      </x:c>
      <x:c r="I303" s="12" t="str"/>
      <x:c r="J303" s="12" t="str">
        <x:v>SRC-0003</x:v>
      </x:c>
      <x:c r="K303" s="12" t="str">
        <x:v>Section: 7.8 Actions and Recommendations</x:v>
      </x:c>
    </x:row>
    <x:row r="304">
      <x:c r="A304" s="12" t="str">
        <x:v>RSP-0303</x:v>
      </x:c>
      <x:c r="B304" s="12" t="str">
        <x:v>Consider archiving the historic flood product as an interim solution in addition to the NRT archive at LAADS/the LANCE MODIS-VIIRS element.</x:v>
      </x:c>
      <x:c r="C304" s="12" t="str">
        <x:v>Action item</x:v>
      </x:c>
      <x:c r="D304" s="12" t="str"/>
      <x:c r="E304" s="12" t="str">
        <x:v>Proposed</x:v>
      </x:c>
      <x:c r="F304" s="12" t="str"/>
      <x:c r="G304" s="12" t="str"/>
      <x:c r="H304" s="12" t="str">
        <x:v>Consider archiving the historic flood product as an interim solution in addition to the NRT archive at LAADS/the LANCE MODIS-VIIRS element.</x:v>
      </x:c>
      <x:c r="I304" s="12" t="str"/>
      <x:c r="J304" s="12" t="str">
        <x:v>SRC-0003</x:v>
      </x:c>
      <x:c r="K304" s="12" t="str">
        <x:v>Section: 7.8 Actions and Recommendations</x:v>
      </x:c>
    </x:row>
    <x:row r="305">
      <x:c r="A305" s="12" t="str">
        <x:v>RSP-0304</x:v>
      </x:c>
      <x:c r="B305" s="12" t="str">
        <x:v>Miguel recommended the NISAR project be contacted to articulate the need for a Flood validated standard product.</x:v>
      </x:c>
      <x:c r="C305" s="12" t="str">
        <x:v>Action item</x:v>
      </x:c>
      <x:c r="D305" s="12" t="str"/>
      <x:c r="E305" s="12" t="str">
        <x:v>Proposed</x:v>
      </x:c>
      <x:c r="F305" s="12" t="str"/>
      <x:c r="G305" s="12" t="str"/>
      <x:c r="H305" s="12" t="str">
        <x:v>Miguel recommended the NISAR project be contacted to articulate the need for a Flood validated standard product.</x:v>
      </x:c>
      <x:c r="I305" s="12" t="str"/>
      <x:c r="J305" s="12" t="str">
        <x:v>SRC-0003</x:v>
      </x:c>
      <x:c r="K305" s="12" t="str">
        <x:v>Section: 7.8 Actions and Recommendations</x:v>
      </x:c>
    </x:row>
    <x:row r="306">
      <x:c r="A306" s="12" t="str">
        <x:v>RSP-0305</x:v>
      </x:c>
      <x:c r="B306" s="12" t="str">
        <x:v>Contact Sean Helfrich about NOAA plans regarding Flood product archive.</x:v>
      </x:c>
      <x:c r="C306" s="12" t="str">
        <x:v>Action item</x:v>
      </x:c>
      <x:c r="D306" s="12" t="str"/>
      <x:c r="E306" s="12" t="str">
        <x:v>Proposed</x:v>
      </x:c>
      <x:c r="F306" s="12" t="str"/>
      <x:c r="G306" s="12" t="str"/>
      <x:c r="H306" s="12" t="str">
        <x:v>Contact Sean Helfrich about NOAA plans regarding Flood product archive.</x:v>
      </x:c>
      <x:c r="I306" s="12" t="str"/>
      <x:c r="J306" s="12" t="str">
        <x:v>SRC-0003</x:v>
      </x:c>
      <x:c r="K306" s="12" t="str">
        <x:v>Section: 7.8 Actions and Recommendations</x:v>
      </x:c>
    </x:row>
    <x:row r="307">
      <x:c r="A307" s="12" t="str">
        <x:v>RSP-0306</x:v>
      </x:c>
      <x:c r="B307" s="12" t="str">
        <x:v>Explore with NISAR project the need for a Flood validated standard product.</x:v>
      </x:c>
      <x:c r="C307" s="12" t="str">
        <x:v>Action item</x:v>
      </x:c>
      <x:c r="D307" s="12" t="str"/>
      <x:c r="E307" s="12" t="str">
        <x:v>Proposed</x:v>
      </x:c>
      <x:c r="F307" s="12" t="str"/>
      <x:c r="G307" s="12" t="str"/>
      <x:c r="H307" s="12" t="str">
        <x:v>Explore with NISAR project the need for a Flood validated standard product.</x:v>
      </x:c>
      <x:c r="I307" s="12" t="str"/>
      <x:c r="J307" s="12" t="str">
        <x:v>SRC-0003</x:v>
      </x:c>
      <x:c r="K307" s="12" t="str">
        <x:v>Section: 7.8 Actions and Recommendations</x:v>
      </x:c>
    </x:row>
    <x:row r="308">
      <x:c r="A308" s="12" t="str">
        <x:v>RSP-0307</x:v>
      </x:c>
      <x:c r="B308" s="12" t="str">
        <x:v>Consider documenting/writing a paper on what should be included with a standard Flood Product (i.e. not just a count but a contribution to a more nuanced understanding the legacy of flood conditions).</x:v>
      </x:c>
      <x:c r="C308" s="12" t="str">
        <x:v>Action item</x:v>
      </x:c>
      <x:c r="D308" s="12" t="str"/>
      <x:c r="E308" s="12" t="str">
        <x:v>Proposed</x:v>
      </x:c>
      <x:c r="F308" s="12" t="str"/>
      <x:c r="G308" s="12" t="str"/>
      <x:c r="H308" s="12" t="str">
        <x:v>Consider documenting/writing a paper on what should be included with a standard Flood Product (i.e. not just a count but a contribution to a more nuanced understanding the legacy of flood conditions).</x:v>
      </x:c>
      <x:c r="I308" s="12" t="str"/>
      <x:c r="J308" s="12" t="str">
        <x:v>SRC-0003</x:v>
      </x:c>
      <x:c r="K308" s="12" t="str">
        <x:v>Section: 7.8 Actions and Recommendations</x:v>
      </x:c>
    </x:row>
    <x:row r="309">
      <x:c r="A309" s="12" t="str">
        <x:v>RSP-0308</x:v>
      </x:c>
      <x:c r="B309" s="12" t="str">
        <x:v>Follow-up with EIC Project Management, LANCE/Worldview leadership, and other parties (Data Visualization Lab?) to ensure the dependencies of the EIC on LANCE data are well understood.</x:v>
      </x:c>
      <x:c r="C309" s="12" t="str">
        <x:v>Action item</x:v>
      </x:c>
      <x:c r="D309" s="12" t="str"/>
      <x:c r="E309" s="12" t="str">
        <x:v>Proposed</x:v>
      </x:c>
      <x:c r="F309" s="12" t="str"/>
      <x:c r="G309" s="12" t="str"/>
      <x:c r="H309" s="12" t="str">
        <x:v>Follow-up with EIC Project Management, LANCE/Worldview leadership, and other parties (Data Visualization Lab?) to ensure the dependencies of the EIC on LANCE data are well understood.</x:v>
      </x:c>
      <x:c r="I309" s="12" t="str"/>
      <x:c r="J309" s="12" t="str">
        <x:v>SRC-0003</x:v>
      </x:c>
      <x:c r="K309" s="12" t="str">
        <x:v>Section: 7.8 Actions and Recommendations</x:v>
      </x:c>
    </x:row>
    <x:row r="310">
      <x:c r="A310" s="12" t="str">
        <x:v>RSP-0309</x:v>
      </x:c>
      <x:c r="B310" s="12" t="str">
        <x:v>Gather requirements on what QA flags should/could be available in Worldview in both NRT and standard products (action for GIBS/Worldview, MODAPS and key science team members).</x:v>
      </x:c>
      <x:c r="C310" s="12" t="str">
        <x:v>Action item</x:v>
      </x:c>
      <x:c r="D310" s="12" t="str"/>
      <x:c r="E310" s="12" t="str">
        <x:v>Proposed</x:v>
      </x:c>
      <x:c r="F310" s="12" t="str"/>
      <x:c r="G310" s="12" t="str"/>
      <x:c r="H310" s="12" t="str">
        <x:v>Gather requirements on what QA flags should/could be available in Worldview in both NRT and standard products (action for GIBS/Worldview, MODAPS and key science team members).</x:v>
      </x:c>
      <x:c r="I310" s="12" t="str"/>
      <x:c r="J310" s="12" t="str">
        <x:v>SRC-0003</x:v>
      </x:c>
      <x:c r="K310" s="12" t="str">
        <x:v>Section: 7.8 Actions and Recommendations</x:v>
      </x:c>
    </x:row>
    <x:row r="311">
      <x:c r="A311" s="12" t="str">
        <x:v>RSP-0310</x:v>
      </x:c>
      <x:c r="B311" s="12" t="str">
        <x:v>Nima Pahlevan is encouraged to submit a LANCE UWG enhancement Request.</x:v>
      </x:c>
      <x:c r="C311" s="12" t="str">
        <x:v>Action item</x:v>
      </x:c>
      <x:c r="D311" s="12" t="str"/>
      <x:c r="E311" s="12" t="str">
        <x:v>Proposed</x:v>
      </x:c>
      <x:c r="F311" s="12" t="str"/>
      <x:c r="G311" s="12" t="str"/>
      <x:c r="H311" s="12" t="str">
        <x:v>Nima Pahlevan is encouraged to submit a LANCE UWG enhancement Request.</x:v>
      </x:c>
      <x:c r="I311" s="12" t="str"/>
      <x:c r="J311" s="12" t="str">
        <x:v>SRC-0003</x:v>
      </x:c>
      <x:c r="K311" s="12" t="str">
        <x:v>Section: 7.8 Actions and Recommendations</x:v>
      </x:c>
    </x:row>
    <x:row r="312">
      <x:c r="A312" s="12" t="str">
        <x:v>RSP-0311</x:v>
      </x:c>
      <x:c r="B312" s="12" t="str">
        <x:v>Get access to the recording and presentation from the 8th SBG Community Workshop and provide to UWG members for additional information on SBG.</x:v>
      </x:c>
      <x:c r="C312" s="12" t="str">
        <x:v>Action item</x:v>
      </x:c>
      <x:c r="D312" s="12" t="str"/>
      <x:c r="E312" s="12" t="str">
        <x:v>Proposed</x:v>
      </x:c>
      <x:c r="F312" s="12" t="str"/>
      <x:c r="G312" s="12" t="str"/>
      <x:c r="H312" s="12" t="str">
        <x:v>Get access to the recording and presentation from the 8th SBG Community Workshop and provide to UWG members for additional information on SBG.</x:v>
      </x:c>
      <x:c r="I312" s="12" t="str"/>
      <x:c r="J312" s="12" t="str">
        <x:v>SRC-0003</x:v>
      </x:c>
      <x:c r="K312" s="12" t="str">
        <x:v>Section: 8.4.4 LP DAAC Mid-Year Update Virtual Meeting Action Items</x:v>
      </x:c>
    </x:row>
    <x:row r="313">
      <x:c r="A313" s="12" t="str">
        <x:v>RSP-0312</x:v>
      </x:c>
      <x:c r="B313" s="12" t="str">
        <x:v>Revisit AppEEARS request size limits.</x:v>
      </x:c>
      <x:c r="C313" s="12" t="str">
        <x:v>Action item</x:v>
      </x:c>
      <x:c r="D313" s="12" t="str"/>
      <x:c r="E313" s="12" t="str">
        <x:v>Proposed</x:v>
      </x:c>
      <x:c r="F313" s="12" t="str"/>
      <x:c r="G313" s="12" t="str"/>
      <x:c r="H313" s="12" t="str">
        <x:v>Revisit AppEEARS request size limits.</x:v>
      </x:c>
      <x:c r="I313" s="12" t="str"/>
      <x:c r="J313" s="12" t="str">
        <x:v>SRC-0003</x:v>
      </x:c>
      <x:c r="K313" s="12" t="str">
        <x:v>Section: 8.4.4 LP DAAC Mid-Year Update Virtual Meeting Action Items</x:v>
      </x:c>
    </x:row>
    <x:row r="314">
      <x:c r="A314" s="12" t="str">
        <x:v>RSP-0313</x:v>
      </x:c>
      <x:c r="B314" s="12" t="str">
        <x:v>Confirm interest in a second term for three UWG members at the end of their 1st term.</x:v>
      </x:c>
      <x:c r="C314" s="12" t="str">
        <x:v>Action item</x:v>
      </x:c>
      <x:c r="D314" s="12" t="str"/>
      <x:c r="E314" s="12" t="str">
        <x:v>Proposed</x:v>
      </x:c>
      <x:c r="F314" s="12" t="str"/>
      <x:c r="G314" s="12" t="str"/>
      <x:c r="H314" s="12" t="str">
        <x:v>Confirm interest in a second term for three UWG members at the end of their 1st term.</x:v>
      </x:c>
      <x:c r="I314" s="12" t="str"/>
      <x:c r="J314" s="12" t="str">
        <x:v>SRC-0003</x:v>
      </x:c>
      <x:c r="K314" s="12" t="str">
        <x:v>Section: 8.4.4 LP DAAC Mid-Year Update Virtual Meeting Action Items</x:v>
      </x:c>
    </x:row>
    <x:row r="315">
      <x:c r="A315" s="12" t="str">
        <x:v>RSP-0314</x:v>
      </x:c>
      <x:c r="B315" s="12" t="str">
        <x:v>Solicit up to five new UWG member candidates.</x:v>
      </x:c>
      <x:c r="C315" s="12" t="str">
        <x:v>Action item</x:v>
      </x:c>
      <x:c r="D315" s="12" t="str"/>
      <x:c r="E315" s="12" t="str">
        <x:v>Proposed</x:v>
      </x:c>
      <x:c r="F315" s="12" t="str"/>
      <x:c r="G315" s="12" t="str"/>
      <x:c r="H315" s="12" t="str">
        <x:v>Solicit up to five new UWG member candidates.</x:v>
      </x:c>
      <x:c r="I315" s="12" t="str"/>
      <x:c r="J315" s="12" t="str">
        <x:v>SRC-0003</x:v>
      </x:c>
      <x:c r="K315" s="12" t="str">
        <x:v>Section: 8.4.4 LP DAAC Mid-Year Update Virtual Meeting Action Items</x:v>
      </x:c>
    </x:row>
    <x:row r="316">
      <x:c r="A316" s="12" t="str">
        <x:v>RSP-0315</x:v>
      </x:c>
      <x:c r="B316" s="12" t="str">
        <x:v>Identify new UWG co-chair for 2024.</x:v>
      </x:c>
      <x:c r="C316" s="12" t="str">
        <x:v>Action item</x:v>
      </x:c>
      <x:c r="D316" s="12" t="str"/>
      <x:c r="E316" s="12" t="str">
        <x:v>Proposed</x:v>
      </x:c>
      <x:c r="F316" s="12" t="str"/>
      <x:c r="G316" s="12" t="str"/>
      <x:c r="H316" s="12" t="str">
        <x:v>Identify new UWG co-chair for 2024.</x:v>
      </x:c>
      <x:c r="I316" s="12" t="str"/>
      <x:c r="J316" s="12" t="str">
        <x:v>SRC-0003</x:v>
      </x:c>
      <x:c r="K316" s="12" t="str">
        <x:v>Section: 8.4.4 LP DAAC Mid-Year Update Virtual Meeting Action Items</x:v>
      </x:c>
    </x:row>
    <x:row r="317">
      <x:c r="A317" s="12" t="str">
        <x:v>RSP-0316</x:v>
      </x:c>
      <x:c r="B317" s="12" t="str">
        <x:v>Co-host Joint in-person UWG Meeting with ORNL DAAC in Fall 2023.</x:v>
      </x:c>
      <x:c r="C317" s="12" t="str">
        <x:v>Action item</x:v>
      </x:c>
      <x:c r="D317" s="12" t="str"/>
      <x:c r="E317" s="12" t="str">
        <x:v>Proposed</x:v>
      </x:c>
      <x:c r="F317" s="12" t="str"/>
      <x:c r="G317" s="12" t="str"/>
      <x:c r="H317" s="12" t="str">
        <x:v>Co-host Joint in-person UWG Meeting with ORNL DAAC in Fall 2023.</x:v>
      </x:c>
      <x:c r="I317" s="12" t="str"/>
      <x:c r="J317" s="12" t="str">
        <x:v>SRC-0003</x:v>
      </x:c>
      <x:c r="K317" s="12" t="str">
        <x:v>Section: 8.4.4 LP DAAC Mid-Year Update Virtual Meeting Action Items</x:v>
      </x:c>
    </x:row>
    <x:row r="318">
      <x:c r="A318" s="12" t="str">
        <x:v>RSP-0317</x:v>
      </x:c>
      <x:c r="B318" s="12" t="str">
        <x:v>Include presentation on Enterprise Tools and Services.</x:v>
      </x:c>
      <x:c r="C318" s="12" t="str">
        <x:v>Action item</x:v>
      </x:c>
      <x:c r="D318" s="12" t="str"/>
      <x:c r="E318" s="12" t="str">
        <x:v>Proposed</x:v>
      </x:c>
      <x:c r="F318" s="12" t="str"/>
      <x:c r="G318" s="12" t="str"/>
      <x:c r="H318" s="12" t="str">
        <x:v>Include presentation on Enterprise Tools and Services.</x:v>
      </x:c>
      <x:c r="I318" s="12" t="str"/>
      <x:c r="J318" s="12" t="str">
        <x:v>SRC-0003</x:v>
      </x:c>
      <x:c r="K318" s="12" t="str">
        <x:v>Section: 8.4.4 LP DAAC Mid-Year Update Virtual Meeting Action Items</x:v>
      </x:c>
    </x:row>
    <x:row r="319">
      <x:c r="A319" s="12" t="str">
        <x:v>RSP-0318</x:v>
      </x:c>
      <x:c r="B319" s="12" t="str">
        <x:v>Identify themes/interests/areas where the UWG is lacking expertise.</x:v>
      </x:c>
      <x:c r="C319" s="12" t="str">
        <x:v>Action item</x:v>
      </x:c>
      <x:c r="D319" s="12" t="str"/>
      <x:c r="E319" s="12" t="str">
        <x:v>Proposed</x:v>
      </x:c>
      <x:c r="F319" s="12" t="str"/>
      <x:c r="G319" s="12" t="str"/>
      <x:c r="H319" s="12" t="str">
        <x:v>Identify themes/interests/areas where the UWG is lacking expertise.</x:v>
      </x:c>
      <x:c r="I319" s="12" t="str"/>
      <x:c r="J319" s="12" t="str">
        <x:v>SRC-0003</x:v>
      </x:c>
      <x:c r="K319" s="12" t="str">
        <x:v>Section: 8.4.4 LP DAAC Mid-Year Update Virtual Meeting Action Items</x:v>
      </x:c>
    </x:row>
    <x:row r="320">
      <x:c r="A320" s="12" t="str">
        <x:v>RSP-0319</x:v>
      </x:c>
      <x:c r="B320" s="12" t="str">
        <x:v>Set up annual one on one virtual (or opportunistically in-person) meetings with each UWG member.</x:v>
      </x:c>
      <x:c r="C320" s="12" t="str">
        <x:v>Action item</x:v>
      </x:c>
      <x:c r="D320" s="12" t="str"/>
      <x:c r="E320" s="12" t="str">
        <x:v>Proposed</x:v>
      </x:c>
      <x:c r="F320" s="12" t="str"/>
      <x:c r="G320" s="12" t="str"/>
      <x:c r="H320" s="12" t="str">
        <x:v>Set up annual one on one virtual (or opportunistically in-person) meetings with each UWG member.</x:v>
      </x:c>
      <x:c r="I320" s="12" t="str"/>
      <x:c r="J320" s="12" t="str">
        <x:v>SRC-0003</x:v>
      </x:c>
      <x:c r="K320" s="12" t="str">
        <x:v>Section: 8.4.4 LP DAAC Mid-Year Update Virtual Meeting Action Items</x:v>
      </x:c>
    </x:row>
    <x:row r="321">
      <x:c r="A321" s="12" t="str">
        <x:v>RSP-0320</x:v>
      </x:c>
      <x:c r="B321" s="12" t="str">
        <x:v>Update the LP DAAC UWG Charter.</x:v>
      </x:c>
      <x:c r="C321" s="12" t="str">
        <x:v>Action item</x:v>
      </x:c>
      <x:c r="D321" s="12" t="str"/>
      <x:c r="E321" s="12" t="str">
        <x:v>Proposed</x:v>
      </x:c>
      <x:c r="F321" s="12" t="str"/>
      <x:c r="G321" s="12" t="str"/>
      <x:c r="H321" s="12" t="str">
        <x:v>Update the LP DAAC UWG Charter.</x:v>
      </x:c>
      <x:c r="I321" s="12" t="str"/>
      <x:c r="J321" s="12" t="str">
        <x:v>SRC-0003</x:v>
      </x:c>
      <x:c r="K321" s="12" t="str">
        <x:v>Section: 8.4.4 LP DAAC Mid-Year Update Virtual Meeting Action Items</x:v>
      </x:c>
    </x:row>
    <x:row r="322">
      <x:c r="A322" s="12" t="str">
        <x:v>RSP-0321</x:v>
      </x:c>
      <x:c r="B322" s="12" t="str">
        <x:v>Submit Accession Proposal to NASA ESDIS/ESDS for approval to support LPJ-PROSAIL Global Simulated Dynamic Surface Reflectance and ASTER Global Surface Mineralogy datasets.</x:v>
      </x:c>
      <x:c r="C322" s="12" t="str">
        <x:v>Action item</x:v>
      </x:c>
      <x:c r="D322" s="12" t="str"/>
      <x:c r="E322" s="12" t="str">
        <x:v>Proposed</x:v>
      </x:c>
      <x:c r="F322" s="12" t="str"/>
      <x:c r="G322" s="12" t="str"/>
      <x:c r="H322" s="12" t="str">
        <x:v>Submit Accession Proposal to NASA ESDIS/ESDS for approval to support LPJ-PROSAIL Global Simulated Dynamic Surface Reflectance and ASTER Global Surface Mineralogy datasets.</x:v>
      </x:c>
      <x:c r="I322" s="12" t="str"/>
      <x:c r="J322" s="12" t="str">
        <x:v>SRC-0003</x:v>
      </x:c>
      <x:c r="K322" s="12" t="str">
        <x:v>Section: 8.4.4 LP DAAC Mid-Year Update Virtual Meeting Action Items</x:v>
      </x:c>
    </x:row>
    <x:row r="323">
      <x:c r="A323" s="12" t="str">
        <x:v>RSP-0322</x:v>
      </x:c>
      <x:c r="B323" s="12" t="str">
        <x:v>Add EMIT, Landsat, and VIIRS Version 2 products to the AppEEARS Roadmap for discussion on future inclusion into AppEEARS.</x:v>
      </x:c>
      <x:c r="C323" s="12" t="str">
        <x:v>Action item</x:v>
      </x:c>
      <x:c r="D323" s="12" t="str"/>
      <x:c r="E323" s="12" t="str">
        <x:v>Proposed</x:v>
      </x:c>
      <x:c r="F323" s="12" t="str"/>
      <x:c r="G323" s="12" t="str"/>
      <x:c r="H323" s="12" t="str">
        <x:v>Add EMIT, Landsat, and VIIRS Version 2 products to the AppEEARS Roadmap for discussion on future inclusion into AppEEARS.</x:v>
      </x:c>
      <x:c r="I323" s="12" t="str"/>
      <x:c r="J323" s="12" t="str">
        <x:v>SRC-0003</x:v>
      </x:c>
      <x:c r="K323" s="12" t="str">
        <x:v>Section: 8.4.4 LP DAAC Mid-Year Update Virtual Meeting Action Items</x:v>
      </x:c>
    </x:row>
    <x:row r="324">
      <x:c r="A324" s="12" t="str">
        <x:v>RSP-0323</x:v>
      </x:c>
      <x:c r="B324" s="12" t="str">
        <x:v>Review EnMAP project resources, identify uses for EMIT and other future pre-SBG mission resources and report back to UWG.</x:v>
      </x:c>
      <x:c r="C324" s="12" t="str">
        <x:v>Action item</x:v>
      </x:c>
      <x:c r="D324" s="12" t="str"/>
      <x:c r="E324" s="12" t="str">
        <x:v>Proposed</x:v>
      </x:c>
      <x:c r="F324" s="12" t="str"/>
      <x:c r="G324" s="12" t="str"/>
      <x:c r="H324" s="12" t="str">
        <x:v>Review EnMAP project resources, identify uses for EMIT and other future pre-SBG mission resources and report back to UWG.</x:v>
      </x:c>
      <x:c r="I324" s="12" t="str"/>
      <x:c r="J324" s="12" t="str">
        <x:v>SRC-0003</x:v>
      </x:c>
      <x:c r="K324" s="12" t="str">
        <x:v>Section: 8.4.4 LP DAAC Mid-Year Update Virtual Meeting Action Items</x:v>
      </x:c>
    </x:row>
    <x:row r="325">
      <x:c r="A325" s="12" t="str">
        <x:v>RSP-0324</x:v>
      </x:c>
      <x:c r="B325" s="12" t="str">
        <x:v>Co-lead an EMIT-ECOSTRESS Workshop alongside the respective Science Teams</x:v>
      </x:c>
      <x:c r="C325" s="12" t="str">
        <x:v>Action item</x:v>
      </x:c>
      <x:c r="D325" s="12" t="str"/>
      <x:c r="E325" s="12" t="str">
        <x:v>Proposed</x:v>
      </x:c>
      <x:c r="F325" s="12" t="str"/>
      <x:c r="G325" s="12" t="str"/>
      <x:c r="H325" s="12" t="str">
        <x:v>Co-lead an EMIT-ECOSTRESS Workshop alongside the respective Science Teams</x:v>
      </x:c>
      <x:c r="I325" s="12" t="str"/>
      <x:c r="J325" s="12" t="str">
        <x:v>SRC-0003</x:v>
      </x:c>
      <x:c r="K325" s="12" t="str">
        <x:v>Section: 8.4.4 LP DAAC Mid-Year Update Virtual Meeting Action Items</x:v>
      </x:c>
    </x:row>
    <x:row r="326">
      <x:c r="A326" s="12" t="str">
        <x:v>RSP-0325</x:v>
      </x:c>
      <x:c r="B326" s="12" t="str">
        <x:v>Schedule a mid-year virtual update UWG meeting for winter 2024 and an annual in-person UWG meeting for summer 2024.</x:v>
      </x:c>
      <x:c r="C326" s="12" t="str">
        <x:v>Action item</x:v>
      </x:c>
      <x:c r="D326" s="12" t="str"/>
      <x:c r="E326" s="12" t="str">
        <x:v>Proposed</x:v>
      </x:c>
      <x:c r="F326" s="12" t="str"/>
      <x:c r="G326" s="12" t="str"/>
      <x:c r="H326" s="12" t="str">
        <x:v>Schedule a mid-year virtual update UWG meeting for winter 2024 and an annual in-person UWG meeting for summer 2024.</x:v>
      </x:c>
      <x:c r="I326" s="12" t="str"/>
      <x:c r="J326" s="12" t="str">
        <x:v>SRC-0003</x:v>
      </x:c>
      <x:c r="K326" s="12" t="str">
        <x:v>Section: 8.5.3 Joint LP DAAC – ORNL DAAC Annual UWG Meeting Action Items</x:v>
      </x:c>
    </x:row>
    <x:row r="327">
      <x:c r="A327" s="12" t="str">
        <x:v>RSP-0326</x:v>
      </x:c>
      <x:c r="B327" s="12" t="str">
        <x:v>Identify a new UWG co-chair for 2024.</x:v>
      </x:c>
      <x:c r="C327" s="12" t="str">
        <x:v>Action item</x:v>
      </x:c>
      <x:c r="D327" s="12" t="str"/>
      <x:c r="E327" s="12" t="str">
        <x:v>Proposed</x:v>
      </x:c>
      <x:c r="F327" s="12" t="str"/>
      <x:c r="G327" s="12" t="str"/>
      <x:c r="H327" s="12" t="str">
        <x:v>Identify a new UWG co-chair for 2024.</x:v>
      </x:c>
      <x:c r="I327" s="12" t="str"/>
      <x:c r="J327" s="12" t="str">
        <x:v>SRC-0003</x:v>
      </x:c>
      <x:c r="K327" s="12" t="str">
        <x:v>Section: 8.5.3 Joint LP DAAC – ORNL DAAC Annual UWG Meeting Action Items</x:v>
      </x:c>
    </x:row>
    <x:row r="328">
      <x:c r="A328" s="12" t="str">
        <x:v>RSP-0327</x:v>
      </x:c>
      <x:c r="B328" s="12" t="str">
        <x:v>Identify lessons learned from SISTER on standard practices for labeling data not intended for scientific use.</x:v>
      </x:c>
      <x:c r="C328" s="12" t="str">
        <x:v>Action item</x:v>
      </x:c>
      <x:c r="D328" s="12" t="str"/>
      <x:c r="E328" s="12" t="str">
        <x:v>Proposed</x:v>
      </x:c>
      <x:c r="F328" s="12" t="str"/>
      <x:c r="G328" s="12" t="str"/>
      <x:c r="H328" s="12" t="str">
        <x:v>Identify lessons learned from SISTER on standard practices for labeling data not intended for scientific use.</x:v>
      </x:c>
      <x:c r="I328" s="12" t="str"/>
      <x:c r="J328" s="12" t="str">
        <x:v>SRC-0003</x:v>
      </x:c>
      <x:c r="K328" s="12" t="str">
        <x:v>Section: 8.5.3 Joint LP DAAC – ORNL DAAC Annual UWG Meeting Action Items</x:v>
      </x:c>
    </x:row>
    <x:row r="329">
      <x:c r="A329" s="12" t="str">
        <x:v>RSP-0328</x:v>
      </x:c>
      <x:c r="B329" s="12" t="str">
        <x:v>Submit Accession Proposal to NASA ESDIS/ESDS for approval to support the LPJ-R2O Simulated Global Greenhouse Gas Emissions Products.</x:v>
      </x:c>
      <x:c r="C329" s="12" t="str">
        <x:v>Action item</x:v>
      </x:c>
      <x:c r="D329" s="12" t="str"/>
      <x:c r="E329" s="12" t="str">
        <x:v>Proposed</x:v>
      </x:c>
      <x:c r="F329" s="12" t="str"/>
      <x:c r="G329" s="12" t="str"/>
      <x:c r="H329" s="12" t="str">
        <x:v>Submit Accession Proposal to NASA ESDIS/ESDS for approval to support the LPJ-R2O Simulated Global Greenhouse Gas Emissions Products.</x:v>
      </x:c>
      <x:c r="I329" s="12" t="str"/>
      <x:c r="J329" s="12" t="str">
        <x:v>SRC-0003</x:v>
      </x:c>
      <x:c r="K329" s="12" t="str">
        <x:v>Section: 8.5.3 Joint LP DAAC – ORNL DAAC Annual UWG Meeting Action Items</x:v>
      </x:c>
    </x:row>
    <x:row r="330">
      <x:c r="A330" s="12" t="str">
        <x:v>RSP-0329</x:v>
      </x:c>
      <x:c r="B330" s="12" t="str">
        <x:v>Identify when the LP DAAC should begin Earthdata Pub integration using the SAFe/PI Planning process.</x:v>
      </x:c>
      <x:c r="C330" s="12" t="str">
        <x:v>Action item</x:v>
      </x:c>
      <x:c r="D330" s="12" t="str"/>
      <x:c r="E330" s="12" t="str">
        <x:v>Proposed</x:v>
      </x:c>
      <x:c r="F330" s="12" t="str"/>
      <x:c r="G330" s="12" t="str"/>
      <x:c r="H330" s="12" t="str">
        <x:v>Identify when the LP DAAC should begin Earthdata Pub integration using the SAFe/PI Planning process.</x:v>
      </x:c>
      <x:c r="I330" s="12" t="str"/>
      <x:c r="J330" s="12" t="str">
        <x:v>SRC-0003</x:v>
      </x:c>
      <x:c r="K330" s="12" t="str">
        <x:v>Section: 8.5.3 Joint LP DAAC – ORNL DAAC Annual UWG Meeting Action Items</x:v>
      </x:c>
    </x:row>
    <x:row r="331">
      <x:c r="A331" s="12" t="str">
        <x:v>RSP-0330</x:v>
      </x:c>
      <x:c r="B331" s="12" t="str">
        <x:v>Request a presentation from NASA ESDS/ESDIS on the Accession process for the next LP DAAC UWG meeting.</x:v>
      </x:c>
      <x:c r="C331" s="12" t="str">
        <x:v>Action item</x:v>
      </x:c>
      <x:c r="D331" s="12" t="str"/>
      <x:c r="E331" s="12" t="str">
        <x:v>Proposed</x:v>
      </x:c>
      <x:c r="F331" s="12" t="str"/>
      <x:c r="G331" s="12" t="str"/>
      <x:c r="H331" s="12" t="str">
        <x:v>Request a presentation from NASA ESDS/ESDIS on the Accession process for the next LP DAAC UWG meeting.</x:v>
      </x:c>
      <x:c r="I331" s="12" t="str"/>
      <x:c r="J331" s="12" t="str">
        <x:v>SRC-0003</x:v>
      </x:c>
      <x:c r="K331" s="12" t="str">
        <x:v>Section: 8.5.3 Joint LP DAAC – ORNL DAAC Annual UWG Meeting Action Items</x:v>
      </x:c>
    </x:row>
    <x:row r="332">
      <x:c r="A332" s="12" t="str">
        <x:v>RSP-0331</x:v>
      </x:c>
      <x:c r="B332" s="12" t="str">
        <x:v>Draft an Open-Source Science Data Management Plan.</x:v>
      </x:c>
      <x:c r="C332" s="12" t="str">
        <x:v>Action item</x:v>
      </x:c>
      <x:c r="D332" s="12" t="str"/>
      <x:c r="E332" s="12" t="str">
        <x:v>Proposed</x:v>
      </x:c>
      <x:c r="F332" s="12" t="str"/>
      <x:c r="G332" s="12" t="str"/>
      <x:c r="H332" s="12" t="str">
        <x:v>Draft an Open-Source Science Data Management Plan.</x:v>
      </x:c>
      <x:c r="I332" s="12" t="str"/>
      <x:c r="J332" s="12" t="str">
        <x:v>SRC-0003</x:v>
      </x:c>
      <x:c r="K332" s="12" t="str">
        <x:v>Section: 8.5.3 Joint LP DAAC – ORNL DAAC Annual UWG Meeting Action Items</x:v>
      </x:c>
    </x:row>
    <x:row r="333">
      <x:c r="A333" s="12" t="str">
        <x:v>RSP-0332</x:v>
      </x:c>
      <x:c r="B333" s="12" t="str">
        <x:v>Attend the LSTM, SBG, and TRISHNA (LST) 2023 Harmonization Workshop.</x:v>
      </x:c>
      <x:c r="C333" s="12" t="str">
        <x:v>Action item</x:v>
      </x:c>
      <x:c r="D333" s="12" t="str"/>
      <x:c r="E333" s="12" t="str">
        <x:v>Proposed</x:v>
      </x:c>
      <x:c r="F333" s="12" t="str"/>
      <x:c r="G333" s="12" t="str"/>
      <x:c r="H333" s="12" t="str">
        <x:v>Attend the LSTM, SBG, and TRISHNA (LST) 2023 Harmonization Workshop.</x:v>
      </x:c>
      <x:c r="I333" s="12" t="str"/>
      <x:c r="J333" s="12" t="str">
        <x:v>SRC-0003</x:v>
      </x:c>
      <x:c r="K333" s="12" t="str">
        <x:v>Section: 8.5.3 Joint LP DAAC – ORNL DAAC Annual UWG Meeting Action Items</x:v>
      </x:c>
    </x:row>
    <x:row r="334">
      <x:c r="A334" s="12" t="str">
        <x:v>RSP-0333</x:v>
      </x:c>
      <x:c r="B334" s="12" t="str">
        <x:v>Lead the Quarterly SBG ESDIS-EOSDIS Collaboration Meeting.</x:v>
      </x:c>
      <x:c r="C334" s="12" t="str">
        <x:v>Action item</x:v>
      </x:c>
      <x:c r="D334" s="12" t="str"/>
      <x:c r="E334" s="12" t="str">
        <x:v>Proposed</x:v>
      </x:c>
      <x:c r="F334" s="12" t="str"/>
      <x:c r="G334" s="12" t="str"/>
      <x:c r="H334" s="12" t="str">
        <x:v>Lead the Quarterly SBG ESDIS-EOSDIS Collaboration Meeting.</x:v>
      </x:c>
      <x:c r="I334" s="12" t="str"/>
      <x:c r="J334" s="12" t="str">
        <x:v>SRC-0003</x:v>
      </x:c>
      <x:c r="K334" s="12" t="str">
        <x:v>Section: 8.5.3 Joint LP DAAC – ORNL DAAC Annual UWG Meeting Action Items</x:v>
      </x:c>
    </x:row>
    <x:row r="335">
      <x:c r="A335" s="12" t="str">
        <x:v>RSP-0334</x:v>
      </x:c>
      <x:c r="B335" s="12" t="str">
        <x:v>Review EnMAP project resources, identify use for EMIT and other future pre-SBG mission resources and report back to UWG.</x:v>
      </x:c>
      <x:c r="C335" s="12" t="str">
        <x:v>Action item</x:v>
      </x:c>
      <x:c r="D335" s="12" t="str"/>
      <x:c r="E335" s="12" t="str">
        <x:v>Proposed</x:v>
      </x:c>
      <x:c r="F335" s="12" t="str"/>
      <x:c r="G335" s="12" t="str"/>
      <x:c r="H335" s="12" t="str">
        <x:v>Review EnMAP project resources, identify use for EMIT and other future pre-SBG mission resources and report back to UWG.</x:v>
      </x:c>
      <x:c r="I335" s="12" t="str"/>
      <x:c r="J335" s="12" t="str">
        <x:v>SRC-0003</x:v>
      </x:c>
      <x:c r="K335" s="12" t="str">
        <x:v>Section: 8.5.3 Joint LP DAAC – ORNL DAAC Annual UWG Meeting Action Items</x:v>
      </x:c>
    </x:row>
    <x:row r="336">
      <x:c r="A336" s="12" t="str">
        <x:v>RSP-0335</x:v>
      </x:c>
      <x:c r="B336" s="12" t="str">
        <x:v>Co-lead an EMIT-ECOSTRESS Synergies workshop alongside the respective science teams.</x:v>
      </x:c>
      <x:c r="C336" s="12" t="str">
        <x:v>Action item</x:v>
      </x:c>
      <x:c r="D336" s="12" t="str"/>
      <x:c r="E336" s="12" t="str">
        <x:v>Proposed</x:v>
      </x:c>
      <x:c r="F336" s="12" t="str"/>
      <x:c r="G336" s="12" t="str"/>
      <x:c r="H336" s="12" t="str">
        <x:v>Co-lead an EMIT-ECOSTRESS Synergies workshop alongside the respective science teams.</x:v>
      </x:c>
      <x:c r="I336" s="12" t="str"/>
      <x:c r="J336" s="12" t="str">
        <x:v>SRC-0003</x:v>
      </x:c>
      <x:c r="K336" s="12" t="str">
        <x:v>Section: 8.5.3 Joint LP DAAC – ORNL DAAC Annual UWG Meeting Action Items</x:v>
      </x:c>
    </x:row>
    <x:row r="337">
      <x:c r="A337" s="12" t="str">
        <x:v>RSP-0336</x:v>
      </x:c>
      <x:c r="B337" s="12" t="str">
        <x:v>Co-lead an EMIT-ECOSTRESS Synergies for Research and Applications workshop at the SBG Community Workshop and include integration of airborne and/or in-situ data.</x:v>
      </x:c>
      <x:c r="C337" s="12" t="str">
        <x:v>Action item</x:v>
      </x:c>
      <x:c r="D337" s="12" t="str"/>
      <x:c r="E337" s="12" t="str">
        <x:v>Proposed</x:v>
      </x:c>
      <x:c r="F337" s="12" t="str"/>
      <x:c r="G337" s="12" t="str"/>
      <x:c r="H337" s="12" t="str">
        <x:v>Co-lead an EMIT-ECOSTRESS Synergies for Research and Applications workshop at the SBG Community Workshop and include integration of airborne and/or in-situ data.</x:v>
      </x:c>
      <x:c r="I337" s="12" t="str"/>
      <x:c r="J337" s="12" t="str">
        <x:v>SRC-0003</x:v>
      </x:c>
      <x:c r="K337" s="12" t="str">
        <x:v>Section: 8.5.3 Joint LP DAAC – ORNL DAAC Annual UWG Meeting Action Items</x:v>
      </x:c>
    </x:row>
    <x:row r="338">
      <x:c r="A338" s="12" t="str">
        <x:v>RSP-0337</x:v>
      </x:c>
      <x:c r="B338" s="12" t="str">
        <x:v>Publish the LPJ-PROSAIL Global Simulated Dynamic Surface Reflectance Versions 1-2.</x:v>
      </x:c>
      <x:c r="C338" s="12" t="str">
        <x:v>Action item</x:v>
      </x:c>
      <x:c r="D338" s="12" t="str"/>
      <x:c r="E338" s="12" t="str">
        <x:v>Proposed</x:v>
      </x:c>
      <x:c r="F338" s="12" t="str"/>
      <x:c r="G338" s="12" t="str"/>
      <x:c r="H338" s="12" t="str">
        <x:v>Publish the LPJ-PROSAIL Global Simulated Dynamic Surface Reflectance Versions 1-2.</x:v>
      </x:c>
      <x:c r="I338" s="12" t="str"/>
      <x:c r="J338" s="12" t="str">
        <x:v>SRC-0003</x:v>
      </x:c>
      <x:c r="K338" s="12" t="str">
        <x:v>Section: 8.5.3 Joint LP DAAC – ORNL DAAC Annual UWG Meeting Action Items</x:v>
      </x:c>
    </x:row>
    <x:row r="339">
      <x:c r="A339" s="12" t="str">
        <x:v>RSP-0338</x:v>
      </x:c>
      <x:c r="B339" s="12" t="str">
        <x:v>Add EMIT, VIIRS Version 2, and Landsat products to the roadmap for discussion and on future potential inclusion into AppEEARS.</x:v>
      </x:c>
      <x:c r="C339" s="12" t="str">
        <x:v>Action item</x:v>
      </x:c>
      <x:c r="D339" s="12" t="str"/>
      <x:c r="E339" s="12" t="str">
        <x:v>Proposed</x:v>
      </x:c>
      <x:c r="F339" s="12" t="str"/>
      <x:c r="G339" s="12" t="str"/>
      <x:c r="H339" s="12" t="str">
        <x:v>Add EMIT, VIIRS Version 2, and Landsat products to the roadmap for discussion and on future potential inclusion into AppEEARS.</x:v>
      </x:c>
      <x:c r="I339" s="12" t="str"/>
      <x:c r="J339" s="12" t="str">
        <x:v>SRC-0003</x:v>
      </x:c>
      <x:c r="K339" s="12" t="str">
        <x:v>Section: 8.5.3 Joint LP DAAC – ORNL DAAC Annual UWG Meeting Action Items</x:v>
      </x:c>
    </x:row>
    <x:row r="340">
      <x:c r="A340" s="12" t="str">
        <x:v>RSP-0339</x:v>
      </x:c>
      <x:c r="B340" s="12" t="str">
        <x:v>Identify datasets and features needed in AppEEARS to satisfy TESViS capabilities.</x:v>
      </x:c>
      <x:c r="C340" s="12" t="str">
        <x:v>Action item</x:v>
      </x:c>
      <x:c r="D340" s="12" t="str"/>
      <x:c r="E340" s="12" t="str">
        <x:v>Proposed</x:v>
      </x:c>
      <x:c r="F340" s="12" t="str"/>
      <x:c r="G340" s="12" t="str"/>
      <x:c r="H340" s="12" t="str">
        <x:v>Identify datasets and features needed in AppEEARS to satisfy TESViS capabilities.</x:v>
      </x:c>
      <x:c r="I340" s="12" t="str"/>
      <x:c r="J340" s="12" t="str">
        <x:v>SRC-0003</x:v>
      </x:c>
      <x:c r="K340" s="12" t="str">
        <x:v>Section: 8.5.3 Joint LP DAAC – ORNL DAAC Annual UWG Meeting Action Items</x:v>
      </x:c>
    </x:row>
    <x:row r="341">
      <x:c r="A341" s="12" t="str">
        <x:v>RSP-0340</x:v>
      </x:c>
      <x:c r="B341" s="12" t="str">
        <x:v>Engage with the GEDI Science Team and OpenAltimetry team to explore potential incorporation of GEDI into the platform.</x:v>
      </x:c>
      <x:c r="C341" s="12" t="str">
        <x:v>Action item</x:v>
      </x:c>
      <x:c r="D341" s="12" t="str"/>
      <x:c r="E341" s="12" t="str">
        <x:v>Proposed</x:v>
      </x:c>
      <x:c r="F341" s="12" t="str"/>
      <x:c r="G341" s="12" t="str"/>
      <x:c r="H341" s="12" t="str">
        <x:v>Engage with the GEDI Science Team and OpenAltimetry team to explore potential incorporation of GEDI into the platform.</x:v>
      </x:c>
      <x:c r="I341" s="12" t="str"/>
      <x:c r="J341" s="12" t="str">
        <x:v>SRC-0003</x:v>
      </x:c>
      <x:c r="K341" s="12" t="str">
        <x:v>Section: 8.5.3 Joint LP DAAC – ORNL DAAC Annual UWG Meeting Action Items</x:v>
      </x:c>
    </x:row>
    <x:row r="342">
      <x:c r="A342" s="12" t="str">
        <x:v>RSP-0341</x:v>
      </x:c>
      <x:c r="B342" s="12" t="str">
        <x:v>Request presentations on VEDA and earthaccess at the next LP DAAC UWG meeting.</x:v>
      </x:c>
      <x:c r="C342" s="12" t="str">
        <x:v>Action item</x:v>
      </x:c>
      <x:c r="D342" s="12" t="str"/>
      <x:c r="E342" s="12" t="str">
        <x:v>Proposed</x:v>
      </x:c>
      <x:c r="F342" s="12" t="str"/>
      <x:c r="G342" s="12" t="str"/>
      <x:c r="H342" s="12" t="str">
        <x:v>Request presentations on VEDA and earthaccess at the next LP DAAC UWG meeting.</x:v>
      </x:c>
      <x:c r="I342" s="12" t="str"/>
      <x:c r="J342" s="12" t="str">
        <x:v>SRC-0003</x:v>
      </x:c>
      <x:c r="K342" s="12" t="str">
        <x:v>Section: 8.5.3 Joint LP DAAC – ORNL DAAC Annual UWG Meeting Action Items</x:v>
      </x:c>
    </x:row>
    <x:row r="343">
      <x:c r="A343" s="12" t="str">
        <x:v>RSP-0342</x:v>
      </x:c>
      <x:c r="B343" s="12" t="str">
        <x:v>Engage with GEE and other re-hosters of LP DAAC data, document LP DAAC data available in those platforms, identify platform capabilities, and present at the next LP DAAC UWG meeting.</x:v>
      </x:c>
      <x:c r="C343" s="12" t="str">
        <x:v>Action item</x:v>
      </x:c>
      <x:c r="D343" s="12" t="str"/>
      <x:c r="E343" s="12" t="str">
        <x:v>Proposed</x:v>
      </x:c>
      <x:c r="F343" s="12" t="str"/>
      <x:c r="G343" s="12" t="str"/>
      <x:c r="H343" s="12" t="str">
        <x:v>Engage with GEE and other re-hosters of LP DAAC data, document LP DAAC data available in those platforms, identify platform capabilities, and present at the next LP DAAC UWG meeting.</x:v>
      </x:c>
      <x:c r="I343" s="12" t="str"/>
      <x:c r="J343" s="12" t="str">
        <x:v>SRC-0003</x:v>
      </x:c>
      <x:c r="K343" s="12" t="str">
        <x:v>Section: 8.5.3 Joint LP DAAC – ORNL DAAC Annual UWG Meeting Action Items</x:v>
      </x:c>
    </x:row>
    <x:row r="344">
      <x:c r="A344" s="12" t="str">
        <x:v>RSP-0343</x:v>
      </x:c>
      <x:c r="B344" s="12" t="str">
        <x:v>Incorporate UWG feedback on the presented tools and services into the development of a strategy for what tools/services to invest in, maintain, and/or retire.</x:v>
      </x:c>
      <x:c r="C344" s="12" t="str">
        <x:v>Action item</x:v>
      </x:c>
      <x:c r="D344" s="12" t="str"/>
      <x:c r="E344" s="12" t="str">
        <x:v>Proposed</x:v>
      </x:c>
      <x:c r="F344" s="12" t="str"/>
      <x:c r="G344" s="12" t="str"/>
      <x:c r="H344" s="12" t="str">
        <x:v>Incorporate UWG feedback on the presented tools and services into the development of a strategy for what tools/services to invest in, maintain, and/or retire.</x:v>
      </x:c>
      <x:c r="I344" s="12" t="str"/>
      <x:c r="J344" s="12" t="str">
        <x:v>SRC-0003</x:v>
      </x:c>
      <x:c r="K344" s="12" t="str">
        <x:v>Section: 10.6 New Actions and Recommendations</x:v>
      </x:c>
    </x:row>
    <x:row r="345">
      <x:c r="A345" s="12" t="str">
        <x:v>RSP-0344</x:v>
      </x:c>
      <x:c r="B345" s="12" t="str">
        <x:v>Change the data accession and pre-publication (for ROSES ICESat-2) review steps to have sample data vetted by the DAAC for basic format and documentation requirements before sending to the UWG for review.</x:v>
      </x:c>
      <x:c r="C345" s="12" t="str">
        <x:v>Action item</x:v>
      </x:c>
      <x:c r="D345" s="12" t="str"/>
      <x:c r="E345" s="12" t="str">
        <x:v>Proposed</x:v>
      </x:c>
      <x:c r="F345" s="12" t="str"/>
      <x:c r="G345" s="12" t="str"/>
      <x:c r="H345" s="12" t="str">
        <x:v>Change the data accession and pre-publication (for ROSES ICESat-2) review steps to have sample data vetted by the DAAC for basic format and documentation requirements before sending to the UWG for review.</x:v>
      </x:c>
      <x:c r="I345" s="12" t="str"/>
      <x:c r="J345" s="12" t="str">
        <x:v>SRC-0003</x:v>
      </x:c>
      <x:c r="K345" s="12" t="str">
        <x:v>Section: 10.6 New Actions and Recommendations</x:v>
      </x:c>
    </x:row>
    <x:row r="346">
      <x:c r="A346" s="12" t="str">
        <x:v>RSP-0345</x:v>
      </x:c>
      <x:c r="B346" s="12" t="str">
        <x:v>Decrease time for data accession approval by setting shorter review periods for the DAAC, and encouraging and supporting faster reviewers by UWG and ESDIS.</x:v>
      </x:c>
      <x:c r="C346" s="12" t="str">
        <x:v>Action item</x:v>
      </x:c>
      <x:c r="D346" s="12" t="str"/>
      <x:c r="E346" s="12" t="str">
        <x:v>Proposed</x:v>
      </x:c>
      <x:c r="F346" s="12" t="str"/>
      <x:c r="G346" s="12" t="str"/>
      <x:c r="H346" s="12" t="str">
        <x:v>Decrease time for data accession approval by setting shorter review periods for the DAAC, and encouraging and supporting faster reviewers by UWG and ESDIS.</x:v>
      </x:c>
      <x:c r="I346" s="12" t="str"/>
      <x:c r="J346" s="12" t="str">
        <x:v>SRC-0003</x:v>
      </x:c>
      <x:c r="K346" s="12" t="str">
        <x:v>Section: 10.6 New Actions and Recommendations</x:v>
      </x:c>
    </x:row>
    <x:row r="347">
      <x:c r="A347" s="12" t="str">
        <x:v>RSP-0346</x:v>
      </x:c>
      <x:c r="B347" s="12" t="str">
        <x:v>Streamline the FAIR data creation process through more documentation and potential tools to help data providers meet requirements. Balance NSIDC DAAC resources with data producer resources to try to not be burdensome to </x:v>
      </x:c>
      <x:c r="C347" s="12" t="str">
        <x:v>Action item</x:v>
      </x:c>
      <x:c r="D347" s="12" t="str"/>
      <x:c r="E347" s="12" t="str">
        <x:v>Proposed</x:v>
      </x:c>
      <x:c r="F347" s="12" t="str"/>
      <x:c r="G347" s="12" t="str"/>
      <x:c r="H347" s="12" t="str">
        <x:v>Streamline the FAIR data creation process through more documentation and potential tools to help data providers meet requirements. Balance NSIDC DAAC resources with data producer resources to try to not be burdensome to either.</x:v>
      </x:c>
      <x:c r="I347" s="12" t="str"/>
      <x:c r="J347" s="12" t="str">
        <x:v>SRC-0003</x:v>
      </x:c>
      <x:c r="K347" s="12" t="str">
        <x:v>Section: 10.6 New Actions and Recommendations</x:v>
      </x:c>
    </x:row>
    <x:row r="348">
      <x:c r="A348" s="12" t="str">
        <x:v>RSP-0347</x:v>
      </x:c>
      <x:c r="B348" s="12" t="str">
        <x:v>Engage with the NASA Chief Science Data Office in their efforts to establish a Zenodo “community” for NASA SMD.</x:v>
      </x:c>
      <x:c r="C348" s="12" t="str">
        <x:v>Action item</x:v>
      </x:c>
      <x:c r="D348" s="12" t="str"/>
      <x:c r="E348" s="12" t="str">
        <x:v>Proposed</x:v>
      </x:c>
      <x:c r="F348" s="12" t="str"/>
      <x:c r="G348" s="12" t="str"/>
      <x:c r="H348" s="12" t="str">
        <x:v>Engage with the NASA Chief Science Data Office in their efforts to establish a Zenodo “community” for NASA SMD.</x:v>
      </x:c>
      <x:c r="I348" s="12" t="str"/>
      <x:c r="J348" s="12" t="str">
        <x:v>SRC-0003</x:v>
      </x:c>
      <x:c r="K348" s="12" t="str">
        <x:v>Section: 10.6 New Actions and Recommendations</x:v>
      </x:c>
    </x:row>
    <x:row r="349">
      <x:c r="A349" s="12" t="str">
        <x:v>RSP-0348</x:v>
      </x:c>
      <x:c r="B349" s="12" t="str">
        <x:v>Continue discussions with Thorsten Markus (Cryospheric Sciences Program Scientist) on the idea of doing a review of some DAAC distributed data.</x:v>
      </x:c>
      <x:c r="C349" s="12" t="str">
        <x:v>Action item</x:v>
      </x:c>
      <x:c r="D349" s="12" t="str"/>
      <x:c r="E349" s="12" t="str">
        <x:v>Proposed</x:v>
      </x:c>
      <x:c r="F349" s="12" t="str"/>
      <x:c r="G349" s="12" t="str"/>
      <x:c r="H349" s="12" t="str">
        <x:v>Continue discussions with Thorsten Markus (Cryospheric Sciences Program Scientist) on the idea of doing a review of some DAAC distributed data.</x:v>
      </x:c>
      <x:c r="I349" s="12" t="str"/>
      <x:c r="J349" s="12" t="str">
        <x:v>SRC-0003</x:v>
      </x:c>
      <x:c r="K349" s="12" t="str">
        <x:v>Section: 10.6 New Actions and Recommendations</x:v>
      </x:c>
    </x:row>
    <x:row r="350">
      <x:c r="A350" s="12" t="str">
        <x:v>RSP-0349</x:v>
      </x:c>
      <x:c r="B350" s="12" t="str">
        <x:v>Continue discussions with the Cryospheric Sciences, ESDIS, and ESDS on opportunities to fund important efforts including NSIDC’s ASINA, GLIMS, and NSIDC DAAC passive microwave data production.</x:v>
      </x:c>
      <x:c r="C350" s="12" t="str">
        <x:v>Action item</x:v>
      </x:c>
      <x:c r="D350" s="12" t="str"/>
      <x:c r="E350" s="12" t="str">
        <x:v>Proposed</x:v>
      </x:c>
      <x:c r="F350" s="12" t="str"/>
      <x:c r="G350" s="12" t="str"/>
      <x:c r="H350" s="12" t="str">
        <x:v>Continue discussions with the Cryospheric Sciences, ESDIS, and ESDS on opportunities to fund important efforts including NSIDC’s ASINA, GLIMS, and NSIDC DAAC passive microwave data production.</x:v>
      </x:c>
      <x:c r="I350" s="12" t="str"/>
      <x:c r="J350" s="12" t="str">
        <x:v>SRC-0003</x:v>
      </x:c>
      <x:c r="K350" s="12" t="str">
        <x:v>Section: 10.6 New Actions and Recommendations</x:v>
      </x:c>
    </x:row>
    <x:row r="351">
      <x:c r="A351" s="12" t="str">
        <x:v>RSP-0350</x:v>
      </x:c>
      <x:c r="B351" s="12" t="str">
        <x:v>Investigate adding new members that represent the operational community (e.g., U.S. National Ice Center) or the vegetation community (some ICESat-2 products estimate vegetation-related quantities so community expertise w</x:v>
      </x:c>
      <x:c r="C351" s="12" t="str">
        <x:v>Action item</x:v>
      </x:c>
      <x:c r="D351" s="12" t="str"/>
      <x:c r="E351" s="12" t="str">
        <x:v>Proposed</x:v>
      </x:c>
      <x:c r="F351" s="12" t="str"/>
      <x:c r="G351" s="12" t="str"/>
      <x:c r="H351" s="12" t="str">
        <x:v>Investigate adding new members that represent the operational community (e.g., U.S. National Ice Center) or the vegetation community (some ICESat-2 products estimate vegetation-related quantities so community expertise would be helpful).</x:v>
      </x:c>
      <x:c r="I351" s="12" t="str"/>
      <x:c r="J351" s="12" t="str">
        <x:v>SRC-0003</x:v>
      </x:c>
      <x:c r="K351" s="12" t="str">
        <x:v>Section: 10.6 New Actions and Recommendations</x:v>
      </x:c>
    </x:row>
    <x:row r="352">
      <x:c r="A352" s="12" t="str">
        <x:v>RSP-0351</x:v>
      </x:c>
      <x:c r="B352" s="12" t="str">
        <x:v>UWG suggested including announcement about where and how to access data from Earthdata. The Earthdata browser uses the same search tool, and users can contact ESDIS for any problems they met, and ESDIS will work with us </x:v>
      </x:c>
      <x:c r="C352" s="12" t="str">
        <x:v>Action item</x:v>
      </x:c>
      <x:c r="D352" s="12" t="str"/>
      <x:c r="E352" s="12" t="str">
        <x:v>Proposed</x:v>
      </x:c>
      <x:c r="F352" s="12" t="str"/>
      <x:c r="G352" s="12" t="str"/>
      <x:c r="H352" s="12" t="str">
        <x:v>UWG suggested including announcement about where and how to access data from Earthdata. The Earthdata browser uses the same search tool, and users can contact ESDIS for any problems they met, and ESDIS will work with us to solve the issues. OB.DAAC may need to work with “search and discovery tool” team to make our data more accessible to users. (May 8)</x:v>
      </x:c>
      <x:c r="I352" s="12" t="str"/>
      <x:c r="J352" s="12" t="str">
        <x:v>SRC-0003</x:v>
      </x:c>
      <x:c r="K352" s="12" t="str">
        <x:v>Section: 12.6 New Actions and Recommendations</x:v>
      </x:c>
    </x:row>
    <x:row r="353">
      <x:c r="A353" s="12" t="str">
        <x:v>RSP-0352</x:v>
      </x:c>
      <x:c r="B353" s="12" t="str">
        <x:v>Many PIs already have multiple NASA-related accounts and logins, so it would be nice if NASA could eventually work towards a more unified login approach to consolidate some of these accounts. (September 22)</x:v>
      </x:c>
      <x:c r="C353" s="12" t="str">
        <x:v>Action item</x:v>
      </x:c>
      <x:c r="D353" s="12" t="str"/>
      <x:c r="E353" s="12" t="str">
        <x:v>Proposed</x:v>
      </x:c>
      <x:c r="F353" s="12" t="str"/>
      <x:c r="G353" s="12" t="str"/>
      <x:c r="H353" s="12" t="str">
        <x:v>Many PIs already have multiple NASA-related accounts and logins, so it would be nice if NASA could eventually work towards a more unified login approach to consolidate some of these accounts. (September 22)</x:v>
      </x:c>
      <x:c r="I353" s="12" t="str"/>
      <x:c r="J353" s="12" t="str">
        <x:v>SRC-0003</x:v>
      </x:c>
      <x:c r="K353" s="12" t="str">
        <x:v>Section: 12.6 New Actions and Recommendations</x:v>
      </x:c>
    </x:row>
    <x:row r="354">
      <x:c r="A354" s="12" t="str">
        <x:v>RSP-0353</x:v>
      </x:c>
      <x:c r="B354" s="12" t="str">
        <x:v>Should have a webpage that talks about data distribution especially for the data holding by multiple DAACS, such as SST by PO.DAAC. (May 8)</x:v>
      </x:c>
      <x:c r="C354" s="12" t="str">
        <x:v>Action item</x:v>
      </x:c>
      <x:c r="D354" s="12" t="str"/>
      <x:c r="E354" s="12" t="str">
        <x:v>Proposed</x:v>
      </x:c>
      <x:c r="F354" s="12" t="str"/>
      <x:c r="G354" s="12" t="str"/>
      <x:c r="H354" s="12" t="str">
        <x:v>Should have a webpage that talks about data distribution especially for the data holding by multiple DAACS, such as SST by PO.DAAC. (May 8)</x:v>
      </x:c>
      <x:c r="I354" s="12" t="str"/>
      <x:c r="J354" s="12" t="str">
        <x:v>SRC-0003</x:v>
      </x:c>
      <x:c r="K354" s="12" t="str">
        <x:v>Section: 12.6 New Actions and Recommendations</x:v>
      </x:c>
    </x:row>
    <x:row r="355">
      <x:c r="A355" s="12" t="str">
        <x:v>RSP-0354</x:v>
      </x:c>
      <x:c r="B355" s="12" t="str">
        <x:v>Let users know what data is available. For a particular study interest, provide what kind of data available even those data are from different DAACs, or sample research studies – such as NASA funded research. (May 8)</x:v>
      </x:c>
      <x:c r="C355" s="12" t="str">
        <x:v>Action item</x:v>
      </x:c>
      <x:c r="D355" s="12" t="str"/>
      <x:c r="E355" s="12" t="str">
        <x:v>Proposed</x:v>
      </x:c>
      <x:c r="F355" s="12" t="str"/>
      <x:c r="G355" s="12" t="str"/>
      <x:c r="H355" s="12" t="str">
        <x:v>Let users know what data is available. For a particular study interest, provide what kind of data available even those data are from different DAACs, or sample research studies – such as NASA funded research. (May 8)</x:v>
      </x:c>
      <x:c r="I355" s="12" t="str"/>
      <x:c r="J355" s="12" t="str">
        <x:v>SRC-0003</x:v>
      </x:c>
      <x:c r="K355" s="12" t="str">
        <x:v>Section: 12.6 New Actions and Recommendations</x:v>
      </x:c>
    </x:row>
    <x:row r="356">
      <x:c r="A356" s="12" t="str">
        <x:v>RSP-0355</x:v>
      </x:c>
      <x:c r="B356" s="12" t="str">
        <x:v>Response: There is a tool for this purpose, called Science Discovery Engine (https://science.data.nasa.gov/science-discovery-engine/)</x:v>
      </x:c>
      <x:c r="C356" s="12" t="str">
        <x:v>Action item</x:v>
      </x:c>
      <x:c r="D356" s="12" t="str"/>
      <x:c r="E356" s="12" t="str">
        <x:v>Proposed</x:v>
      </x:c>
      <x:c r="F356" s="12" t="str"/>
      <x:c r="G356" s="12" t="str"/>
      <x:c r="H356" s="12" t="str">
        <x:v>Response: There is a tool for this purpose, called Science Discovery Engine (https://science.data.nasa.gov/science-discovery-engine/)</x:v>
      </x:c>
      <x:c r="I356" s="12" t="str"/>
      <x:c r="J356" s="12" t="str">
        <x:v>SRC-0003</x:v>
      </x:c>
      <x:c r="K356" s="12" t="str">
        <x:v>Section: 12.6 New Actions and Recommendations</x:v>
      </x:c>
    </x:row>
    <x:row r="357">
      <x:c r="A357" s="12" t="str">
        <x:v>RSP-0356</x:v>
      </x:c>
      <x:c r="B357" s="12" t="str">
        <x:v>Add GLIMR page. (May 8, Done)</x:v>
      </x:c>
      <x:c r="C357" s="12" t="str">
        <x:v>Action item</x:v>
      </x:c>
      <x:c r="D357" s="12" t="str"/>
      <x:c r="E357" s="12" t="str">
        <x:v>Proposed</x:v>
      </x:c>
      <x:c r="F357" s="12" t="str"/>
      <x:c r="G357" s="12" t="str"/>
      <x:c r="H357" s="12" t="str">
        <x:v>Add GLIMR page. (May 8, Done)</x:v>
      </x:c>
      <x:c r="I357" s="12" t="str"/>
      <x:c r="J357" s="12" t="str">
        <x:v>SRC-0003</x:v>
      </x:c>
      <x:c r="K357" s="12" t="str">
        <x:v>Section: 12.6 New Actions and Recommendations</x:v>
      </x:c>
    </x:row>
    <x:row r="358">
      <x:c r="A358" s="12" t="str">
        <x:v>RSP-0357</x:v>
      </x:c>
      <x:c r="B358" s="12" t="str">
        <x:v>Optimize the website for mobile accessibility. (May 8, Done)</x:v>
      </x:c>
      <x:c r="C358" s="12" t="str">
        <x:v>Action item</x:v>
      </x:c>
      <x:c r="D358" s="12" t="str"/>
      <x:c r="E358" s="12" t="str">
        <x:v>Proposed</x:v>
      </x:c>
      <x:c r="F358" s="12" t="str"/>
      <x:c r="G358" s="12" t="str"/>
      <x:c r="H358" s="12" t="str">
        <x:v>Optimize the website for mobile accessibility. (May 8, Done)</x:v>
      </x:c>
      <x:c r="I358" s="12" t="str"/>
      <x:c r="J358" s="12" t="str">
        <x:v>SRC-0003</x:v>
      </x:c>
      <x:c r="K358" s="12" t="str">
        <x:v>Section: 12.6 New Actions and Recommendations</x:v>
      </x:c>
    </x:row>
    <x:row r="359">
      <x:c r="A359" s="12" t="str">
        <x:v>RSP-0358</x:v>
      </x:c>
      <x:c r="B359" s="12" t="str">
        <x:v>For ATBDs and documentations on the new website, add links under “Resources” &gt; “Documentation.” NOTE: The ATBDs will ultimately go to APT, where PIs will maintain their algorithms. The future ATBDs will be accessible and</x:v>
      </x:c>
      <x:c r="C359" s="12" t="str">
        <x:v>Action item</x:v>
      </x:c>
      <x:c r="D359" s="12" t="str"/>
      <x:c r="E359" s="12" t="str">
        <x:v>Proposed</x:v>
      </x:c>
      <x:c r="F359" s="12" t="str"/>
      <x:c r="G359" s="12" t="str"/>
      <x:c r="H359" s="12" t="str">
        <x:v>For ATBDs and documentations on the new website, add links under “Resources” &gt; “Documentation.” NOTE: The ATBDs will ultimately go to APT, where PIs will maintain their algorithms. The future ATBDs will be accessible and user friendly. (May 8, September 22, Done)</x:v>
      </x:c>
      <x:c r="I359" s="12" t="str"/>
      <x:c r="J359" s="12" t="str">
        <x:v>SRC-0003</x:v>
      </x:c>
      <x:c r="K359" s="12" t="str">
        <x:v>Section: 12.6 New Actions and Recommendations</x:v>
      </x:c>
    </x:row>
    <x:row r="360">
      <x:c r="A360" s="12" t="str">
        <x:v>RSP-0359</x:v>
      </x:c>
      <x:c r="B360" s="12" t="str">
        <x:v>On new website, update the tabs and links according to users’ feedback. (September 22, Done)</x:v>
      </x:c>
      <x:c r="C360" s="12" t="str">
        <x:v>Action item</x:v>
      </x:c>
      <x:c r="D360" s="12" t="str"/>
      <x:c r="E360" s="12" t="str">
        <x:v>Proposed</x:v>
      </x:c>
      <x:c r="F360" s="12" t="str"/>
      <x:c r="G360" s="12" t="str"/>
      <x:c r="H360" s="12" t="str">
        <x:v>On new website, update the tabs and links according to users’ feedback. (September 22, Done)</x:v>
      </x:c>
      <x:c r="I360" s="12" t="str"/>
      <x:c r="J360" s="12" t="str">
        <x:v>SRC-0003</x:v>
      </x:c>
      <x:c r="K360" s="12" t="str">
        <x:v>Section: 12.6 New Actions and Recommendations</x:v>
      </x:c>
    </x:row>
    <x:row r="361">
      <x:c r="A361" s="12" t="str">
        <x:v>RSP-0360</x:v>
      </x:c>
      <x:c r="B361" s="12" t="str">
        <x:v>Address presence of ARSET on ocean color website. (September 22, Done)</x:v>
      </x:c>
      <x:c r="C361" s="12" t="str">
        <x:v>Action item</x:v>
      </x:c>
      <x:c r="D361" s="12" t="str"/>
      <x:c r="E361" s="12" t="str">
        <x:v>Proposed</x:v>
      </x:c>
      <x:c r="F361" s="12" t="str"/>
      <x:c r="G361" s="12" t="str"/>
      <x:c r="H361" s="12" t="str">
        <x:v>Address presence of ARSET on ocean color website. (September 22, Done)</x:v>
      </x:c>
      <x:c r="I361" s="12" t="str"/>
      <x:c r="J361" s="12" t="str">
        <x:v>SRC-0003</x:v>
      </x:c>
      <x:c r="K361" s="12" t="str">
        <x:v>Section: 12.6 New Actions and Recommendations</x:v>
      </x:c>
    </x:row>
    <x:row r="362">
      <x:c r="A362" s="12" t="str">
        <x:v>RSP-0361</x:v>
      </x:c>
      <x:c r="B362" s="12" t="str">
        <x:v>Add a mission timeline table, and addressed the services and products each mission provides. (September 22, Done)</x:v>
      </x:c>
      <x:c r="C362" s="12" t="str">
        <x:v>Action item</x:v>
      </x:c>
      <x:c r="D362" s="12" t="str"/>
      <x:c r="E362" s="12" t="str">
        <x:v>Proposed</x:v>
      </x:c>
      <x:c r="F362" s="12" t="str"/>
      <x:c r="G362" s="12" t="str"/>
      <x:c r="H362" s="12" t="str">
        <x:v>Add a mission timeline table, and addressed the services and products each mission provides. (September 22, Done)</x:v>
      </x:c>
      <x:c r="I362" s="12" t="str"/>
      <x:c r="J362" s="12" t="str">
        <x:v>SRC-0003</x:v>
      </x:c>
      <x:c r="K362" s="12" t="str">
        <x:v>Section: 12.6 New Actions and Recommendations</x:v>
      </x:c>
    </x:row>
    <x:row r="363">
      <x:c r="A363" s="12" t="str">
        <x:v>RSP-0362</x:v>
      </x:c>
      <x:c r="B363" s="12" t="str">
        <x:v>SeaDAS – do a more careful testing before releasing a new tag. (May 8)</x:v>
      </x:c>
      <x:c r="C363" s="12" t="str">
        <x:v>Action item</x:v>
      </x:c>
      <x:c r="D363" s="12" t="str"/>
      <x:c r="E363" s="12" t="str">
        <x:v>Proposed</x:v>
      </x:c>
      <x:c r="F363" s="12" t="str"/>
      <x:c r="G363" s="12" t="str"/>
      <x:c r="H363" s="12" t="str">
        <x:v>SeaDAS – do a more careful testing before releasing a new tag. (May 8)</x:v>
      </x:c>
      <x:c r="I363" s="12" t="str"/>
      <x:c r="J363" s="12" t="str">
        <x:v>SRC-0003</x:v>
      </x:c>
      <x:c r="K363" s="12" t="str">
        <x:v>Section: 12.6 New Actions and Recommendations</x:v>
      </x:c>
    </x:row>
    <x:row r="364">
      <x:c r="A364" s="12" t="str">
        <x:v>RSP-0363</x:v>
      </x:c>
      <x:c r="B364" s="12" t="str">
        <x:v>SeaDAS – installation has been hard, especially for windows. It causes a lot of extra work for students and teachers. Should seek a way for users to easily use the services without worrying about the installation. (Septe</x:v>
      </x:c>
      <x:c r="C364" s="12" t="str">
        <x:v>Action item</x:v>
      </x:c>
      <x:c r="D364" s="12" t="str"/>
      <x:c r="E364" s="12" t="str">
        <x:v>Proposed</x:v>
      </x:c>
      <x:c r="F364" s="12" t="str"/>
      <x:c r="G364" s="12" t="str"/>
      <x:c r="H364" s="12" t="str">
        <x:v>SeaDAS – installation has been hard, especially for windows. It causes a lot of extra work for students and teachers. Should seek a way for users to easily use the services without worrying about the installation. (September 22)</x:v>
      </x:c>
      <x:c r="I364" s="12" t="str"/>
      <x:c r="J364" s="12" t="str">
        <x:v>SRC-0003</x:v>
      </x:c>
      <x:c r="K364" s="12" t="str">
        <x:v>Section: 12.6 New Actions and Recommendations</x:v>
      </x:c>
    </x:row>
    <x:row r="365">
      <x:c r="A365" s="12" t="str">
        <x:v>RSP-0364</x:v>
      </x:c>
      <x:c r="B365" s="12" t="str">
        <x:v>SeaBASS - it needs more explanation about each dataset, such as the time series. (May 8)</x:v>
      </x:c>
      <x:c r="C365" s="12" t="str">
        <x:v>Action item</x:v>
      </x:c>
      <x:c r="D365" s="12" t="str"/>
      <x:c r="E365" s="12" t="str">
        <x:v>Proposed</x:v>
      </x:c>
      <x:c r="F365" s="12" t="str"/>
      <x:c r="G365" s="12" t="str"/>
      <x:c r="H365" s="12" t="str">
        <x:v>SeaBASS - it needs more explanation about each dataset, such as the time series. (May 8)</x:v>
      </x:c>
      <x:c r="I365" s="12" t="str"/>
      <x:c r="J365" s="12" t="str">
        <x:v>SRC-0003</x:v>
      </x:c>
      <x:c r="K365" s="12" t="str">
        <x:v>Section: 12.6 New Actions and Recommendations</x:v>
      </x:c>
    </x:row>
    <x:row r="366">
      <x:c r="A366" s="12" t="str">
        <x:v>RSP-0365</x:v>
      </x:c>
      <x:c r="B366" s="12" t="str">
        <x:v>Make data browse tools more intuitive and enhance the visualization capabilities (for the OB portal on Earthdata). (May 8, September 22)</x:v>
      </x:c>
      <x:c r="C366" s="12" t="str">
        <x:v>Action item</x:v>
      </x:c>
      <x:c r="D366" s="12" t="str"/>
      <x:c r="E366" s="12" t="str">
        <x:v>Proposed</x:v>
      </x:c>
      <x:c r="F366" s="12" t="str"/>
      <x:c r="G366" s="12" t="str"/>
      <x:c r="H366" s="12" t="str">
        <x:v>Make data browse tools more intuitive and enhance the visualization capabilities (for the OB portal on Earthdata). (May 8, September 22)</x:v>
      </x:c>
      <x:c r="I366" s="12" t="str"/>
      <x:c r="J366" s="12" t="str">
        <x:v>SRC-0003</x:v>
      </x:c>
      <x:c r="K366" s="12" t="str">
        <x:v>Section: 12.6 New Actions and Recommendations</x:v>
      </x:c>
    </x:row>
    <x:row r="367">
      <x:c r="A367" s="12" t="str">
        <x:v>RSP-0366</x:v>
      </x:c>
      <x:c r="B367" s="12" t="str">
        <x:v>DAACs may want to archive the data that is NASA-funded. (May 8)</x:v>
      </x:c>
      <x:c r="C367" s="12" t="str">
        <x:v>Action item</x:v>
      </x:c>
      <x:c r="D367" s="12" t="str"/>
      <x:c r="E367" s="12" t="str">
        <x:v>Proposed</x:v>
      </x:c>
      <x:c r="F367" s="12" t="str"/>
      <x:c r="G367" s="12" t="str"/>
      <x:c r="H367" s="12" t="str">
        <x:v>DAACs may want to archive the data that is NASA-funded. (May 8)</x:v>
      </x:c>
      <x:c r="I367" s="12" t="str"/>
      <x:c r="J367" s="12" t="str">
        <x:v>SRC-0003</x:v>
      </x:c>
      <x:c r="K367" s="12" t="str">
        <x:v>Section: 12.6 New Actions and Recommendations</x:v>
      </x:c>
    </x:row>
    <x:row r="368">
      <x:c r="A368" s="12" t="str">
        <x:v>RSP-0367</x:v>
      </x:c>
      <x:c r="B368" s="12" t="str">
        <x:v>Link data to the mission products’ validation figures to allow users to play around and produce their own figures. (May 8)</x:v>
      </x:c>
      <x:c r="C368" s="12" t="str">
        <x:v>Action item</x:v>
      </x:c>
      <x:c r="D368" s="12" t="str"/>
      <x:c r="E368" s="12" t="str">
        <x:v>Proposed</x:v>
      </x:c>
      <x:c r="F368" s="12" t="str"/>
      <x:c r="G368" s="12" t="str"/>
      <x:c r="H368" s="12" t="str">
        <x:v>Link data to the mission products’ validation figures to allow users to play around and produce their own figures. (May 8)</x:v>
      </x:c>
      <x:c r="I368" s="12" t="str"/>
      <x:c r="J368" s="12" t="str">
        <x:v>SRC-0003</x:v>
      </x:c>
      <x:c r="K368" s="12" t="str">
        <x:v>Section: 12.6 New Actions and Recommendations</x:v>
      </x:c>
    </x:row>
    <x:row r="369">
      <x:c r="A369" s="12" t="str">
        <x:v>RSP-0368</x:v>
      </x:c>
      <x:c r="B369" s="12" t="str">
        <x:v>Concerns: Users find it difficult to access some documents, such as the satellite product validation for particular regions.</x:v>
      </x:c>
      <x:c r="C369" s="12" t="str">
        <x:v>Action item</x:v>
      </x:c>
      <x:c r="D369" s="12" t="str"/>
      <x:c r="E369" s="12" t="str">
        <x:v>Proposed</x:v>
      </x:c>
      <x:c r="F369" s="12" t="str"/>
      <x:c r="G369" s="12" t="str"/>
      <x:c r="H369" s="12" t="str">
        <x:v>Concerns: Users find it difficult to access some documents, such as the satellite product validation for particular regions.</x:v>
      </x:c>
      <x:c r="I369" s="12" t="str"/>
      <x:c r="J369" s="12" t="str">
        <x:v>SRC-0003</x:v>
      </x:c>
      <x:c r="K369" s="12" t="str">
        <x:v>Section: 12.6 New Actions and Recommendations</x:v>
      </x:c>
    </x:row>
    <x:row r="370">
      <x:c r="A370" s="12" t="str">
        <x:v>RSP-0369</x:v>
      </x:c>
      <x:c r="B370" s="12" t="str">
        <x:v>Educating new audiences about availability and accessibility of data, including where to access data and how to use it. (May 8, September 22)</x:v>
      </x:c>
      <x:c r="C370" s="12" t="str">
        <x:v>Action item</x:v>
      </x:c>
      <x:c r="D370" s="12" t="str"/>
      <x:c r="E370" s="12" t="str">
        <x:v>Proposed</x:v>
      </x:c>
      <x:c r="F370" s="12" t="str"/>
      <x:c r="G370" s="12" t="str"/>
      <x:c r="H370" s="12" t="str">
        <x:v>Educating new audiences about availability and accessibility of data, including where to access data and how to use it. (May 8, September 22)</x:v>
      </x:c>
      <x:c r="I370" s="12" t="str"/>
      <x:c r="J370" s="12" t="str">
        <x:v>SRC-0003</x:v>
      </x:c>
      <x:c r="K370" s="12" t="str">
        <x:v>Section: 12.6 New Actions and Recommendations</x:v>
      </x:c>
    </x:row>
    <x:row r="371">
      <x:c r="A371" s="12" t="str">
        <x:v>RSP-0370</x:v>
      </x:c>
      <x:c r="B371" s="12" t="str">
        <x:v>Add case studies in a tutorial/"new to ocean color" section.</x:v>
      </x:c>
      <x:c r="C371" s="12" t="str">
        <x:v>Action item</x:v>
      </x:c>
      <x:c r="D371" s="12" t="str"/>
      <x:c r="E371" s="12" t="str">
        <x:v>Proposed</x:v>
      </x:c>
      <x:c r="F371" s="12" t="str"/>
      <x:c r="G371" s="12" t="str"/>
      <x:c r="H371" s="12" t="str">
        <x:v>Add case studies in a tutorial/"new to ocean color" section.</x:v>
      </x:c>
      <x:c r="I371" s="12" t="str"/>
      <x:c r="J371" s="12" t="str">
        <x:v>SRC-0003</x:v>
      </x:c>
      <x:c r="K371" s="12" t="str">
        <x:v>Section: 12.6 New Actions and Recommendations</x:v>
      </x:c>
    </x:row>
    <x:row r="372">
      <x:c r="A372" s="12" t="str">
        <x:v>RSP-0371</x:v>
      </x:c>
      <x:c r="B372" s="12" t="str">
        <x:v>Use case studies to teach users how to use all tools including how to process data.</x:v>
      </x:c>
      <x:c r="C372" s="12" t="str">
        <x:v>Action item</x:v>
      </x:c>
      <x:c r="D372" s="12" t="str"/>
      <x:c r="E372" s="12" t="str">
        <x:v>Proposed</x:v>
      </x:c>
      <x:c r="F372" s="12" t="str"/>
      <x:c r="G372" s="12" t="str"/>
      <x:c r="H372" s="12" t="str">
        <x:v>Use case studies to teach users how to use all tools including how to process data.</x:v>
      </x:c>
      <x:c r="I372" s="12" t="str"/>
      <x:c r="J372" s="12" t="str">
        <x:v>SRC-0003</x:v>
      </x:c>
      <x:c r="K372" s="12" t="str">
        <x:v>Section: 12.6 New Actions and Recommendations</x:v>
      </x:c>
    </x:row>
    <x:row r="373">
      <x:c r="A373" s="12" t="str">
        <x:v>RSP-0372</x:v>
      </x:c>
      <x:c r="B373" s="12" t="str">
        <x:v>How to use and what users can do with the data.</x:v>
      </x:c>
      <x:c r="C373" s="12" t="str">
        <x:v>Action item</x:v>
      </x:c>
      <x:c r="D373" s="12" t="str"/>
      <x:c r="E373" s="12" t="str">
        <x:v>Proposed</x:v>
      </x:c>
      <x:c r="F373" s="12" t="str"/>
      <x:c r="G373" s="12" t="str"/>
      <x:c r="H373" s="12" t="str">
        <x:v>How to use and what users can do with the data.</x:v>
      </x:c>
      <x:c r="I373" s="12" t="str"/>
      <x:c r="J373" s="12" t="str">
        <x:v>SRC-0003</x:v>
      </x:c>
      <x:c r="K373" s="12" t="str">
        <x:v>Section: 12.6 New Actions and Recommendations</x:v>
      </x:c>
    </x:row>
    <x:row r="374">
      <x:c r="A374" s="12" t="str">
        <x:v>RSP-0373</x:v>
      </x:c>
      <x:c r="B374" s="12" t="str">
        <x:v>Who will pay for the calculation, data analysis and processing in cloud? And how and what should they pay? (May 8)</x:v>
      </x:c>
      <x:c r="C374" s="12" t="str">
        <x:v>Action item</x:v>
      </x:c>
      <x:c r="D374" s="12" t="str"/>
      <x:c r="E374" s="12" t="str">
        <x:v>Proposed</x:v>
      </x:c>
      <x:c r="F374" s="12" t="str"/>
      <x:c r="G374" s="12" t="str"/>
      <x:c r="H374" s="12" t="str">
        <x:v>Who will pay for the calculation, data analysis and processing in cloud? And how and what should they pay? (May 8)</x:v>
      </x:c>
      <x:c r="I374" s="12" t="str"/>
      <x:c r="J374" s="12" t="str">
        <x:v>SRC-0003</x:v>
      </x:c>
      <x:c r="K374" s="12" t="str">
        <x:v>Section: 12.6 New Actions and Recommendations</x:v>
      </x:c>
    </x:row>
    <x:row r="375">
      <x:c r="A375" s="12" t="str">
        <x:v>RSP-0374</x:v>
      </x:c>
      <x:c r="B375" s="12" t="str">
        <x:v>Since credits are limited, it will be helpful to record how to use the data in cloud, and make it clear how much credit each procedure takes to avoid waste of credits. It will also be helpful to explain what the credit i</x:v>
      </x:c>
      <x:c r="C375" s="12" t="str">
        <x:v>Action item</x:v>
      </x:c>
      <x:c r="D375" s="12" t="str"/>
      <x:c r="E375" s="12" t="str">
        <x:v>Proposed</x:v>
      </x:c>
      <x:c r="F375" s="12" t="str"/>
      <x:c r="G375" s="12" t="str"/>
      <x:c r="H375" s="12" t="str">
        <x:v>Since credits are limited, it will be helpful to record how to use the data in cloud, and make it clear how much credit each procedure takes to avoid waste of credits. It will also be helpful to explain what the credit is and what one credit means. (May 8)</x:v>
      </x:c>
      <x:c r="I375" s="12" t="str"/>
      <x:c r="J375" s="12" t="str">
        <x:v>SRC-0003</x:v>
      </x:c>
      <x:c r="K375" s="12" t="str">
        <x:v>Section: 12.6 New Actions and Recommendations</x:v>
      </x:c>
    </x:row>
    <x:row r="376">
      <x:c r="A376" s="12" t="str">
        <x:v>RSP-0375</x:v>
      </x:c>
      <x:c r="B376" s="12" t="str">
        <x:v>Tools to process the data in cloud, such as MATLAB scripts, Python, IDL etc. It will be helpful to show users how to use different scripts in cloud. (May 8, September 22)</x:v>
      </x:c>
      <x:c r="C376" s="12" t="str">
        <x:v>Action item</x:v>
      </x:c>
      <x:c r="D376" s="12" t="str"/>
      <x:c r="E376" s="12" t="str">
        <x:v>Proposed</x:v>
      </x:c>
      <x:c r="F376" s="12" t="str"/>
      <x:c r="G376" s="12" t="str"/>
      <x:c r="H376" s="12" t="str">
        <x:v>Tools to process the data in cloud, such as MATLAB scripts, Python, IDL etc. It will be helpful to show users how to use different scripts in cloud. (May 8, September 22)</x:v>
      </x:c>
      <x:c r="I376" s="12" t="str"/>
      <x:c r="J376" s="12" t="str">
        <x:v>SRC-0003</x:v>
      </x:c>
      <x:c r="K376" s="12" t="str">
        <x:v>Section: 12.6 New Actions and Recommendations</x:v>
      </x:c>
    </x:row>
    <x:row r="377">
      <x:c r="A377" s="12" t="str">
        <x:v>RSP-0376</x:v>
      </x:c>
      <x:c r="B377" s="12" t="str">
        <x:v>Once in the cloud, it will be beneficial if they can keep the selection of different algorithms, key products, key computing abilities – such as the trial of different atmospheric correction schemes, etc. (September 22)</x:v>
      </x:c>
      <x:c r="C377" s="12" t="str">
        <x:v>Action item</x:v>
      </x:c>
      <x:c r="D377" s="12" t="str"/>
      <x:c r="E377" s="12" t="str">
        <x:v>Proposed</x:v>
      </x:c>
      <x:c r="F377" s="12" t="str"/>
      <x:c r="G377" s="12" t="str"/>
      <x:c r="H377" s="12" t="str">
        <x:v>Once in the cloud, it will be beneficial if they can keep the selection of different algorithms, key products, key computing abilities – such as the trial of different atmospheric correction schemes, etc. (September 22)</x:v>
      </x:c>
      <x:c r="I377" s="12" t="str"/>
      <x:c r="J377" s="12" t="str">
        <x:v>SRC-0003</x:v>
      </x:c>
      <x:c r="K377" s="12" t="str">
        <x:v>Section: 12.6 New Actions and Recommendations</x:v>
      </x:c>
    </x:row>
    <x:row r="378">
      <x:c r="A378" s="12" t="str">
        <x:v>RSP-0377</x:v>
      </x:c>
      <x:c r="B378" s="12" t="str">
        <x:v>It will be helpful if the DAAC can provide more services and support in this period. (May 8, September 22)</x:v>
      </x:c>
      <x:c r="C378" s="12" t="str">
        <x:v>Action item</x:v>
      </x:c>
      <x:c r="D378" s="12" t="str"/>
      <x:c r="E378" s="12" t="str">
        <x:v>Proposed</x:v>
      </x:c>
      <x:c r="F378" s="12" t="str"/>
      <x:c r="G378" s="12" t="str"/>
      <x:c r="H378" s="12" t="str">
        <x:v>It will be helpful if the DAAC can provide more services and support in this period. (May 8, September 22)</x:v>
      </x:c>
      <x:c r="I378" s="12" t="str"/>
      <x:c r="J378" s="12" t="str">
        <x:v>SRC-0003</x:v>
      </x:c>
      <x:c r="K378" s="12" t="str">
        <x:v>Section: 12.6 New Actions and Recommendations</x:v>
      </x:c>
    </x:row>
    <x:row r="379">
      <x:c r="A379" s="12" t="str">
        <x:v>RSP-0378</x:v>
      </x:c>
      <x:c r="B379" s="12" t="str">
        <x:v>Seek UWG representation from outside core ocean color research community, e.g. applied science; water quality managers. (May 8)</x:v>
      </x:c>
      <x:c r="C379" s="12" t="str">
        <x:v>Action item</x:v>
      </x:c>
      <x:c r="D379" s="12" t="str"/>
      <x:c r="E379" s="12" t="str">
        <x:v>Proposed</x:v>
      </x:c>
      <x:c r="F379" s="12" t="str"/>
      <x:c r="G379" s="12" t="str"/>
      <x:c r="H379" s="12" t="str">
        <x:v>Seek UWG representation from outside core ocean color research community, e.g. applied science; water quality managers. (May 8)</x:v>
      </x:c>
      <x:c r="I379" s="12" t="str"/>
      <x:c r="J379" s="12" t="str">
        <x:v>SRC-0003</x:v>
      </x:c>
      <x:c r="K379" s="12" t="str">
        <x:v>Section: 12.6 New Actions and Recommendations</x:v>
      </x:c>
    </x:row>
    <x:row r="380">
      <x:c r="A380" s="12" t="str">
        <x:v>RSP-0379</x:v>
      </x:c>
      <x:c r="B380" s="12" t="str">
        <x:v>In future UWG terms, recruit members from other science teams (not ocean color) that also use our website and data.</x:v>
      </x:c>
      <x:c r="C380" s="12" t="str">
        <x:v>Action item</x:v>
      </x:c>
      <x:c r="D380" s="12" t="str"/>
      <x:c r="E380" s="12" t="str">
        <x:v>Proposed</x:v>
      </x:c>
      <x:c r="F380" s="12" t="str"/>
      <x:c r="G380" s="12" t="str"/>
      <x:c r="H380" s="12" t="str">
        <x:v>In future UWG terms, recruit members from other science teams (not ocean color) that also use our website and data.</x:v>
      </x:c>
      <x:c r="I380" s="12" t="str"/>
      <x:c r="J380" s="12" t="str">
        <x:v>SRC-0003</x:v>
      </x:c>
      <x:c r="K380" s="12" t="str">
        <x:v>Section: 12.6 New Actions and Recommendations</x:v>
      </x:c>
    </x:row>
    <x:row r="381">
      <x:c r="A381" s="12" t="str">
        <x:v>RSP-0380</x:v>
      </x:c>
      <x:c r="B381" s="12" t="str">
        <x:v>The following action items were included in an implementation memo that was submitted in response to the UWG meeting report.</x:v>
      </x:c>
      <x:c r="C381" s="12" t="str">
        <x:v>Action item</x:v>
      </x:c>
      <x:c r="D381" s="12" t="str"/>
      <x:c r="E381" s="12" t="str">
        <x:v>Proposed</x:v>
      </x:c>
      <x:c r="F381" s="12" t="str"/>
      <x:c r="G381" s="12" t="str"/>
      <x:c r="H381" s="12" t="str">
        <x:v>The following action items were included in an implementation memo that was submitted in response to the UWG meeting report.</x:v>
      </x:c>
      <x:c r="I381" s="12" t="str"/>
      <x:c r="J381" s="12" t="str">
        <x:v>SRC-0003</x:v>
      </x:c>
      <x:c r="K381" s="12" t="str">
        <x:v>Section: 14.6 New Actions and Recommendations</x:v>
      </x:c>
    </x:row>
    <x:row r="382">
      <x:c r="A382" s="12" t="str">
        <x:v>RSP-0381</x:v>
      </x:c>
      <x:c r="B382" s="12" t="str">
        <x:v>The UWG engaged in an active discussion about the proposed open science workshop in early 2024. Out of this discussion, we have identified the following action items:</x:v>
      </x:c>
      <x:c r="C382" s="12" t="str">
        <x:v>Action item</x:v>
      </x:c>
      <x:c r="D382" s="12" t="str"/>
      <x:c r="E382" s="12" t="str">
        <x:v>Proposed</x:v>
      </x:c>
      <x:c r="F382" s="12" t="str"/>
      <x:c r="G382" s="12" t="str"/>
      <x:c r="H382" s="12" t="str">
        <x:v>The UWG engaged in an active discussion about the proposed open science workshop in early 2024. Out of this discussion, we have identified the following action items:</x:v>
      </x:c>
      <x:c r="I382" s="12" t="str"/>
      <x:c r="J382" s="12" t="str">
        <x:v>SRC-0003</x:v>
      </x:c>
      <x:c r="K382" s="12" t="str">
        <x:v>Section: 14.6 New Actions and Recommendations</x:v>
      </x:c>
    </x:row>
    <x:row r="383">
      <x:c r="A383" s="12" t="str">
        <x:v>RSP-0382</x:v>
      </x:c>
      <x:c r="B383" s="12" t="str">
        <x:v>Action UWG23-01. Develop a draft announcement for the open science workshop, along with a proposed invitation list, including representatives from the UWG and underrepresented communities, to be vetted by the UWG. Status</x:v>
      </x:c>
      <x:c r="C383" s="12" t="str">
        <x:v>Action item</x:v>
      </x:c>
      <x:c r="D383" s="12" t="str"/>
      <x:c r="E383" s="12" t="str">
        <x:v>Proposed</x:v>
      </x:c>
      <x:c r="F383" s="12" t="str"/>
      <x:c r="G383" s="12" t="str"/>
      <x:c r="H383" s="12" t="str">
        <x:v>Action UWG23-01. Develop a draft announcement for the open science workshop, along with a proposed invitation list, including representatives from the UWG and underrepresented communities, to be vetted by the UWG. Status: Ongoing. Target Date: August 2023.</x:v>
      </x:c>
      <x:c r="I383" s="12" t="str"/>
      <x:c r="J383" s="12" t="str">
        <x:v>SRC-0003</x:v>
      </x:c>
      <x:c r="K383" s="12" t="str">
        <x:v>Section: 14.6 New Actions and Recommendations</x:v>
      </x:c>
    </x:row>
    <x:row r="384">
      <x:c r="A384" s="12" t="str">
        <x:v>RSP-0383</x:v>
      </x:c>
      <x:c r="B384" s="12" t="str">
        <x:v>Action UWG23-02. Send invitations to the open science workshop and begin to develop the materials and agenda. Status: Open. Target Date: September 2023.</x:v>
      </x:c>
      <x:c r="C384" s="12" t="str">
        <x:v>Action item</x:v>
      </x:c>
      <x:c r="D384" s="12" t="str"/>
      <x:c r="E384" s="12" t="str">
        <x:v>Proposed</x:v>
      </x:c>
      <x:c r="F384" s="12" t="str"/>
      <x:c r="G384" s="12" t="str"/>
      <x:c r="H384" s="12" t="str">
        <x:v>Action UWG23-02. Send invitations to the open science workshop and begin to develop the materials and agenda. Status: Open. Target Date: September 2023.</x:v>
      </x:c>
      <x:c r="I384" s="12" t="str"/>
      <x:c r="J384" s="12" t="str">
        <x:v>SRC-0003</x:v>
      </x:c>
      <x:c r="K384" s="12" t="str">
        <x:v>Section: 14.6 New Actions and Recommendations</x:v>
      </x:c>
    </x:row>
    <x:row r="385">
      <x:c r="A385" s="12" t="str">
        <x:v>RSP-0384</x:v>
      </x:c>
      <x:c r="B385" s="12" t="str">
        <x:v>Action UWG23-03. Conduct the open science workshop in a hybrid format, possibly in conjunction with the ESIP Federation winter meeting in January 2024, and report back on results. Status: Open. Target Date: next UWG meet</x:v>
      </x:c>
      <x:c r="C385" s="12" t="str">
        <x:v>Action item</x:v>
      </x:c>
      <x:c r="D385" s="12" t="str"/>
      <x:c r="E385" s="12" t="str">
        <x:v>Proposed</x:v>
      </x:c>
      <x:c r="F385" s="12" t="str"/>
      <x:c r="G385" s="12" t="str"/>
      <x:c r="H385" s="12" t="str">
        <x:v>Action UWG23-03. Conduct the open science workshop in a hybrid format, possibly in conjunction with the ESIP Federation winter meeting in January 2024, and report back on results. Status: Open. Target Date: next UWG meeting.</x:v>
      </x:c>
      <x:c r="I385" s="12" t="str"/>
      <x:c r="J385" s="12" t="str">
        <x:v>SRC-0003</x:v>
      </x:c>
      <x:c r="K385" s="12" t="str">
        <x:v>Section: 14.6 New Actions and Recommendations</x:v>
      </x:c>
    </x:row>
    <x:row r="386">
      <x:c r="A386" s="12" t="str">
        <x:v>RSP-0385</x:v>
      </x:c>
      <x:c r="B386" s="12" t="str">
        <x:v>Action UWG23-04. During and after the workshop, explore the possibility of developing a code-sharing hub for users of SEDAC data. Status: Open. Target Date: next UWG meeting.</x:v>
      </x:c>
      <x:c r="C386" s="12" t="str">
        <x:v>Action item</x:v>
      </x:c>
      <x:c r="D386" s="12" t="str"/>
      <x:c r="E386" s="12" t="str">
        <x:v>Proposed</x:v>
      </x:c>
      <x:c r="F386" s="12" t="str"/>
      <x:c r="G386" s="12" t="str"/>
      <x:c r="H386" s="12" t="str">
        <x:v>Action UWG23-04. During and after the workshop, explore the possibility of developing a code-sharing hub for users of SEDAC data. Status: Open. Target Date: next UWG meeting.</x:v>
      </x:c>
      <x:c r="I386" s="12" t="str"/>
      <x:c r="J386" s="12" t="str">
        <x:v>SRC-0003</x:v>
      </x:c>
      <x:c r="K386" s="12" t="str">
        <x:v>Section: 14.6 New Actions and Recommendations</x:v>
      </x:c>
    </x:row>
    <x:row r="387">
      <x:c r="A387" s="12" t="str">
        <x:v>RSP-0386</x:v>
      </x:c>
      <x:c r="B387" s="12" t="str">
        <x:v>The UWG received with interest the reports on activities conducted in response to the July 2022 UWG meeting report, including analysis of SEDAC’s user community and data download and access statistics. There was agreemen</x:v>
      </x:c>
      <x:c r="C387" s="12" t="str">
        <x:v>Action item</x:v>
      </x:c>
      <x:c r="D387" s="12" t="str"/>
      <x:c r="E387" s="12" t="str">
        <x:v>Proposed</x:v>
      </x:c>
      <x:c r="F387" s="12" t="str"/>
      <x:c r="G387" s="12" t="str"/>
      <x:c r="H387" s="12" t="str">
        <x:v>The UWG received with interest the reports on activities conducted in response to the July 2022 UWG meeting report, including analysis of SEDAC’s user community and data download and access statistics. There was agreement that in a next stage, results should be more closely analyzed before further investment is made.</x:v>
      </x:c>
      <x:c r="I387" s="12" t="str"/>
      <x:c r="J387" s="12" t="str">
        <x:v>SRC-0003</x:v>
      </x:c>
      <x:c r="K387" s="12" t="str">
        <x:v>Section: 14.6 New Actions and Recommendations</x:v>
      </x:c>
    </x:row>
    <x:row r="388">
      <x:c r="A388" s="12" t="str">
        <x:v>RSP-0387</x:v>
      </x:c>
      <x:c r="B388" s="12" t="str">
        <x:v>Action UWG23-05. Develop a plan for tracking usage of cloud-based/application programming interface (API) services (i.e., population services such as the Population Estimation Service (PES) or the POPGRID query interface</x:v>
      </x:c>
      <x:c r="C388" s="12" t="str">
        <x:v>Action item</x:v>
      </x:c>
      <x:c r="D388" s="12" t="str"/>
      <x:c r="E388" s="12" t="str">
        <x:v>Proposed</x:v>
      </x:c>
      <x:c r="F388" s="12" t="str"/>
      <x:c r="G388" s="12" t="str"/>
      <x:c r="H388" s="12" t="str">
        <x:v>Action UWG23-05. Develop a plan for tracking usage of cloud-based/application programming interface (API) services (i.e., population services such as the Population Estimation Service (PES) or the POPGRID query interface). Status: Open. Target Date: next UWG telecon.</x:v>
      </x:c>
      <x:c r="I388" s="12" t="str"/>
      <x:c r="J388" s="12" t="str">
        <x:v>SRC-0003</x:v>
      </x:c>
      <x:c r="K388" s="12" t="str">
        <x:v>Section: 14.6 New Actions and Recommendations</x:v>
      </x:c>
    </x:row>
    <x:row r="389">
      <x:c r="A389" s="12" t="str">
        <x:v>RSP-0388</x:v>
      </x:c>
      <x:c r="B389" s="12" t="str">
        <x:v>Action UWG23-06. Reach out to organizations that are repackaging, redistributing or promoting SEDAC data – e.g., the Sub-National Data Archive System for Social and Behavior Data (SUNGEO) and geoQuery from the US Agency </x:v>
      </x:c>
      <x:c r="C389" s="12" t="str">
        <x:v>Action item</x:v>
      </x:c>
      <x:c r="D389" s="12" t="str"/>
      <x:c r="E389" s="12" t="str">
        <x:v>Proposed</x:v>
      </x:c>
      <x:c r="F389" s="12" t="str"/>
      <x:c r="G389" s="12" t="str"/>
      <x:c r="H389" s="12" t="str">
        <x:v>Action UWG23-06. Reach out to organizations that are repackaging, redistributing or promoting SEDAC data – e.g., the Sub-National Data Archive System for Social and Behavior Data (SUNGEO) and geoQuery from the US Agency for International Development (USAID) – for feedback and insight into end-user communities. Status: Open. Target Date: next UWG telecon.</x:v>
      </x:c>
      <x:c r="I389" s="12" t="str"/>
      <x:c r="J389" s="12" t="str">
        <x:v>SRC-0003</x:v>
      </x:c>
      <x:c r="K389" s="12" t="str">
        <x:v>Section: 14.6 New Actions and Recommendations</x:v>
      </x:c>
    </x:row>
    <x:row r="390">
      <x:c r="A390" s="12" t="str">
        <x:v>RSP-0389</x:v>
      </x:c>
      <x:c r="B390" s="12" t="str">
        <x:v>Action UWG23-07. Conduct a deeper analysis of traffic on the SEDAC web site, including possible use of Altmetric attention scores, and cull statistics on web map service requests (e.g., queries of the PES after major dis</x:v>
      </x:c>
      <x:c r="C390" s="12" t="str">
        <x:v>Action item</x:v>
      </x:c>
      <x:c r="D390" s="12" t="str"/>
      <x:c r="E390" s="12" t="str">
        <x:v>Proposed</x:v>
      </x:c>
      <x:c r="F390" s="12" t="str"/>
      <x:c r="G390" s="12" t="str"/>
      <x:c r="H390" s="12" t="str">
        <x:v>Action UWG23-07. Conduct a deeper analysis of traffic on the SEDAC web site, including possible use of Altmetric attention scores, and cull statistics on web map service requests (e.g., queries of the PES after major disasters) to better understand non-academic uses of SEDAC data. Status: Open. Target Date: next UWG telecon.</x:v>
      </x:c>
      <x:c r="I390" s="12" t="str"/>
      <x:c r="J390" s="12" t="str">
        <x:v>SRC-0003</x:v>
      </x:c>
      <x:c r="K390" s="12" t="str">
        <x:v>Section: 14.6 New Actions and Recommendations</x:v>
      </x:c>
    </x:row>
    <x:row r="391">
      <x:c r="A391" s="12" t="str">
        <x:v>RSP-0390</x:v>
      </x:c>
      <x:c r="B391" s="12" t="str">
        <x:v>Action UWG23-08. Review the user community citation analysis, analyze the trends in download statistics, explore attention scores and other metrics (cf. action item 07), and probe more deeply into uses of SEDAC data by a</x:v>
      </x:c>
      <x:c r="C391" s="12" t="str">
        <x:v>Action item</x:v>
      </x:c>
      <x:c r="D391" s="12" t="str"/>
      <x:c r="E391" s="12" t="str">
        <x:v>Proposed</x:v>
      </x:c>
      <x:c r="F391" s="12" t="str"/>
      <x:c r="G391" s="12" t="str"/>
      <x:c r="H391" s="12" t="str">
        <x:v>Action UWG23-08. Review the user community citation analysis, analyze the trends in download statistics, explore attention scores and other metrics (cf. action item 07), and probe more deeply into uses of SEDAC data by applied users, and using this material, develop a report on implications for SEDAC data development activities and potential trajectories for SEDAC data development and use. Status: Open. Target Date: next UWG telecon.</x:v>
      </x:c>
      <x:c r="I391" s="12" t="str"/>
      <x:c r="J391" s="12" t="str">
        <x:v>SRC-0003</x:v>
      </x:c>
      <x:c r="K391" s="12" t="str">
        <x:v>Section: 14.6 New Actions and Recommendations</x:v>
      </x:c>
    </x:row>
    <x:row r="392">
      <x:c r="A392" s="12" t="str">
        <x:v>RSP-0391</x:v>
      </x:c>
      <x:c r="B392" s="12" t="str">
        <x:v>Action UWG23-09. Based on the analyses and inputs gathered in action items 06-08, identify 2-3 specific application areas and associated user communities that could be selected for targeted outreach efforts, and develop </x:v>
      </x:c>
      <x:c r="C392" s="12" t="str">
        <x:v>Action item</x:v>
      </x:c>
      <x:c r="D392" s="12" t="str"/>
      <x:c r="E392" s="12" t="str">
        <x:v>Proposed</x:v>
      </x:c>
      <x:c r="F392" s="12" t="str"/>
      <x:c r="G392" s="12" t="str"/>
      <x:c r="H392" s="12" t="str">
        <x:v>Action UWG23-09. Based on the analyses and inputs gathered in action items 06-08, identify 2-3 specific application areas and associated user communities that could be selected for targeted outreach efforts, and develop initial plans for review and prioritization by the UWG. Status: Open. Target Date: next UWG meeting.</x:v>
      </x:c>
      <x:c r="I392" s="12" t="str"/>
      <x:c r="J392" s="12" t="str">
        <x:v>SRC-0003</x:v>
      </x:c>
      <x:c r="K392" s="12" t="str">
        <x:v>Section: 14.6 New Actions and Recommendations</x:v>
      </x:c>
    </x:row>
    <x:row r="393">
      <x:c r="A393" s="12" t="str">
        <x:v>RSP-0392</x:v>
      </x:c>
      <x:c r="B393" s="12" t="str">
        <x:v>Action UWG23-10. Report on the website update and the status of web unification. Status: Open. Target Date: next UWG telecon.</x:v>
      </x:c>
      <x:c r="C393" s="12" t="str">
        <x:v>Action item</x:v>
      </x:c>
      <x:c r="D393" s="12" t="str"/>
      <x:c r="E393" s="12" t="str">
        <x:v>Proposed</x:v>
      </x:c>
      <x:c r="F393" s="12" t="str"/>
      <x:c r="G393" s="12" t="str"/>
      <x:c r="H393" s="12" t="str">
        <x:v>Action UWG23-10. Report on the website update and the status of web unification. Status: Open. Target Date: next UWG telecon.</x:v>
      </x:c>
      <x:c r="I393" s="12" t="str"/>
      <x:c r="J393" s="12" t="str">
        <x:v>SRC-0003</x:v>
      </x:c>
      <x:c r="K393" s="12" t="str">
        <x:v>Section: 14.6 New Actions and Recommendations</x:v>
      </x:c>
    </x:row>
    <x:row r="394">
      <x:c r="A394" s="12" t="str">
        <x:v>RSP-0393</x:v>
      </x:c>
      <x:c r="B394" s="12" t="str">
        <x:v>Action UWG23-11. Post a notification on SEDAC’s web site of changes in availability of MODIS data along with pointers to substitutes such as the Visible Infrared Imaging Radiometer Suite (VIIRS) as well as Sentinel-2 dat</x:v>
      </x:c>
      <x:c r="C394" s="12" t="str">
        <x:v>Action item</x:v>
      </x:c>
      <x:c r="D394" s="12" t="str"/>
      <x:c r="E394" s="12" t="str">
        <x:v>Proposed</x:v>
      </x:c>
      <x:c r="F394" s="12" t="str"/>
      <x:c r="G394" s="12" t="str"/>
      <x:c r="H394" s="12" t="str">
        <x:v>Action UWG23-11. Post a notification on SEDAC’s web site of changes in availability of MODIS data along with pointers to substitutes such as the Visible Infrared Imaging Radiometer Suite (VIIRS) as well as Sentinel-2 data. Status: Open. Target Date: Next UWG meeting.</x:v>
      </x:c>
      <x:c r="I394" s="12" t="str"/>
      <x:c r="J394" s="12" t="str">
        <x:v>SRC-0003</x:v>
      </x:c>
      <x:c r="K394" s="12" t="str">
        <x:v>Section: 14.6 New Actions and Recommendations</x:v>
      </x:c>
    </x:row>
    <x:row r="395">
      <x:c r="A395" s="12" t="str">
        <x:v>RSP-0394</x:v>
      </x:c>
      <x:c r="B395" s="12" t="str">
        <x:v>Action UWG23-12. Identify SEDAC representatives to participate in new mission design and planning, e.g., for the planned NISAR (NASA-Indian Space Research Organisation (ISRO) Synthetic Aperture Radar) and SBG (Surface Bi</x:v>
      </x:c>
      <x:c r="C395" s="12" t="str">
        <x:v>Action item</x:v>
      </x:c>
      <x:c r="D395" s="12" t="str"/>
      <x:c r="E395" s="12" t="str">
        <x:v>Proposed</x:v>
      </x:c>
      <x:c r="F395" s="12" t="str"/>
      <x:c r="G395" s="12" t="str"/>
      <x:c r="H395" s="12" t="str">
        <x:v>Action UWG23-12. Identify SEDAC representatives to participate in new mission design and planning, e.g., for the planned NISAR (NASA-Indian Space Research Organisation (ISRO) Synthetic Aperture Radar) and SBG (Surface Biology and Geology) missions. Status: Ongoing. Target Date: Next UWG meeting.</x:v>
      </x:c>
      <x:c r="I395" s="12" t="str"/>
      <x:c r="J395" s="12" t="str">
        <x:v>SRC-0003</x:v>
      </x:c>
      <x:c r="K395" s="12" t="str">
        <x:v>Section: 14.6 New Actions and Recommendations</x:v>
      </x:c>
    </x:row>
    <x:row r="396">
      <x:c r="A396" s="12" t="str">
        <x:v>RSP-0395</x:v>
      </x:c>
      <x:c r="B396" s="12" t="str">
        <x:v>Action UWG23-13. Explore ways in which SEDAC could interact with and provide data support to the EJ projects funded by NASA, especially those engaged in participatory mapping or other citizen science efforts. Status: Ong</x:v>
      </x:c>
      <x:c r="C396" s="12" t="str">
        <x:v>Action item</x:v>
      </x:c>
      <x:c r="D396" s="12" t="str"/>
      <x:c r="E396" s="12" t="str">
        <x:v>Proposed</x:v>
      </x:c>
      <x:c r="F396" s="12" t="str"/>
      <x:c r="G396" s="12" t="str"/>
      <x:c r="H396" s="12" t="str">
        <x:v>Action UWG23-13. Explore ways in which SEDAC could interact with and provide data support to the EJ projects funded by NASA, especially those engaged in participatory mapping or other citizen science efforts. Status: Ongoing. Target Date: Next UWG telecon.</x:v>
      </x:c>
      <x:c r="I396" s="12" t="str"/>
      <x:c r="J396" s="12" t="str">
        <x:v>SRC-0003</x:v>
      </x:c>
      <x:c r="K396" s="12" t="str">
        <x:v>Section: 14.6 New Actions and Recommendations</x:v>
      </x:c>
    </x:row>
    <x:row r="397">
      <x:c r="A397" s="12" t="str">
        <x:v>RSP-0396</x:v>
      </x:c>
      <x:c r="B397" s="12" t="str">
        <x:v>Action UWG23-14. Explore possible SEDAC contribution(s) to a potential climate justice data initiative as part of a proposed Environmental and Climate Justice Center within the Columbia Climate School. Status: Ongoing. T</x:v>
      </x:c>
      <x:c r="C397" s="12" t="str">
        <x:v>Action item</x:v>
      </x:c>
      <x:c r="D397" s="12" t="str"/>
      <x:c r="E397" s="12" t="str">
        <x:v>Proposed</x:v>
      </x:c>
      <x:c r="F397" s="12" t="str"/>
      <x:c r="G397" s="12" t="str"/>
      <x:c r="H397" s="12" t="str">
        <x:v>Action UWG23-14. Explore possible SEDAC contribution(s) to a potential climate justice data initiative as part of a proposed Environmental and Climate Justice Center within the Columbia Climate School. Status: Ongoing. Target Date: Next UWG telecon.</x:v>
      </x:c>
      <x:c r="I397" s="12" t="str"/>
      <x:c r="J397" s="12" t="str">
        <x:v>SRC-0003</x:v>
      </x:c>
      <x:c r="K397" s="12" t="str">
        <x:v>Section: 14.6 New Actions and Recommendations</x:v>
      </x:c>
    </x:row>
    <x:row r="398">
      <x:c r="A398" s="12" t="str">
        <x:v>RSP-0397</x:v>
      </x:c>
      <x:c r="B398" s="12" t="str">
        <x:v>UWG members appear to be generally satisfied with the cadence of meetings and telecons, and there is general recognition that a hybrid format is necessary to accommodate busy schedules and professional and personal oblig</x:v>
      </x:c>
      <x:c r="C398" s="12" t="str">
        <x:v>Action item</x:v>
      </x:c>
      <x:c r="D398" s="12" t="str"/>
      <x:c r="E398" s="12" t="str">
        <x:v>Proposed</x:v>
      </x:c>
      <x:c r="F398" s="12" t="str"/>
      <x:c r="G398" s="12" t="str"/>
      <x:c r="H398" s="12" t="str">
        <x:v>UWG members appear to be generally satisfied with the cadence of meetings and telecons, and there is general recognition that a hybrid format is necessary to accommodate busy schedules and professional and personal obligations. Greater effort will be made at the 2024 face-to-face meeting to ensure that hybrid participants are fully integrated, e.g., through a designated monitor of online chat content.</x:v>
      </x:c>
      <x:c r="I398" s="12" t="str"/>
      <x:c r="J398" s="12" t="str">
        <x:v>SRC-0003</x:v>
      </x:c>
      <x:c r="K398" s="12" t="str">
        <x:v>Section: 14.6 New Actions and Recommendations</x:v>
      </x:c>
    </x:row>
    <x:row r="399">
      <x:c r="A399" s="12" t="str">
        <x:v>RSP-0398</x:v>
      </x:c>
      <x:c r="B399" s="12" t="str">
        <x:v>UWG23-15. Work with the UWG Chair, members, and NASA staff to identify a date and agenda for a telecon in the January-March 2024 time frame. Status: Open. Target Date: November 2023.</x:v>
      </x:c>
      <x:c r="C399" s="12" t="str">
        <x:v>Action item</x:v>
      </x:c>
      <x:c r="D399" s="12" t="str"/>
      <x:c r="E399" s="12" t="str">
        <x:v>Proposed</x:v>
      </x:c>
      <x:c r="F399" s="12" t="str"/>
      <x:c r="G399" s="12" t="str"/>
      <x:c r="H399" s="12" t="str">
        <x:v>Action: UWG23-15. Work with the UWG Chair, members, and NASA staff to identify a date and agenda for a telecon in the January-March 2024 time frame. Status: Open. Target Date: November 2023.</x:v>
      </x:c>
      <x:c r="I399" s="12" t="str"/>
      <x:c r="J399" s="12" t="str">
        <x:v>SRC-0003</x:v>
      </x:c>
      <x:c r="K399" s="12" t="str">
        <x:v>Section: 14.6 New Actions and Recommendations</x:v>
      </x:c>
    </x:row>
    <x:row r="400">
      <x:c r="A400" s="12" t="str">
        <x:v>RSP-0399</x:v>
      </x:c>
      <x:c r="B400" s="12" t="str">
        <x:v>UWG23-16. Work with the UWG Chair, members, and NASA staff to identify a date, place and agenda for an in-person meeting in the May-June 2024 time frame. Status: Open. Target Date: January 2024.</x:v>
      </x:c>
      <x:c r="C400" s="12" t="str">
        <x:v>Action item</x:v>
      </x:c>
      <x:c r="D400" s="12" t="str"/>
      <x:c r="E400" s="12" t="str">
        <x:v>Proposed</x:v>
      </x:c>
      <x:c r="F400" s="12" t="str"/>
      <x:c r="G400" s="12" t="str"/>
      <x:c r="H400" s="12" t="str">
        <x:v>Action: UWG23-16. Work with the UWG Chair, members, and NASA staff to identify a date, place and agenda for an in-person meeting in the May-June 2024 time frame. Status: Open. Target Date: January 2024.</x:v>
      </x:c>
      <x:c r="I400" s="12" t="str"/>
      <x:c r="J400" s="12" t="str">
        <x:v>SRC-0003</x:v>
      </x:c>
      <x:c r="K400" s="12" t="str">
        <x:v>Section: 14.6 New Actions and Recommendations</x:v>
      </x:c>
    </x:row>
    <x:row r="401">
      <x:c r="A401" s="12" t="str">
        <x:v>RSP-0400</x:v>
      </x:c>
      <x:c r="B401" s="12" t="str">
        <x:v>UWG23-17. Designate one person to monitor the chat and ensure that remote participants’ views are shared with in-person participants and that their views are integrated as much as possible, and encourage all in-person pa</x:v>
      </x:c>
      <x:c r="C401" s="12" t="str">
        <x:v>Action item</x:v>
      </x:c>
      <x:c r="D401" s="12" t="str"/>
      <x:c r="E401" s="12" t="str">
        <x:v>Proposed</x:v>
      </x:c>
      <x:c r="F401" s="12" t="str"/>
      <x:c r="G401" s="12" t="str"/>
      <x:c r="H401" s="12" t="str">
        <x:v>Action: UWG23-17. Designate one person to monitor the chat and ensure that remote participants’ views are shared with in-person participants and that their views are integrated as much as possible, and encourage all in-person participants to join the Zoom. Status: Open. Target Date: One week before the May-June meeting.</x:v>
      </x:c>
      <x:c r="I401" s="12" t="str"/>
      <x:c r="J401" s="12" t="str">
        <x:v>SRC-0003</x:v>
      </x:c>
      <x:c r="K401" s="12" t="str">
        <x:v>Section: 14.6 New Actions and Recommendations</x:v>
      </x:c>
    </x:row>
    <x:row r="402">
      <x:c r="A402" s="12" t="str">
        <x:v>RSP-0401</x:v>
      </x:c>
      <x:c r="B402" s="12" t="str">
        <x:v>UWG23-18. Work with the UWG Chair and SEDAC’s program scientist to finalize the list of invitations to candidates for the UWG to replace those members whose terms are ending in December 2023, including a candidate with e</x:v>
      </x:c>
      <x:c r="C402" s="12" t="str">
        <x:v>Action item</x:v>
      </x:c>
      <x:c r="D402" s="12" t="str"/>
      <x:c r="E402" s="12" t="str">
        <x:v>Proposed</x:v>
      </x:c>
      <x:c r="F402" s="12" t="str"/>
      <x:c r="G402" s="12" t="str"/>
      <x:c r="H402" s="12" t="str">
        <x:v>Action: UWG23-18. Work with the UWG Chair and SEDAC’s program scientist to finalize the list of invitations to candidates for the UWG to replace those members whose terms are ending in December 2023, including a candidate with expertise in environmental justice and/or indigenous peoples’ data issues. Status: Open. Target Date: September 2023.</x:v>
      </x:c>
      <x:c r="I402" s="12" t="str"/>
      <x:c r="J402" s="12" t="str">
        <x:v>SRC-0003</x:v>
      </x:c>
      <x:c r="K402" s="12" t="str">
        <x:v>Section: 14.6 New Actions and Recommendations</x:v>
      </x:c>
    </x:row>
    <x:row r="403">
      <x:c r="A403" s="12" t="str">
        <x:v>RSP-0402</x:v>
      </x:c>
      <x:c r="B403" s="12" t="str">
        <x:v>The UWG suggests that ASF further enhances communication with user communities on new tools and functionalities of ASF DAAC (Action included).</x:v>
      </x:c>
      <x:c r="C403" s="12" t="str">
        <x:v>Action item</x:v>
      </x:c>
      <x:c r="D403" s="12" t="str"/>
      <x:c r="E403" s="12" t="str">
        <x:v>Proposed</x:v>
      </x:c>
      <x:c r="F403" s="12" t="str"/>
      <x:c r="G403" s="12" t="str"/>
      <x:c r="H403" s="12" t="str">
        <x:v>The UWG suggests that ASF further enhances communication with user communities on new tools and functionalities of ASF DAAC (Action included).</x:v>
      </x:c>
      <x:c r="I403" s="12" t="str"/>
      <x:c r="J403" s="12" t="str">
        <x:v>SRC-0002</x:v>
      </x:c>
      <x:c r="K403" s="12" t="str">
        <x:v>Section: 2.2 Key UWG Suggestions</x:v>
      </x:c>
    </x:row>
    <x:row r="404">
      <x:c r="A404" s="12" t="str">
        <x:v>RSP-0403</x:v>
      </x:c>
      <x:c r="B404" s="12" t="str">
        <x:v>The UWG suggests that ASF works on enhancing engagement with indigenous and other underrepresented communities (Action included).</x:v>
      </x:c>
      <x:c r="C404" s="12" t="str">
        <x:v>Action item</x:v>
      </x:c>
      <x:c r="D404" s="12" t="str"/>
      <x:c r="E404" s="12" t="str">
        <x:v>Proposed</x:v>
      </x:c>
      <x:c r="F404" s="12" t="str"/>
      <x:c r="G404" s="12" t="str"/>
      <x:c r="H404" s="12" t="str">
        <x:v>The UWG suggests that ASF works on enhancing engagement with indigenous and other underrepresented communities (Action included).</x:v>
      </x:c>
      <x:c r="I404" s="12" t="str"/>
      <x:c r="J404" s="12" t="str">
        <x:v>SRC-0002</x:v>
      </x:c>
      <x:c r="K404" s="12" t="str">
        <x:v>Section: 2.2 Key UWG Suggestions</x:v>
      </x:c>
    </x:row>
    <x:row r="405">
      <x:c r="A405" s="12" t="str">
        <x:v>RSP-0404</x:v>
      </x:c>
      <x:c r="B405" s="12" t="str">
        <x:v>The UWG is in favor of Gerald Bawden’s suggestion for an increase in training opportunities (Action included). That said, the UWG commends the excellent work on training and outreach already done at ASF.</x:v>
      </x:c>
      <x:c r="C405" s="12" t="str">
        <x:v>Action item</x:v>
      </x:c>
      <x:c r="D405" s="12" t="str"/>
      <x:c r="E405" s="12" t="str">
        <x:v>Proposed</x:v>
      </x:c>
      <x:c r="F405" s="12" t="str"/>
      <x:c r="G405" s="12" t="str"/>
      <x:c r="H405" s="12" t="str">
        <x:v>The UWG is in favor of Gerald Bawden’s suggestion for an increase in training opportunities (Action included). That said, the UWG commends the excellent work on training and outreach already done at ASF.</x:v>
      </x:c>
      <x:c r="I405" s="12" t="str"/>
      <x:c r="J405" s="12" t="str">
        <x:v>SRC-0002</x:v>
      </x:c>
      <x:c r="K405" s="12" t="str">
        <x:v>Section: 2.2 Key UWG Suggestions</x:v>
      </x:c>
    </x:row>
    <x:row r="406">
      <x:c r="A406" s="12" t="str">
        <x:v>RSP-0405</x:v>
      </x:c>
      <x:c r="B406" s="12" t="str">
        <x:v>The UWG suggests that NASA and ASF reach out to the community in an effort to find and recover additional SIR-A/B/C scenes in the context of SIR data preservation efforts (Action included).</x:v>
      </x:c>
      <x:c r="C406" s="12" t="str">
        <x:v>Action item</x:v>
      </x:c>
      <x:c r="D406" s="12" t="str"/>
      <x:c r="E406" s="12" t="str">
        <x:v>Proposed</x:v>
      </x:c>
      <x:c r="F406" s="12" t="str"/>
      <x:c r="G406" s="12" t="str"/>
      <x:c r="H406" s="12" t="str">
        <x:v>The UWG suggests that NASA and ASF reach out to the community in an effort to find and recover additional SIR-A/B/C scenes in the context of SIR data preservation efforts (Action included).</x:v>
      </x:c>
      <x:c r="I406" s="12" t="str"/>
      <x:c r="J406" s="12" t="str">
        <x:v>SRC-0002</x:v>
      </x:c>
      <x:c r="K406" s="12" t="str">
        <x:v>Section: 2.2 Key UWG Suggestions</x:v>
      </x:c>
    </x:row>
    <x:row r="407">
      <x:c r="A407" s="12" t="str">
        <x:v>RSP-0406</x:v>
      </x:c>
      <x:c r="B407" s="12" t="str">
        <x:v>Share ASF NISAR Community debrief with Sue Owen</x:v>
      </x:c>
      <x:c r="C407" s="12" t="str">
        <x:v>Action item</x:v>
      </x:c>
      <x:c r="D407" s="12" t="str"/>
      <x:c r="E407" s="12" t="str">
        <x:v>Proposed</x:v>
      </x:c>
      <x:c r="F407" s="12" t="str"/>
      <x:c r="G407" s="12" t="str"/>
      <x:c r="H407" s="12" t="str">
        <x:v>Share ASF NISAR Community debrief with Sue Owen</x:v>
      </x:c>
      <x:c r="I407" s="12" t="str"/>
      <x:c r="J407" s="12" t="str">
        <x:v>SRC-0002</x:v>
      </x:c>
      <x:c r="K407" s="12" t="str">
        <x:v>Section: 2.5 Action Items; table row 2</x:v>
      </x:c>
    </x:row>
    <x:row r="408">
      <x:c r="A408" s="12" t="str">
        <x:v>RSP-0407</x:v>
      </x:c>
      <x:c r="B408" s="12" t="str">
        <x:v>Prioritize ALOS-2 ScanSAR from JAXA and increase transfers speeds</x:v>
      </x:c>
      <x:c r="C408" s="12" t="str">
        <x:v>Action item</x:v>
      </x:c>
      <x:c r="D408" s="12" t="str"/>
      <x:c r="E408" s="12" t="str">
        <x:v>Proposed</x:v>
      </x:c>
      <x:c r="F408" s="12" t="str"/>
      <x:c r="G408" s="12" t="str"/>
      <x:c r="H408" s="12" t="str">
        <x:v>Prioritize ALOS-2 ScanSAR from JAXA and increase transfers speeds</x:v>
      </x:c>
      <x:c r="I408" s="12" t="str"/>
      <x:c r="J408" s="12" t="str">
        <x:v>SRC-0002</x:v>
      </x:c>
      <x:c r="K408" s="12" t="str">
        <x:v>Section: 2.5 Action Items; table row 3</x:v>
      </x:c>
    </x:row>
    <x:row r="409">
      <x:c r="A409" s="12" t="str">
        <x:v>RSP-0408</x:v>
      </x:c>
      <x:c r="B409" s="12" t="str">
        <x:v>Expand outreach: newsletter, additional languages…updates (email? - one paragraph); sprint reviews?...keep it quick</x:v>
      </x:c>
      <x:c r="C409" s="12" t="str">
        <x:v>Action item</x:v>
      </x:c>
      <x:c r="D409" s="12" t="str"/>
      <x:c r="E409" s="12" t="str">
        <x:v>Proposed</x:v>
      </x:c>
      <x:c r="F409" s="12" t="str"/>
      <x:c r="G409" s="12" t="str"/>
      <x:c r="H409" s="12" t="str">
        <x:v>Expand outreach: newsletter, additional languages…updates (email? - one paragraph); sprint reviews?...keep it quick</x:v>
      </x:c>
      <x:c r="I409" s="12" t="str"/>
      <x:c r="J409" s="12" t="str">
        <x:v>SRC-0002</x:v>
      </x:c>
      <x:c r="K409" s="12" t="str">
        <x:v>Section: 2.5 Action Items; table row 4</x:v>
      </x:c>
    </x:row>
    <x:row r="410">
      <x:c r="A410" s="12" t="str">
        <x:v>RSP-0409</x:v>
      </x:c>
      <x:c r="B410" s="12" t="str">
        <x:v>Increase training opportunities. It could even be recording existing training. Meet with ARSET or NISAR ST. Systematic look of SAR Training needs. Need a coherent SAR Training approach. Specifically need more cloud train</x:v>
      </x:c>
      <x:c r="C410" s="12" t="str">
        <x:v>Action item</x:v>
      </x:c>
      <x:c r="D410" s="12" t="str"/>
      <x:c r="E410" s="12" t="str">
        <x:v>Proposed</x:v>
      </x:c>
      <x:c r="F410" s="12" t="str"/>
      <x:c r="G410" s="12" t="str"/>
      <x:c r="H410" s="12" t="str">
        <x:v>Increase training opportunities. It could even be recording existing training. Meet with ARSET or NISAR ST. Systematic look of SAR Training needs. Need a coherent SAR Training approach. Specifically need more cloud training. Make them short? (work with others in OpenScapes, ARSET, on methods and distribution)</x:v>
      </x:c>
      <x:c r="I410" s="12" t="str"/>
      <x:c r="J410" s="12" t="str">
        <x:v>SRC-0002</x:v>
      </x:c>
      <x:c r="K410" s="12" t="str">
        <x:v>Section: 2.5 Action Items; table row 5</x:v>
      </x:c>
    </x:row>
    <x:row r="411">
      <x:c r="A411" s="12" t="str">
        <x:v>RSP-0410</x:v>
      </x:c>
      <x:c r="B411" s="12" t="str">
        <x:v>Wave mode / ocean searches / wind speed?</x:v>
      </x:c>
      <x:c r="C411" s="12" t="str">
        <x:v>Action item</x:v>
      </x:c>
      <x:c r="D411" s="12" t="str"/>
      <x:c r="E411" s="12" t="str">
        <x:v>Proposed</x:v>
      </x:c>
      <x:c r="F411" s="12" t="str"/>
      <x:c r="G411" s="12" t="str"/>
      <x:c r="H411" s="12" t="str">
        <x:v>Wave mode / ocean searches / wind speed?</x:v>
      </x:c>
      <x:c r="I411" s="12" t="str"/>
      <x:c r="J411" s="12" t="str">
        <x:v>SRC-0002</x:v>
      </x:c>
      <x:c r="K411" s="12" t="str">
        <x:v>Section: 2.5 Action Items; table row 6</x:v>
      </x:c>
    </x:row>
    <x:row r="412">
      <x:c r="A412" s="12" t="str">
        <x:v>RSP-0411</x:v>
      </x:c>
      <x:c r="B412" s="12" t="str">
        <x:v>Help exploit CSDA data via ASF tools and services</x:v>
      </x:c>
      <x:c r="C412" s="12" t="str">
        <x:v>Action item</x:v>
      </x:c>
      <x:c r="D412" s="12" t="str"/>
      <x:c r="E412" s="12" t="str">
        <x:v>Proposed</x:v>
      </x:c>
      <x:c r="F412" s="12" t="str"/>
      <x:c r="G412" s="12" t="str"/>
      <x:c r="H412" s="12" t="str">
        <x:v>Help exploit CSDA data via ASF tools and services</x:v>
      </x:c>
      <x:c r="I412" s="12" t="str"/>
      <x:c r="J412" s="12" t="str">
        <x:v>SRC-0002</x:v>
      </x:c>
      <x:c r="K412" s="12" t="str">
        <x:v>Section: 2.5 Action Items; table row 7</x:v>
      </x:c>
    </x:row>
    <x:row r="413">
      <x:c r="A413" s="12" t="str">
        <x:v>RSP-0412</x:v>
      </x:c>
      <x:c r="B413" s="12" t="str">
        <x:v>Facilitate TOPS</x:v>
      </x:c>
      <x:c r="C413" s="12" t="str">
        <x:v>Action item</x:v>
      </x:c>
      <x:c r="D413" s="12" t="str"/>
      <x:c r="E413" s="12" t="str">
        <x:v>Proposed</x:v>
      </x:c>
      <x:c r="F413" s="12" t="str"/>
      <x:c r="G413" s="12" t="str"/>
      <x:c r="H413" s="12" t="str">
        <x:v>Facilitate TOPS</x:v>
      </x:c>
      <x:c r="I413" s="12" t="str"/>
      <x:c r="J413" s="12" t="str">
        <x:v>SRC-0002</x:v>
      </x:c>
      <x:c r="K413" s="12" t="str">
        <x:v>Section: 2.5 Action Items; table row 8</x:v>
      </x:c>
    </x:row>
    <x:row r="414">
      <x:c r="A414" s="12" t="str">
        <x:v>RSP-0413</x:v>
      </x:c>
      <x:c r="B414" s="12" t="str">
        <x:v>S-1C data access from ASF in a similar fashion to S-1A/B</x:v>
      </x:c>
      <x:c r="C414" s="12" t="str">
        <x:v>Action item</x:v>
      </x:c>
      <x:c r="D414" s="12" t="str"/>
      <x:c r="E414" s="12" t="str">
        <x:v>Proposed</x:v>
      </x:c>
      <x:c r="F414" s="12" t="str"/>
      <x:c r="G414" s="12" t="str"/>
      <x:c r="H414" s="12" t="str">
        <x:v>S-1C data access from ASF in a similar fashion to S-1A/B</x:v>
      </x:c>
      <x:c r="I414" s="12" t="str"/>
      <x:c r="J414" s="12" t="str">
        <x:v>SRC-0002</x:v>
      </x:c>
      <x:c r="K414" s="12" t="str">
        <x:v>Section: 2.5 Action Items; table row 9</x:v>
      </x:c>
    </x:row>
    <x:row r="415">
      <x:c r="A415" s="12" t="str">
        <x:v>RSP-0414</x:v>
      </x:c>
      <x:c r="B415" s="12" t="str">
        <x:v>Explore synergies with SWOT</x:v>
      </x:c>
      <x:c r="C415" s="12" t="str">
        <x:v>Action item</x:v>
      </x:c>
      <x:c r="D415" s="12" t="str"/>
      <x:c r="E415" s="12" t="str">
        <x:v>Proposed</x:v>
      </x:c>
      <x:c r="F415" s="12" t="str"/>
      <x:c r="G415" s="12" t="str"/>
      <x:c r="H415" s="12" t="str">
        <x:v>Explore synergies with SWOT</x:v>
      </x:c>
      <x:c r="I415" s="12" t="str"/>
      <x:c r="J415" s="12" t="str">
        <x:v>SRC-0002</x:v>
      </x:c>
      <x:c r="K415" s="12" t="str">
        <x:v>Section: 2.5 Action Items; table row 10</x:v>
      </x:c>
    </x:row>
    <x:row r="416">
      <x:c r="A416" s="12" t="str">
        <x:v>RSP-0415</x:v>
      </x:c>
      <x:c r="B416" s="12" t="str">
        <x:v>Evaluate the scientific utility of UMBRA data</x:v>
      </x:c>
      <x:c r="C416" s="12" t="str">
        <x:v>Action item</x:v>
      </x:c>
      <x:c r="D416" s="12" t="str"/>
      <x:c r="E416" s="12" t="str">
        <x:v>Proposed</x:v>
      </x:c>
      <x:c r="F416" s="12" t="str"/>
      <x:c r="G416" s="12" t="str"/>
      <x:c r="H416" s="12" t="str">
        <x:v>Evaluate the scientific utility of UMBRA data</x:v>
      </x:c>
      <x:c r="I416" s="12" t="str"/>
      <x:c r="J416" s="12" t="str">
        <x:v>SRC-0002</x:v>
      </x:c>
      <x:c r="K416" s="12" t="str">
        <x:v>Section: 2.5 Action Items; table row 11</x:v>
      </x:c>
    </x:row>
    <x:row r="417">
      <x:c r="A417" s="12" t="str">
        <x:v>RSP-0416</x:v>
      </x:c>
      <x:c r="B417" s="12" t="str">
        <x:v>Brainstorm ways for ASF and UWG to engage historically underrepresented communities</x:v>
      </x:c>
      <x:c r="C417" s="12" t="str">
        <x:v>Action item</x:v>
      </x:c>
      <x:c r="D417" s="12" t="str"/>
      <x:c r="E417" s="12" t="str">
        <x:v>Proposed</x:v>
      </x:c>
      <x:c r="F417" s="12" t="str"/>
      <x:c r="G417" s="12" t="str"/>
      <x:c r="H417" s="12" t="str">
        <x:v>Brainstorm ways for ASF and UWG to engage historically underrepresented communities</x:v>
      </x:c>
      <x:c r="I417" s="12" t="str"/>
      <x:c r="J417" s="12" t="str">
        <x:v>SRC-0002</x:v>
      </x:c>
      <x:c r="K417" s="12" t="str">
        <x:v>Section: 2.5 Action Items; table row 12</x:v>
      </x:c>
    </x:row>
    <x:row r="418">
      <x:c r="A418" s="12" t="str">
        <x:v>RSP-0417</x:v>
      </x:c>
      <x:c r="B418" s="12" t="str">
        <x:v>RTC at native resolution and multiple outputs (gamma0, sigma0, etc.)</x:v>
      </x:c>
      <x:c r="C418" s="12" t="str">
        <x:v>Action item</x:v>
      </x:c>
      <x:c r="D418" s="12" t="str"/>
      <x:c r="E418" s="12" t="str">
        <x:v>Proposed</x:v>
      </x:c>
      <x:c r="F418" s="12" t="str"/>
      <x:c r="G418" s="12" t="str"/>
      <x:c r="H418" s="12" t="str">
        <x:v>RTC at native resolution and multiple outputs (gamma0, sigma0, etc.)</x:v>
      </x:c>
      <x:c r="I418" s="12" t="str"/>
      <x:c r="J418" s="12" t="str">
        <x:v>SRC-0002</x:v>
      </x:c>
      <x:c r="K418" s="12" t="str">
        <x:v>Section: 2.5 Action Items; table row 13</x:v>
      </x:c>
    </x:row>
    <x:row r="419">
      <x:c r="A419" s="12" t="str">
        <x:v>RSP-0418</x:v>
      </x:c>
      <x:c r="B419" s="12" t="str">
        <x:v>Attend Association of State Geologists</x:v>
      </x:c>
      <x:c r="C419" s="12" t="str">
        <x:v>Action item</x:v>
      </x:c>
      <x:c r="D419" s="12" t="str"/>
      <x:c r="E419" s="12" t="str">
        <x:v>Proposed</x:v>
      </x:c>
      <x:c r="F419" s="12" t="str"/>
      <x:c r="G419" s="12" t="str"/>
      <x:c r="H419" s="12" t="str">
        <x:v>Attend Association of State Geologists</x:v>
      </x:c>
      <x:c r="I419" s="12" t="str"/>
      <x:c r="J419" s="12" t="str">
        <x:v>SRC-0002</x:v>
      </x:c>
      <x:c r="K419" s="12" t="str">
        <x:v>Section: 2.5 Action Items; table row 14</x:v>
      </x:c>
    </x:row>
    <x:row r="420">
      <x:c r="A420" s="12" t="str">
        <x:v>RSP-0419</x:v>
      </x:c>
      <x:c r="B420" s="12" t="str">
        <x:v>Make ASF tools and services to work with all ASF platforms</x:v>
      </x:c>
      <x:c r="C420" s="12" t="str">
        <x:v>Action item</x:v>
      </x:c>
      <x:c r="D420" s="12" t="str"/>
      <x:c r="E420" s="12" t="str">
        <x:v>Proposed</x:v>
      </x:c>
      <x:c r="F420" s="12" t="str"/>
      <x:c r="G420" s="12" t="str"/>
      <x:c r="H420" s="12" t="str">
        <x:v>Make ASF tools and services to work with all ASF platforms</x:v>
      </x:c>
      <x:c r="I420" s="12" t="str"/>
      <x:c r="J420" s="12" t="str">
        <x:v>SRC-0002</x:v>
      </x:c>
      <x:c r="K420" s="12" t="str">
        <x:v>Section: 2.5 Action Items; table row 15</x:v>
      </x:c>
    </x:row>
    <x:row r="421">
      <x:c r="A421" s="12" t="str">
        <x:v>RSP-0420</x:v>
      </x:c>
      <x:c r="B421" s="12" t="str">
        <x:v>Explore working with WInSAR to gain access to ERS-1 &amp; 2 data products</x:v>
      </x:c>
      <x:c r="C421" s="12" t="str">
        <x:v>Action item</x:v>
      </x:c>
      <x:c r="D421" s="12" t="str"/>
      <x:c r="E421" s="12" t="str">
        <x:v>Proposed</x:v>
      </x:c>
      <x:c r="F421" s="12" t="str"/>
      <x:c r="G421" s="12" t="str"/>
      <x:c r="H421" s="12" t="str">
        <x:v>Explore working with WInSAR to gain access to ERS-1 &amp; 2 data products</x:v>
      </x:c>
      <x:c r="I421" s="12" t="str"/>
      <x:c r="J421" s="12" t="str">
        <x:v>SRC-0002</x:v>
      </x:c>
      <x:c r="K421" s="12" t="str">
        <x:v>Section: 2.5 Action Items; table row 16</x:v>
      </x:c>
    </x:row>
    <x:row r="422">
      <x:c r="A422" s="12" t="str">
        <x:v>RSP-0421</x:v>
      </x:c>
      <x:c r="B422" s="12" t="str">
        <x:v>Prioritize NISAR S-Band</x:v>
      </x:c>
      <x:c r="C422" s="12" t="str">
        <x:v>Action item</x:v>
      </x:c>
      <x:c r="D422" s="12" t="str"/>
      <x:c r="E422" s="12" t="str">
        <x:v>Proposed</x:v>
      </x:c>
      <x:c r="F422" s="12" t="str"/>
      <x:c r="G422" s="12" t="str"/>
      <x:c r="H422" s="12" t="str">
        <x:v>Prioritize NISAR S-Band</x:v>
      </x:c>
      <x:c r="I422" s="12" t="str"/>
      <x:c r="J422" s="12" t="str">
        <x:v>SRC-0002</x:v>
      </x:c>
      <x:c r="K422" s="12" t="str">
        <x:v>Section: 2.5 Action Items; table row 17</x:v>
      </x:c>
    </x:row>
    <x:row r="423">
      <x:c r="A423" s="12" t="str">
        <x:v>RSP-0422</x:v>
      </x:c>
      <x:c r="B423" s="12" t="str">
        <x:v>Explore possibility of using NRO Lacrosse dataset</x:v>
      </x:c>
      <x:c r="C423" s="12" t="str">
        <x:v>Action item</x:v>
      </x:c>
      <x:c r="D423" s="12" t="str"/>
      <x:c r="E423" s="12" t="str">
        <x:v>Proposed</x:v>
      </x:c>
      <x:c r="F423" s="12" t="str"/>
      <x:c r="G423" s="12" t="str"/>
      <x:c r="H423" s="12" t="str">
        <x:v>Explore possibility of using NRO Lacrosse dataset</x:v>
      </x:c>
      <x:c r="I423" s="12" t="str"/>
      <x:c r="J423" s="12" t="str">
        <x:v>SRC-0002</x:v>
      </x:c>
      <x:c r="K423" s="12" t="str">
        <x:v>Section: 2.5 Action Items; table row 18</x:v>
      </x:c>
    </x:row>
    <x:row r="424">
      <x:c r="A424" s="12" t="str">
        <x:v>RSP-0423</x:v>
      </x:c>
      <x:c r="B424" s="12" t="str">
        <x:v>Explore ALOS-4 data access</x:v>
      </x:c>
      <x:c r="C424" s="12" t="str">
        <x:v>Action item</x:v>
      </x:c>
      <x:c r="D424" s="12" t="str"/>
      <x:c r="E424" s="12" t="str">
        <x:v>Proposed</x:v>
      </x:c>
      <x:c r="F424" s="12" t="str"/>
      <x:c r="G424" s="12" t="str"/>
      <x:c r="H424" s="12" t="str">
        <x:v>Explore ALOS-4 data access</x:v>
      </x:c>
      <x:c r="I424" s="12" t="str"/>
      <x:c r="J424" s="12" t="str">
        <x:v>SRC-0002</x:v>
      </x:c>
      <x:c r="K424" s="12" t="str">
        <x:v>Section: 2.5 Action Items; table row 19</x:v>
      </x:c>
    </x:row>
    <x:row r="425">
      <x:c r="A425" s="12" t="str">
        <x:v>RSP-0424</x:v>
      </x:c>
      <x:c r="B425" s="12" t="str">
        <x:v>Work with DAAC managers and ESDIS to provide definition of SEC</x:v>
      </x:c>
      <x:c r="C425" s="12" t="str">
        <x:v>Action item</x:v>
      </x:c>
      <x:c r="D425" s="12" t="str"/>
      <x:c r="E425" s="12" t="str">
        <x:v>Proposed</x:v>
      </x:c>
      <x:c r="F425" s="12" t="str"/>
      <x:c r="G425" s="12" t="str"/>
      <x:c r="H425" s="12" t="str">
        <x:v>Work with DAAC managers and ESDIS to provide definition of SEC</x:v>
      </x:c>
      <x:c r="I425" s="12" t="str"/>
      <x:c r="J425" s="12" t="str">
        <x:v>SRC-0002</x:v>
      </x:c>
      <x:c r="K425" s="12" t="str">
        <x:v>Section: 2.5 Action Items; table row 20</x:v>
      </x:c>
    </x:row>
    <x:row r="426">
      <x:c r="A426" s="12" t="str">
        <x:v>RSP-0425</x:v>
      </x:c>
      <x:c r="B426" s="12" t="str">
        <x:v>Github video tutorial for OSL. Sharing code in OSL and Hyp3 is hard</x:v>
      </x:c>
      <x:c r="C426" s="12" t="str">
        <x:v>Action item</x:v>
      </x:c>
      <x:c r="D426" s="12" t="str"/>
      <x:c r="E426" s="12" t="str">
        <x:v>Proposed</x:v>
      </x:c>
      <x:c r="F426" s="12" t="str"/>
      <x:c r="G426" s="12" t="str"/>
      <x:c r="H426" s="12" t="str">
        <x:v>Github video tutorial for OSL. Sharing code in OSL and Hyp3 is hard</x:v>
      </x:c>
      <x:c r="I426" s="12" t="str"/>
      <x:c r="J426" s="12" t="str">
        <x:v>SRC-0002</x:v>
      </x:c>
      <x:c r="K426" s="12" t="str">
        <x:v>Section: 2.5 Action Items; table row 21</x:v>
      </x:c>
    </x:row>
    <x:row r="427">
      <x:c r="A427" s="12" t="str">
        <x:v>RSP-0426</x:v>
      </x:c>
      <x:c r="B427" s="12" t="str">
        <x:v>Attach shuttle photographs to SIR-C data products (Steve has them on his website as well)</x:v>
      </x:c>
      <x:c r="C427" s="12" t="str">
        <x:v>Action item</x:v>
      </x:c>
      <x:c r="D427" s="12" t="str"/>
      <x:c r="E427" s="12" t="str">
        <x:v>Proposed</x:v>
      </x:c>
      <x:c r="F427" s="12" t="str"/>
      <x:c r="G427" s="12" t="str"/>
      <x:c r="H427" s="12" t="str">
        <x:v>Attach shuttle photographs to SIR-C data products (Steve has them on his website as well)</x:v>
      </x:c>
      <x:c r="I427" s="12" t="str"/>
      <x:c r="J427" s="12" t="str">
        <x:v>SRC-0002</x:v>
      </x:c>
      <x:c r="K427" s="12" t="str">
        <x:v>Section: 2.5 Action Items; table row 22</x:v>
      </x:c>
    </x:row>
    <x:row r="428">
      <x:c r="A428" s="12" t="str">
        <x:v>RSP-0427</x:v>
      </x:c>
      <x:c r="B428" s="12" t="str">
        <x:v>Send email out to science community asking if scientists have SIR-A/B/C data</x:v>
      </x:c>
      <x:c r="C428" s="12" t="str">
        <x:v>Action item</x:v>
      </x:c>
      <x:c r="D428" s="12" t="str"/>
      <x:c r="E428" s="12" t="str">
        <x:v>Proposed</x:v>
      </x:c>
      <x:c r="F428" s="12" t="str"/>
      <x:c r="G428" s="12" t="str"/>
      <x:c r="H428" s="12" t="str">
        <x:v>Send email out to science community asking if scientists have SIR-A/B/C data</x:v>
      </x:c>
      <x:c r="I428" s="12" t="str"/>
      <x:c r="J428" s="12" t="str">
        <x:v>SRC-0002</x:v>
      </x:c>
      <x:c r="K428" s="12" t="str">
        <x:v>Section: 2.5 Action Items; table row 23</x:v>
      </x:c>
    </x:row>
    <x:row r="429">
      <x:c r="A429" s="12" t="str">
        <x:v>RSP-0428</x:v>
      </x:c>
      <x:c r="B429" s="12" t="str">
        <x:v>Karen Michael and Sean Helfrich agreed to schedule a follow-up meeting to explore how synergies between CoastWatch and LANCE might be leveraged. Sean will invite the CoastWatch Director, Veronica Lance to the meeting.</x:v>
      </x:c>
      <x:c r="C429" s="12" t="str">
        <x:v>Action item</x:v>
      </x:c>
      <x:c r="D429" s="12" t="str"/>
      <x:c r="E429" s="12" t="str">
        <x:v>Proposed</x:v>
      </x:c>
      <x:c r="F429" s="12" t="str"/>
      <x:c r="G429" s="12" t="str"/>
      <x:c r="H429" s="12" t="str">
        <x:v>Karen Michael and Sean Helfrich agreed to schedule a follow-up meeting to explore how synergies between CoastWatch and LANCE might be leveraged. Sean will invite the CoastWatch Director, Veronica Lance to the meeting.</x:v>
      </x:c>
      <x:c r="I429" s="12" t="str"/>
      <x:c r="J429" s="12" t="str">
        <x:v>SRC-0002</x:v>
      </x:c>
      <x:c r="K429" s="12" t="str">
        <x:v>Section: 6.1.5 Actions and Recommendations</x:v>
      </x:c>
    </x:row>
    <x:row r="430">
      <x:c r="A430" s="12" t="str">
        <x:v>RSP-0429</x:v>
      </x:c>
      <x:c r="B430" s="12" t="str">
        <x:v>David Green recommended that LANCE UWG engage with NGOs to collect user needs.</x:v>
      </x:c>
      <x:c r="C430" s="12" t="str">
        <x:v>Action item</x:v>
      </x:c>
      <x:c r="D430" s="12" t="str"/>
      <x:c r="E430" s="12" t="str">
        <x:v>Proposed</x:v>
      </x:c>
      <x:c r="F430" s="12" t="str"/>
      <x:c r="G430" s="12" t="str"/>
      <x:c r="H430" s="12" t="str">
        <x:v>David Green recommended that LANCE UWG engage with NGOs to collect user needs.</x:v>
      </x:c>
      <x:c r="I430" s="12" t="str"/>
      <x:c r="J430" s="12" t="str">
        <x:v>SRC-0002</x:v>
      </x:c>
      <x:c r="K430" s="12" t="str">
        <x:v>Section: 6.1.5 Actions and Recommendations</x:v>
      </x:c>
    </x:row>
    <x:row r="431">
      <x:c r="A431" s="12" t="str">
        <x:v>RSP-0430</x:v>
      </x:c>
      <x:c r="B431" s="12" t="str">
        <x:v>David Green recommended that the Wildfire Program and LANCE address what should be done collectively over the next 5 years.</x:v>
      </x:c>
      <x:c r="C431" s="12" t="str">
        <x:v>Action item</x:v>
      </x:c>
      <x:c r="D431" s="12" t="str"/>
      <x:c r="E431" s="12" t="str">
        <x:v>Proposed</x:v>
      </x:c>
      <x:c r="F431" s="12" t="str"/>
      <x:c r="G431" s="12" t="str"/>
      <x:c r="H431" s="12" t="str">
        <x:v>David Green recommended that the Wildfire Program and LANCE address what should be done collectively over the next 5 years.</x:v>
      </x:c>
      <x:c r="I431" s="12" t="str"/>
      <x:c r="J431" s="12" t="str">
        <x:v>SRC-0002</x:v>
      </x:c>
      <x:c r="K431" s="12" t="str">
        <x:v>Section: 6.1.5 Actions and Recommendations</x:v>
      </x:c>
    </x:row>
    <x:row r="432">
      <x:c r="A432" s="12" t="str">
        <x:v>RSP-0431</x:v>
      </x:c>
      <x:c r="B432" s="12" t="str">
        <x:v>Christine Lee asked that the UWG take an action to identify additional needs or questions regarding NISAR data latency.</x:v>
      </x:c>
      <x:c r="C432" s="12" t="str">
        <x:v>Action item</x:v>
      </x:c>
      <x:c r="D432" s="12" t="str"/>
      <x:c r="E432" s="12" t="str">
        <x:v>Proposed</x:v>
      </x:c>
      <x:c r="F432" s="12" t="str"/>
      <x:c r="G432" s="12" t="str"/>
      <x:c r="H432" s="12" t="str">
        <x:v>Christine Lee asked that the UWG take an action to identify additional needs or questions regarding NISAR data latency.</x:v>
      </x:c>
      <x:c r="I432" s="12" t="str"/>
      <x:c r="J432" s="12" t="str">
        <x:v>SRC-0002</x:v>
      </x:c>
      <x:c r="K432" s="12" t="str">
        <x:v>Section: 6.1.5 Actions and Recommendations</x:v>
      </x:c>
    </x:row>
    <x:row r="433">
      <x:c r="A433" s="12" t="str">
        <x:v>RSP-0432</x:v>
      </x:c>
      <x:c r="B433" s="12" t="str">
        <x:v>Robert Wolfe requested the LANCE UWG evaluate the impact of switching off Terra and Aqua. Concerns should be voiced by both the LANCE UWG and the Satellite Needs Working Group (SNWG). UWG members should consider:</x:v>
      </x:c>
      <x:c r="C433" s="12" t="str">
        <x:v>Action item</x:v>
      </x:c>
      <x:c r="D433" s="12" t="str"/>
      <x:c r="E433" s="12" t="str">
        <x:v>Proposed</x:v>
      </x:c>
      <x:c r="F433" s="12" t="str"/>
      <x:c r="G433" s="12" t="str"/>
      <x:c r="H433" s="12" t="str">
        <x:v>Robert Wolfe requested the LANCE UWG evaluate the impact of switching off Terra and Aqua. Concerns should be voiced by both the LANCE UWG and the Satellite Needs Working Group (SNWG). UWG members should consider:</x:v>
      </x:c>
      <x:c r="I433" s="12" t="str"/>
      <x:c r="J433" s="12" t="str">
        <x:v>SRC-0002</x:v>
      </x:c>
      <x:c r="K433" s="12" t="str">
        <x:v>Section: 6.1.5 Actions and Recommendations</x:v>
      </x:c>
    </x:row>
    <x:row r="434">
      <x:c r="A434" s="12" t="str">
        <x:v>RSP-0433</x:v>
      </x:c>
      <x:c r="B434" s="12" t="str">
        <x:v>Making a strong case for MODIS Terra (AM) Land product continuity needs.</x:v>
      </x:c>
      <x:c r="C434" s="12" t="str">
        <x:v>Action item</x:v>
      </x:c>
      <x:c r="D434" s="12" t="str"/>
      <x:c r="E434" s="12" t="str">
        <x:v>Proposed</x:v>
      </x:c>
      <x:c r="F434" s="12" t="str"/>
      <x:c r="G434" s="12" t="str"/>
      <x:c r="H434" s="12" t="str">
        <x:v>Making a strong case for MODIS Terra (AM) Land product continuity needs.</x:v>
      </x:c>
      <x:c r="I434" s="12" t="str"/>
      <x:c r="J434" s="12" t="str">
        <x:v>SRC-0002</x:v>
      </x:c>
      <x:c r="K434" s="12" t="str">
        <x:v>Section: 6.1.5 Actions and Recommendations</x:v>
      </x:c>
    </x:row>
    <x:row r="435">
      <x:c r="A435" s="12" t="str">
        <x:v>RSP-0434</x:v>
      </x:c>
      <x:c r="B435" s="12" t="str">
        <x:v>Notifying users.</x:v>
      </x:c>
      <x:c r="C435" s="12" t="str">
        <x:v>Action item</x:v>
      </x:c>
      <x:c r="D435" s="12" t="str"/>
      <x:c r="E435" s="12" t="str">
        <x:v>Proposed</x:v>
      </x:c>
      <x:c r="F435" s="12" t="str"/>
      <x:c r="G435" s="12" t="str"/>
      <x:c r="H435" s="12" t="str">
        <x:v>Notifying users.</x:v>
      </x:c>
      <x:c r="I435" s="12" t="str"/>
      <x:c r="J435" s="12" t="str">
        <x:v>SRC-0002</x:v>
      </x:c>
      <x:c r="K435" s="12" t="str">
        <x:v>Section: 6.1.5 Actions and Recommendations</x:v>
      </x:c>
    </x:row>
    <x:row r="436">
      <x:c r="A436" s="12" t="str">
        <x:v>RSP-0435</x:v>
      </x:c>
      <x:c r="B436" s="12" t="str">
        <x:v>Miguel asked the UWG to consider how AI/ML might be applied to LANCE/NRT.</x:v>
      </x:c>
      <x:c r="C436" s="12" t="str">
        <x:v>Action item</x:v>
      </x:c>
      <x:c r="D436" s="12" t="str"/>
      <x:c r="E436" s="12" t="str">
        <x:v>Proposed</x:v>
      </x:c>
      <x:c r="F436" s="12" t="str"/>
      <x:c r="G436" s="12" t="str"/>
      <x:c r="H436" s="12" t="str">
        <x:v>Miguel asked the UWG to consider how AI/ML might be applied to LANCE/NRT.</x:v>
      </x:c>
      <x:c r="I436" s="12" t="str"/>
      <x:c r="J436" s="12" t="str">
        <x:v>SRC-0002</x:v>
      </x:c>
      <x:c r="K436" s="12" t="str">
        <x:v>Section: 6.1.5 Actions and Recommendations</x:v>
      </x:c>
    </x:row>
    <x:row r="437">
      <x:c r="A437" s="12" t="str">
        <x:v>RSP-0436</x:v>
      </x:c>
      <x:c r="B437" s="12" t="str">
        <x:v>Arlindo asked if LANCE would consider facilitating the implementation of NRT GEO aerosol data. Diane/Karen to follow up.</x:v>
      </x:c>
      <x:c r="C437" s="12" t="str">
        <x:v>Action item</x:v>
      </x:c>
      <x:c r="D437" s="12" t="str"/>
      <x:c r="E437" s="12" t="str">
        <x:v>Proposed</x:v>
      </x:c>
      <x:c r="F437" s="12" t="str"/>
      <x:c r="G437" s="12" t="str"/>
      <x:c r="H437" s="12" t="str">
        <x:v>Arlindo asked if LANCE would consider facilitating the implementation of NRT GEO aerosol data. Diane/Karen to follow up.</x:v>
      </x:c>
      <x:c r="I437" s="12" t="str"/>
      <x:c r="J437" s="12" t="str">
        <x:v>SRC-0002</x:v>
      </x:c>
      <x:c r="K437" s="12" t="str">
        <x:v>Section: 6.1.5 Actions and Recommendations</x:v>
      </x:c>
    </x:row>
    <x:row r="438">
      <x:c r="A438" s="12" t="str">
        <x:v>RSP-0437</x:v>
      </x:c>
      <x:c r="B438" s="12" t="str">
        <x:v>Ryan Boller asked UWG members to let him know if they want to test the final GIBS/Worldview Granule/Swath Visualization prototype.</x:v>
      </x:c>
      <x:c r="C438" s="12" t="str">
        <x:v>Action item</x:v>
      </x:c>
      <x:c r="D438" s="12" t="str"/>
      <x:c r="E438" s="12" t="str">
        <x:v>Proposed</x:v>
      </x:c>
      <x:c r="F438" s="12" t="str"/>
      <x:c r="G438" s="12" t="str"/>
      <x:c r="H438" s="12" t="str">
        <x:v>Ryan Boller asked UWG members to let him know if they want to test the final GIBS/Worldview Granule/Swath Visualization prototype.</x:v>
      </x:c>
      <x:c r="I438" s="12" t="str"/>
      <x:c r="J438" s="12" t="str">
        <x:v>SRC-0002</x:v>
      </x:c>
      <x:c r="K438" s="12" t="str">
        <x:v>Section: 6.1.5 Actions and Recommendations</x:v>
      </x:c>
    </x:row>
    <x:row r="439">
      <x:c r="A439" s="12" t="str">
        <x:v>RSP-0438</x:v>
      </x:c>
      <x:c r="B439" s="12" t="str">
        <x:v>The NASA Sentinel Gateway currently acquires the OLCI NRT data, and distributes it to the OB.DAAC in less than 3 hours from observation. If requested, the SLSTR NRT data can also be acquired and distributed by the NSG in</x:v>
      </x:c>
      <x:c r="C439" s="12" t="str">
        <x:v>Action item</x:v>
      </x:c>
      <x:c r="D439" s="12" t="str"/>
      <x:c r="E439" s="12" t="str">
        <x:v>Proposed</x:v>
      </x:c>
      <x:c r="F439" s="12" t="str"/>
      <x:c r="G439" s="12" t="str"/>
      <x:c r="H439" s="12" t="str">
        <x:v>The NASA Sentinel Gateway currently acquires the OLCI NRT data, and distributes it to the OB.DAAC in less than 3 hours from observation. If requested, the SLSTR NRT data can also be acquired and distributed by the NSG in less than 3 hours from observation.</x:v>
      </x:c>
      <x:c r="I439" s="12" t="str"/>
      <x:c r="J439" s="12" t="str">
        <x:v>SRC-0002</x:v>
      </x:c>
      <x:c r="K439" s="12" t="str">
        <x:v>Section: 6.1.5 Actions and Recommendations</x:v>
      </x:c>
    </x:row>
    <x:row r="440">
      <x:c r="A440" s="12" t="str">
        <x:v>RSP-0439</x:v>
      </x:c>
      <x:c r="B440" s="12" t="str">
        <x:v>Look into what can be done in the way of additional training.</x:v>
      </x:c>
      <x:c r="C440" s="12" t="str">
        <x:v>Action item</x:v>
      </x:c>
      <x:c r="D440" s="12" t="str"/>
      <x:c r="E440" s="12" t="str">
        <x:v>Proposed</x:v>
      </x:c>
      <x:c r="F440" s="12" t="str"/>
      <x:c r="G440" s="12" t="str"/>
      <x:c r="H440" s="12" t="str">
        <x:v>Look into what can be done in the way of additional training.</x:v>
      </x:c>
      <x:c r="I440" s="12" t="str"/>
      <x:c r="J440" s="12" t="str">
        <x:v>SRC-0002</x:v>
      </x:c>
      <x:c r="K440" s="12" t="str">
        <x:v>Section: 6.1.5 Actions and Recommendations</x:v>
      </x:c>
    </x:row>
    <x:row r="441">
      <x:c r="A441" s="12" t="str">
        <x:v>RSP-0440</x:v>
      </x:c>
      <x:c r="B441" s="12" t="str">
        <x:v>Colin Seftor to put together a LANCE enhancement request to continue the Aerosol Index (AI) product, generated from the OMPS sensor, for NOAA-20/21. This should include flow charts on how AI triggers more in-depth analys</x:v>
      </x:c>
      <x:c r="C441" s="12" t="str">
        <x:v>Action item</x:v>
      </x:c>
      <x:c r="D441" s="12" t="str"/>
      <x:c r="E441" s="12" t="str">
        <x:v>Proposed</x:v>
      </x:c>
      <x:c r="F441" s="12" t="str"/>
      <x:c r="G441" s="12" t="str"/>
      <x:c r="H441" s="12" t="str">
        <x:v>Colin Seftor to put together a LANCE enhancement request to continue the Aerosol Index (AI) product, generated from the OMPS sensor, for NOAA-20/21. This should include flow charts on how AI triggers more in-depth analysis and be submitted to the LANCE managers prior to the next LANCE UWG meeting.</x:v>
      </x:c>
      <x:c r="I441" s="12" t="str"/>
      <x:c r="J441" s="12" t="str">
        <x:v>SRC-0002</x:v>
      </x:c>
      <x:c r="K441" s="12" t="str">
        <x:v>Section: 6.2.6 Actions and Recommendations</x:v>
      </x:c>
    </x:row>
    <x:row r="442">
      <x:c r="A442" s="12" t="str">
        <x:v>RSP-0441</x:v>
      </x:c>
      <x:c r="B442" s="12" t="str">
        <x:v>Arlindo da Silva to finalize a LANCE Enhancement Request to determine a NRT path to Assimilate Geostationary Aerosol Data which will also include the generation of concurrent GIBS imagery with aerosol properties for Worl</x:v>
      </x:c>
      <x:c r="C442" s="12" t="str">
        <x:v>Action item</x:v>
      </x:c>
      <x:c r="D442" s="12" t="str"/>
      <x:c r="E442" s="12" t="str">
        <x:v>Proposed</x:v>
      </x:c>
      <x:c r="F442" s="12" t="str"/>
      <x:c r="G442" s="12" t="str"/>
      <x:c r="H442" s="12" t="str">
        <x:v>Arlindo da Silva to finalize a LANCE Enhancement Request to determine a NRT path to Assimilate Geostationary Aerosol Data which will also include the generation of concurrent GIBS imagery with aerosol properties for Worldview. This should be submitted to the LANCE managers prior to the next LANCE UWG meeting.</x:v>
      </x:c>
      <x:c r="I442" s="12" t="str"/>
      <x:c r="J442" s="12" t="str">
        <x:v>SRC-0002</x:v>
      </x:c>
      <x:c r="K442" s="12" t="str">
        <x:v>Section: 6.2.6 Actions and Recommendations</x:v>
      </x:c>
    </x:row>
    <x:row r="443">
      <x:c r="A443" s="12" t="str">
        <x:v>RSP-0442</x:v>
      </x:c>
      <x:c r="B443" s="12" t="str">
        <x:v>If interested in becoming a TROPICS early adopter, contact Patrick Duran patrick.t.duran@nasa.gov</x:v>
      </x:c>
      <x:c r="C443" s="12" t="str">
        <x:v>Action item</x:v>
      </x:c>
      <x:c r="D443" s="12" t="str"/>
      <x:c r="E443" s="12" t="str">
        <x:v>Proposed</x:v>
      </x:c>
      <x:c r="F443" s="12" t="str"/>
      <x:c r="G443" s="12" t="str"/>
      <x:c r="H443" s="12" t="str">
        <x:v>If interested in becoming a TROPICS early adopter, contact Patrick Duran patrick.t.duran@nasa.gov</x:v>
      </x:c>
      <x:c r="I443" s="12" t="str"/>
      <x:c r="J443" s="12" t="str">
        <x:v>SRC-0002</x:v>
      </x:c>
      <x:c r="K443" s="12" t="str">
        <x:v>Section: 6.2.6 Actions and Recommendations</x:v>
      </x:c>
    </x:row>
    <x:row r="444">
      <x:c r="A444" s="12" t="str">
        <x:v>RSP-0443</x:v>
      </x:c>
      <x:c r="B444" s="12" t="str">
        <x:v>Worldview/GIBS team to work with Crystal Schaaf on QA flags. Ryan to consider how this could be baked into COGS in the future and pulled out by users dynamically.</x:v>
      </x:c>
      <x:c r="C444" s="12" t="str">
        <x:v>Action item</x:v>
      </x:c>
      <x:c r="D444" s="12" t="str"/>
      <x:c r="E444" s="12" t="str">
        <x:v>Proposed</x:v>
      </x:c>
      <x:c r="F444" s="12" t="str"/>
      <x:c r="G444" s="12" t="str"/>
      <x:c r="H444" s="12" t="str">
        <x:v>Worldview/GIBS team to work with Crystal Schaaf on QA flags. Ryan to consider how this could be baked into COGS in the future and pulled out by users dynamically.</x:v>
      </x:c>
      <x:c r="I444" s="12" t="str"/>
      <x:c r="J444" s="12" t="str">
        <x:v>SRC-0002</x:v>
      </x:c>
      <x:c r="K444" s="12" t="str">
        <x:v>Section: 6.2.6 Actions and Recommendations</x:v>
      </x:c>
    </x:row>
    <x:row r="445">
      <x:c r="A445" s="12" t="str">
        <x:v>RSP-0444</x:v>
      </x:c>
      <x:c r="B445" s="12" t="str">
        <x:v>Nga Chung (JPL) to follow up with Karen on how the SDS users can be moved over to NSIDC so SMAP user metrics can be captured. This is ongoing.</x:v>
      </x:c>
      <x:c r="C445" s="12" t="str">
        <x:v>Action item</x:v>
      </x:c>
      <x:c r="D445" s="12" t="str"/>
      <x:c r="E445" s="12" t="str">
        <x:v>Proposed</x:v>
      </x:c>
      <x:c r="F445" s="12" t="str"/>
      <x:c r="G445" s="12" t="str"/>
      <x:c r="H445" s="12" t="str">
        <x:v>Nga Chung (JPL) to follow up with Karen on how the SDS users can be moved over to NSIDC so SMAP user metrics can be captured. This is ongoing.</x:v>
      </x:c>
      <x:c r="I445" s="12" t="str"/>
      <x:c r="J445" s="12" t="str">
        <x:v>SRC-0002</x:v>
      </x:c>
      <x:c r="K445" s="12" t="str">
        <x:v>Section: 6.2.6 Actions and Recommendations</x:v>
      </x:c>
    </x:row>
    <x:row r="446">
      <x:c r="A446" s="12" t="str">
        <x:v>RSP-0445</x:v>
      </x:c>
      <x:c r="B446" s="12" t="str">
        <x:v>Develop an actionable list of challenges identified during the UWG Lightning talks and begin to address them.</x:v>
      </x:c>
      <x:c r="C446" s="12" t="str">
        <x:v>Action item</x:v>
      </x:c>
      <x:c r="D446" s="12" t="str"/>
      <x:c r="E446" s="12" t="str">
        <x:v>Proposed</x:v>
      </x:c>
      <x:c r="F446" s="12" t="str"/>
      <x:c r="G446" s="12" t="str"/>
      <x:c r="H446" s="12" t="str">
        <x:v>Develop an actionable list of challenges identified during the UWG Lightning talks and begin to address them.</x:v>
      </x:c>
      <x:c r="I446" s="12" t="str"/>
      <x:c r="J446" s="12" t="str">
        <x:v>SRC-0002</x:v>
      </x:c>
      <x:c r="K446" s="12" t="str">
        <x:v>Section: 9.4 Key Actions</x:v>
      </x:c>
    </x:row>
    <x:row r="447">
      <x:c r="A447" s="12" t="str">
        <x:v>RSP-0446</x:v>
      </x:c>
      <x:c r="B447" s="12" t="str">
        <x:v>The NSIDC DAAC will continue efforts start in FY2023 to provide UWG members with hands-on experience using data in the Earthdata Cloud. This work will leverage Openscapes and other DAAC resources. The DAAC will collectio</x:v>
      </x:c>
      <x:c r="C447" s="12" t="str">
        <x:v>Action item</x:v>
      </x:c>
      <x:c r="D447" s="12" t="str"/>
      <x:c r="E447" s="12" t="str">
        <x:v>Proposed</x:v>
      </x:c>
      <x:c r="F447" s="12" t="str"/>
      <x:c r="G447" s="12" t="str"/>
      <x:c r="H447" s="12" t="str">
        <x:v>The NSIDC DAAC will continue efforts start in FY2023 to provide UWG members with hands-on experience using data in the Earthdata Cloud. This work will leverage Openscapes and other DAAC resources. The DAAC will collection UWG feedback to inform Openscapes and DAAC resource improvements.</x:v>
      </x:c>
      <x:c r="I447" s="12" t="str"/>
      <x:c r="J447" s="12" t="str">
        <x:v>SRC-0002</x:v>
      </x:c>
      <x:c r="K447" s="12" t="str">
        <x:v>Section: 9.4 Key Actions</x:v>
      </x:c>
    </x:row>
    <x:row r="448">
      <x:c r="A448" s="12" t="str">
        <x:v>RSP-0447</x:v>
      </x:c>
      <x:c r="B448" s="12" t="str">
        <x:v>The DAAC will continue to engage in EOSDIS-wide discussions and evaluations of cloud-optimized formats.</x:v>
      </x:c>
      <x:c r="C448" s="12" t="str">
        <x:v>Action item</x:v>
      </x:c>
      <x:c r="D448" s="12" t="str"/>
      <x:c r="E448" s="12" t="str">
        <x:v>Proposed</x:v>
      </x:c>
      <x:c r="F448" s="12" t="str"/>
      <x:c r="G448" s="12" t="str"/>
      <x:c r="H448" s="12" t="str">
        <x:v>The DAAC will continue to engage in EOSDIS-wide discussions and evaluations of cloud-optimized formats.</x:v>
      </x:c>
      <x:c r="I448" s="12" t="str"/>
      <x:c r="J448" s="12" t="str">
        <x:v>SRC-0002</x:v>
      </x:c>
      <x:c r="K448" s="12" t="str">
        <x:v>Section: 9.4 Key Actions</x:v>
      </x:c>
    </x:row>
    <x:row r="449">
      <x:c r="A449" s="12" t="str">
        <x:v>RSP-0448</x:v>
      </x:c>
      <x:c r="B449" s="12" t="str">
        <x:v>The DAAC will perform an evaluation of formats for ICESat-2 data in FY2023. This will include evaluating the optimized format conversion options available through EOSDIS Harmony services.</x:v>
      </x:c>
      <x:c r="C449" s="12" t="str">
        <x:v>Action item</x:v>
      </x:c>
      <x:c r="D449" s="12" t="str"/>
      <x:c r="E449" s="12" t="str">
        <x:v>Proposed</x:v>
      </x:c>
      <x:c r="F449" s="12" t="str"/>
      <x:c r="G449" s="12" t="str"/>
      <x:c r="H449" s="12" t="str">
        <x:v>The DAAC will perform an evaluation of formats for ICESat-2 data in FY2023. This will include evaluating the optimized format conversion options available through EOSDIS Harmony services.</x:v>
      </x:c>
      <x:c r="I449" s="12" t="str"/>
      <x:c r="J449" s="12" t="str">
        <x:v>SRC-0002</x:v>
      </x:c>
      <x:c r="K449" s="12" t="str">
        <x:v>Section: 9.4 Key Actions</x:v>
      </x:c>
    </x:row>
    <x:row r="450">
      <x:c r="A450" s="12" t="str">
        <x:v>RSP-0449</x:v>
      </x:c>
      <x:c r="B450" s="12" t="str">
        <x:v>The DAAC will develop general guidance for data producers inquiring about providing cloud optimized formats.</x:v>
      </x:c>
      <x:c r="C450" s="12" t="str">
        <x:v>Action item</x:v>
      </x:c>
      <x:c r="D450" s="12" t="str"/>
      <x:c r="E450" s="12" t="str">
        <x:v>Proposed</x:v>
      </x:c>
      <x:c r="F450" s="12" t="str"/>
      <x:c r="G450" s="12" t="str"/>
      <x:c r="H450" s="12" t="str">
        <x:v>The DAAC will develop general guidance for data producers inquiring about providing cloud optimized formats.</x:v>
      </x:c>
      <x:c r="I450" s="12" t="str"/>
      <x:c r="J450" s="12" t="str">
        <x:v>SRC-0002</x:v>
      </x:c>
      <x:c r="K450" s="12" t="str">
        <x:v>Section: 9.4 Key Actions</x:v>
      </x:c>
    </x:row>
    <x:row r="451">
      <x:c r="A451" s="12" t="str">
        <x:v>RSP-0450</x:v>
      </x:c>
      <x:c r="B451" s="12" t="str">
        <x:v>The DAAC will work with ESDIS and the EOSDIS User Needs group to address the question of should there be centralized repositories for DAAC/ESDIS resources.</x:v>
      </x:c>
      <x:c r="C451" s="12" t="str">
        <x:v>Action item</x:v>
      </x:c>
      <x:c r="D451" s="12" t="str"/>
      <x:c r="E451" s="12" t="str">
        <x:v>Proposed</x:v>
      </x:c>
      <x:c r="F451" s="12" t="str"/>
      <x:c r="G451" s="12" t="str"/>
      <x:c r="H451" s="12" t="str">
        <x:v>The DAAC will work with ESDIS and the EOSDIS User Needs group to address the question of should there be centralized repositories for DAAC/ESDIS resources.</x:v>
      </x:c>
      <x:c r="I451" s="12" t="str"/>
      <x:c r="J451" s="12" t="str">
        <x:v>SRC-0002</x:v>
      </x:c>
      <x:c r="K451" s="12" t="str">
        <x:v>Section: 9.4 Key Actions</x:v>
      </x:c>
    </x:row>
    <x:row r="452">
      <x:c r="A452" s="12" t="str">
        <x:v>RSP-0451</x:v>
      </x:c>
      <x:c r="B452" s="12" t="str">
        <x:v>The DAAC will continue to identify and link to available resources (e.g., GitHub repositories).</x:v>
      </x:c>
      <x:c r="C452" s="12" t="str">
        <x:v>Action item</x:v>
      </x:c>
      <x:c r="D452" s="12" t="str"/>
      <x:c r="E452" s="12" t="str">
        <x:v>Proposed</x:v>
      </x:c>
      <x:c r="F452" s="12" t="str"/>
      <x:c r="G452" s="12" t="str"/>
      <x:c r="H452" s="12" t="str">
        <x:v>The DAAC will continue to identify and link to available resources (e.g., GitHub repositories).</x:v>
      </x:c>
      <x:c r="I452" s="12" t="str"/>
      <x:c r="J452" s="12" t="str">
        <x:v>SRC-0002</x:v>
      </x:c>
      <x:c r="K452" s="12" t="str">
        <x:v>Section: 9.4 Key Actions</x:v>
      </x:c>
    </x:row>
    <x:row r="453">
      <x:c r="A453" s="12" t="str">
        <x:v>RSP-0452</x:v>
      </x:c>
      <x:c r="B453" s="12" t="str">
        <x:v>The DAAC will participate in the NASA TOPS program and will provide updates and information to the UWG.</x:v>
      </x:c>
      <x:c r="C453" s="12" t="str">
        <x:v>Action item</x:v>
      </x:c>
      <x:c r="D453" s="12" t="str"/>
      <x:c r="E453" s="12" t="str">
        <x:v>Proposed</x:v>
      </x:c>
      <x:c r="F453" s="12" t="str"/>
      <x:c r="G453" s="12" t="str"/>
      <x:c r="H453" s="12" t="str">
        <x:v>The DAAC will participate in the NASA TOPS program and will provide updates and information to the UWG.</x:v>
      </x:c>
      <x:c r="I453" s="12" t="str"/>
      <x:c r="J453" s="12" t="str">
        <x:v>SRC-0002</x:v>
      </x:c>
      <x:c r="K453" s="12" t="str">
        <x:v>Section: 9.4 Key Actions</x:v>
      </x:c>
    </x:row>
    <x:row r="454">
      <x:c r="A454" s="12" t="str">
        <x:v>RSP-0453</x:v>
      </x:c>
      <x:c r="B454" s="12" t="str">
        <x:v>Using ITS_LIVE as a use case, the DAAC will identify the data stewardship questions associated with research project outputs going beyond traditional data (netCDF, HDF) to include cloud-based data analysis services and c</x:v>
      </x:c>
      <x:c r="C454" s="12" t="str">
        <x:v>Action item</x:v>
      </x:c>
      <x:c r="D454" s="12" t="str"/>
      <x:c r="E454" s="12" t="str">
        <x:v>Proposed</x:v>
      </x:c>
      <x:c r="F454" s="12" t="str"/>
      <x:c r="G454" s="12" t="str"/>
      <x:c r="H454" s="12" t="str">
        <x:v>Using ITS_LIVE as a use case, the DAAC will identify the data stewardship questions associated with research project outputs going beyond traditional data (netCDF, HDF) to include cloud-based data analysis services and cloud-optimized data formats. The DAAC will engage with ESDIS to evaluate and address the questions.</x:v>
      </x:c>
      <x:c r="I454" s="12" t="str"/>
      <x:c r="J454" s="12" t="str">
        <x:v>SRC-0002</x:v>
      </x:c>
      <x:c r="K454" s="12" t="str">
        <x:v>Section: 9.4 Key Actions</x:v>
      </x:c>
    </x:row>
    <x:row r="455">
      <x:c r="A455" s="12" t="str">
        <x:v>RSP-0454</x:v>
      </x:c>
      <x:c r="B455" s="12" t="str">
        <x:v>The DAAC will prioritize and implement recommendations from the Resources for Data Creation, Metadata Creation, and Data Transfers session.</x:v>
      </x:c>
      <x:c r="C455" s="12" t="str">
        <x:v>Action item</x:v>
      </x:c>
      <x:c r="D455" s="12" t="str"/>
      <x:c r="E455" s="12" t="str">
        <x:v>Proposed</x:v>
      </x:c>
      <x:c r="F455" s="12" t="str"/>
      <x:c r="G455" s="12" t="str"/>
      <x:c r="H455" s="12" t="str">
        <x:v>The DAAC will prioritize and implement recommendations from the Resources for Data Creation, Metadata Creation, and Data Transfers session.</x:v>
      </x:c>
      <x:c r="I455" s="12" t="str"/>
      <x:c r="J455" s="12" t="str">
        <x:v>SRC-0002</x:v>
      </x:c>
      <x:c r="K455" s="12" t="str">
        <x:v>Section: 9.4 Key Actions</x:v>
      </x:c>
    </x:row>
    <x:row r="456">
      <x:c r="A456" s="12" t="str">
        <x:v>RSP-0455</x:v>
      </x:c>
      <x:c r="B456" s="12" t="str">
        <x:v>The DAAC will resolve issues identified during the hands-on testing of the Data Submission forms.</x:v>
      </x:c>
      <x:c r="C456" s="12" t="str">
        <x:v>Action item</x:v>
      </x:c>
      <x:c r="D456" s="12" t="str"/>
      <x:c r="E456" s="12" t="str">
        <x:v>Proposed</x:v>
      </x:c>
      <x:c r="F456" s="12" t="str"/>
      <x:c r="G456" s="12" t="str"/>
      <x:c r="H456" s="12" t="str">
        <x:v>The DAAC will resolve issues identified during the hands-on testing of the Data Submission forms.</x:v>
      </x:c>
      <x:c r="I456" s="12" t="str"/>
      <x:c r="J456" s="12" t="str">
        <x:v>SRC-0002</x:v>
      </x:c>
      <x:c r="K456" s="12" t="str">
        <x:v>Section: 9.4 Key Actions</x:v>
      </x:c>
    </x:row>
    <x:row r="457">
      <x:c r="A457" s="12" t="str">
        <x:v>RSP-0456</x:v>
      </x:c>
      <x:c r="B457" s="12" t="str">
        <x:v>The DAAC will prioritize and implement recommendations from the Submit Data Web Site and Publication Forms.</x:v>
      </x:c>
      <x:c r="C457" s="12" t="str">
        <x:v>Action item</x:v>
      </x:c>
      <x:c r="D457" s="12" t="str"/>
      <x:c r="E457" s="12" t="str">
        <x:v>Proposed</x:v>
      </x:c>
      <x:c r="F457" s="12" t="str"/>
      <x:c r="G457" s="12" t="str"/>
      <x:c r="H457" s="12" t="str">
        <x:v>The DAAC will prioritize and implement recommendations from the Submit Data Web Site and Publication Forms.</x:v>
      </x:c>
      <x:c r="I457" s="12" t="str"/>
      <x:c r="J457" s="12" t="str">
        <x:v>SRC-0002</x:v>
      </x:c>
      <x:c r="K457" s="12" t="str">
        <x:v>Section: 9.4 Key Actions</x:v>
      </x:c>
    </x:row>
    <x:row r="458">
      <x:c r="A458" s="12" t="str">
        <x:v>RSP-0457</x:v>
      </x:c>
      <x:c r="B458" s="12" t="str">
        <x:v>The DAAC will work with the UWG Chair to fill membership gaps for Eric Sproles and Ludo Brucker.</x:v>
      </x:c>
      <x:c r="C458" s="12" t="str">
        <x:v>Action item</x:v>
      </x:c>
      <x:c r="D458" s="12" t="str"/>
      <x:c r="E458" s="12" t="str">
        <x:v>Proposed</x:v>
      </x:c>
      <x:c r="F458" s="12" t="str"/>
      <x:c r="G458" s="12" t="str"/>
      <x:c r="H458" s="12" t="str">
        <x:v>The DAAC will work with the UWG Chair to fill membership gaps for Eric Sproles and Ludo Brucker.</x:v>
      </x:c>
      <x:c r="I458" s="12" t="str"/>
      <x:c r="J458" s="12" t="str">
        <x:v>SRC-0002</x:v>
      </x:c>
      <x:c r="K458" s="12" t="str">
        <x:v>Section: 9.4 Key Actions</x:v>
      </x:c>
    </x:row>
    <x:row r="459">
      <x:c r="A459" s="12" t="str">
        <x:v>RSP-0458</x:v>
      </x:c>
      <x:c r="B459" s="12" t="str">
        <x:v>The DAAC will also identify additional member candidates who represent the user communities actively using cloud technology.</x:v>
      </x:c>
      <x:c r="C459" s="12" t="str">
        <x:v>Action item</x:v>
      </x:c>
      <x:c r="D459" s="12" t="str"/>
      <x:c r="E459" s="12" t="str">
        <x:v>Proposed</x:v>
      </x:c>
      <x:c r="F459" s="12" t="str"/>
      <x:c r="G459" s="12" t="str"/>
      <x:c r="H459" s="12" t="str">
        <x:v>The DAAC will also identify additional member candidates who represent the user communities actively using cloud technology.</x:v>
      </x:c>
      <x:c r="I459" s="12" t="str"/>
      <x:c r="J459" s="12" t="str">
        <x:v>SRC-0002</x:v>
      </x:c>
      <x:c r="K459" s="12" t="str">
        <x:v>Section: 9.4 Key Actions</x:v>
      </x:c>
    </x:row>
    <x:row r="460">
      <x:c r="A460" s="12" t="str">
        <x:v>RSP-0459</x:v>
      </x:c>
      <x:c r="B460" s="12" t="str">
        <x:v>Consider possibility of producing/distributing Landsat/Sentinel-2 products over coastal ocean.</x:v>
      </x:c>
      <x:c r="C460" s="12" t="str">
        <x:v>Action item</x:v>
      </x:c>
      <x:c r="D460" s="12" t="str"/>
      <x:c r="E460" s="12" t="str">
        <x:v>Proposed</x:v>
      </x:c>
      <x:c r="F460" s="12" t="str"/>
      <x:c r="G460" s="12" t="str"/>
      <x:c r="H460" s="12" t="str">
        <x:v>Consider possibility of producing/distributing Landsat/Sentinel-2 products over coastal ocean.</x:v>
      </x:c>
      <x:c r="I460" s="12" t="str"/>
      <x:c r="J460" s="12" t="str">
        <x:v>SRC-0002</x:v>
      </x:c>
      <x:c r="K460" s="12" t="str">
        <x:v>Section: 11.1.2 Key Action Items</x:v>
      </x:c>
    </x:row>
    <x:row r="461">
      <x:c r="A461" s="12" t="str">
        <x:v>RSP-0460</x:v>
      </x:c>
      <x:c r="B461" s="12" t="str">
        <x:v>Look for ways to link to external repositories (e.g. NOAA Coastwatch (https://coastwatch.noaa.gov/cw_html/cwViewer.html), BCO-DMO (https://www.bco-dmo.org/), Go-ship (https://www.go-ship.org/DataDirect.html))</x:v>
      </x:c>
      <x:c r="C461" s="12" t="str">
        <x:v>Action item</x:v>
      </x:c>
      <x:c r="D461" s="12" t="str"/>
      <x:c r="E461" s="12" t="str">
        <x:v>Proposed</x:v>
      </x:c>
      <x:c r="F461" s="12" t="str"/>
      <x:c r="G461" s="12" t="str"/>
      <x:c r="H461" s="12" t="str">
        <x:v>Look for ways to link to external repositories (e.g. NOAA Coastwatch (https://coastwatch.noaa.gov/cw_html/cwViewer.html), BCO-DMO (https://www.bco-dmo.org/), Go-ship (https://www.go-ship.org/DataDirect.html))</x:v>
      </x:c>
      <x:c r="I461" s="12" t="str"/>
      <x:c r="J461" s="12" t="str">
        <x:v>SRC-0002</x:v>
      </x:c>
      <x:c r="K461" s="12" t="str">
        <x:v>Section: 11.1.2 Key Action Items</x:v>
      </x:c>
    </x:row>
    <x:row r="462">
      <x:c r="A462" s="12" t="str">
        <x:v>RSP-0461</x:v>
      </x:c>
      <x:c r="B462" s="12" t="str">
        <x:v>Discussion about reaching and educating new audiences about availability and accessibility of data, including where to access data and how to use it.</x:v>
      </x:c>
      <x:c r="C462" s="12" t="str">
        <x:v>Action item</x:v>
      </x:c>
      <x:c r="D462" s="12" t="str"/>
      <x:c r="E462" s="12" t="str">
        <x:v>Proposed</x:v>
      </x:c>
      <x:c r="F462" s="12" t="str"/>
      <x:c r="G462" s="12" t="str"/>
      <x:c r="H462" s="12" t="str">
        <x:v>Discussion about reaching and educating new audiences about availability and accessibility of data, including where to access data and how to use it.</x:v>
      </x:c>
      <x:c r="I462" s="12" t="str"/>
      <x:c r="J462" s="12" t="str">
        <x:v>SRC-0002</x:v>
      </x:c>
      <x:c r="K462" s="12" t="str">
        <x:v>Section: 11.1.2 Key Action Items</x:v>
      </x:c>
    </x:row>
    <x:row r="463">
      <x:c r="A463" s="12" t="str">
        <x:v>RSP-0462</x:v>
      </x:c>
      <x:c r="B463" s="12" t="str">
        <x:v>Make a beta version of the proposed website changes available for users to test drive and offer comments/suggestions.</x:v>
      </x:c>
      <x:c r="C463" s="12" t="str">
        <x:v>Action item</x:v>
      </x:c>
      <x:c r="D463" s="12" t="str"/>
      <x:c r="E463" s="12" t="str">
        <x:v>Proposed</x:v>
      </x:c>
      <x:c r="F463" s="12" t="str"/>
      <x:c r="G463" s="12" t="str"/>
      <x:c r="H463" s="12" t="str">
        <x:v>Make a beta version of the proposed website changes available for users to test drive and offer comments/suggestions.</x:v>
      </x:c>
      <x:c r="I463" s="12" t="str"/>
      <x:c r="J463" s="12" t="str">
        <x:v>SRC-0002</x:v>
      </x:c>
      <x:c r="K463" s="12" t="str">
        <x:v>Section: 11.1.2 Key Action Items</x:v>
      </x:c>
    </x:row>
    <x:row r="464">
      <x:c r="A464" s="12" t="str">
        <x:v>RSP-0463</x:v>
      </x:c>
      <x:c r="B464" s="12" t="str">
        <x:v>Update PACE simulated data page to link L2/L3 data.</x:v>
      </x:c>
      <x:c r="C464" s="12" t="str">
        <x:v>Action item</x:v>
      </x:c>
      <x:c r="D464" s="12" t="str"/>
      <x:c r="E464" s="12" t="str">
        <x:v>Proposed</x:v>
      </x:c>
      <x:c r="F464" s="12" t="str"/>
      <x:c r="G464" s="12" t="str"/>
      <x:c r="H464" s="12" t="str">
        <x:v>Update PACE simulated data page to link L2/L3 data.</x:v>
      </x:c>
      <x:c r="I464" s="12" t="str"/>
      <x:c r="J464" s="12" t="str">
        <x:v>SRC-0002</x:v>
      </x:c>
      <x:c r="K464" s="12" t="str">
        <x:v>Section: 11.1.2 Key Action Items</x:v>
      </x:c>
    </x:row>
    <x:row r="465">
      <x:c r="A465" s="12" t="str">
        <x:v>RSP-0464</x:v>
      </x:c>
      <x:c r="B465" s="12" t="str">
        <x:v>Documentation on PACE simulated data to inform new users on how to use and what you can do with the data.</x:v>
      </x:c>
      <x:c r="C465" s="12" t="str">
        <x:v>Action item</x:v>
      </x:c>
      <x:c r="D465" s="12" t="str"/>
      <x:c r="E465" s="12" t="str">
        <x:v>Proposed</x:v>
      </x:c>
      <x:c r="F465" s="12" t="str"/>
      <x:c r="G465" s="12" t="str"/>
      <x:c r="H465" s="12" t="str">
        <x:v>Documentation on PACE simulated data to inform new users on how to use and what you can do with the data.</x:v>
      </x:c>
      <x:c r="I465" s="12" t="str"/>
      <x:c r="J465" s="12" t="str">
        <x:v>SRC-0002</x:v>
      </x:c>
      <x:c r="K465" s="12" t="str">
        <x:v>Section: 11.1.2 Key Action Items</x:v>
      </x:c>
    </x:row>
    <x:row r="466">
      <x:c r="A466" s="12" t="str">
        <x:v>RSP-0465</x:v>
      </x:c>
      <x:c r="B466" s="12" t="str">
        <x:v>Make data browse tools more intuitive and enhance the visualization capabilities.</x:v>
      </x:c>
      <x:c r="C466" s="12" t="str">
        <x:v>Action item</x:v>
      </x:c>
      <x:c r="D466" s="12" t="str"/>
      <x:c r="E466" s="12" t="str">
        <x:v>Proposed</x:v>
      </x:c>
      <x:c r="F466" s="12" t="str"/>
      <x:c r="G466" s="12" t="str"/>
      <x:c r="H466" s="12" t="str">
        <x:v>Make data browse tools more intuitive and enhance the visualization capabilities.</x:v>
      </x:c>
      <x:c r="I466" s="12" t="str"/>
      <x:c r="J466" s="12" t="str">
        <x:v>SRC-0002</x:v>
      </x:c>
      <x:c r="K466" s="12" t="str">
        <x:v>Section: 11.1.2 Key Action Items</x:v>
      </x:c>
    </x:row>
    <x:row r="467">
      <x:c r="A467" s="12" t="str">
        <x:v>RSP-0466</x:v>
      </x:c>
      <x:c r="B467" s="12" t="str">
        <x:v>Add case studies in a tutorial / "new to ocean color" section.</x:v>
      </x:c>
      <x:c r="C467" s="12" t="str">
        <x:v>Action item</x:v>
      </x:c>
      <x:c r="D467" s="12" t="str"/>
      <x:c r="E467" s="12" t="str">
        <x:v>Proposed</x:v>
      </x:c>
      <x:c r="F467" s="12" t="str"/>
      <x:c r="G467" s="12" t="str"/>
      <x:c r="H467" s="12" t="str">
        <x:v>Add case studies in a tutorial / "new to ocean color" section.</x:v>
      </x:c>
      <x:c r="I467" s="12" t="str"/>
      <x:c r="J467" s="12" t="str">
        <x:v>SRC-0002</x:v>
      </x:c>
      <x:c r="K467" s="12" t="str">
        <x:v>Section: 11.1.2 Key Action Items</x:v>
      </x:c>
    </x:row>
    <x:row r="468">
      <x:c r="A468" s="12" t="str">
        <x:v>RSP-0467</x:v>
      </x:c>
      <x:c r="B468" s="12" t="str">
        <x:v>Use case studies to teach people how to use all tools including how to process data.</x:v>
      </x:c>
      <x:c r="C468" s="12" t="str">
        <x:v>Action item</x:v>
      </x:c>
      <x:c r="D468" s="12" t="str"/>
      <x:c r="E468" s="12" t="str">
        <x:v>Proposed</x:v>
      </x:c>
      <x:c r="F468" s="12" t="str"/>
      <x:c r="G468" s="12" t="str"/>
      <x:c r="H468" s="12" t="str">
        <x:v>Use case studies to teach people how to use all tools including how to process data.</x:v>
      </x:c>
      <x:c r="I468" s="12" t="str"/>
      <x:c r="J468" s="12" t="str">
        <x:v>SRC-0002</x:v>
      </x:c>
      <x:c r="K468" s="12" t="str">
        <x:v>Section: 11.1.2 Key Action Items</x:v>
      </x:c>
    </x:row>
    <x:row r="469">
      <x:c r="A469" s="12" t="str">
        <x:v>RSP-0468</x:v>
      </x:c>
      <x:c r="B469" s="12" t="str">
        <x:v>Add verbiage to explain why we have non-NASA data sets (MERIS, OLCI, VIIRS, GOCI, etc.) - how offering these data benefits the community.</x:v>
      </x:c>
      <x:c r="C469" s="12" t="str">
        <x:v>Action item</x:v>
      </x:c>
      <x:c r="D469" s="12" t="str"/>
      <x:c r="E469" s="12" t="str">
        <x:v>Proposed</x:v>
      </x:c>
      <x:c r="F469" s="12" t="str"/>
      <x:c r="G469" s="12" t="str"/>
      <x:c r="H469" s="12" t="str">
        <x:v>Add verbiage to explain why we have non-NASA data sets (MERIS, OLCI, VIIRS, GOCI, etc.) - how offering these data benefits the community.</x:v>
      </x:c>
      <x:c r="I469" s="12" t="str"/>
      <x:c r="J469" s="12" t="str">
        <x:v>SRC-0002</x:v>
      </x:c>
      <x:c r="K469" s="12" t="str">
        <x:v>Section: 11.1.2 Key Action Items</x:v>
      </x:c>
    </x:row>
    <x:row r="470">
      <x:c r="A470" s="12" t="str">
        <x:v>RSP-0469</x:v>
      </x:c>
      <x:c r="B470" s="12" t="str">
        <x:v>Should have a webpage that talks about data distribution especially for the data holding by multiple DAACS, such as SST by PO.DAAC, and PACE atmosphere by LANCE.</x:v>
      </x:c>
      <x:c r="C470" s="12" t="str">
        <x:v>Action item</x:v>
      </x:c>
      <x:c r="D470" s="12" t="str"/>
      <x:c r="E470" s="12" t="str">
        <x:v>Proposed</x:v>
      </x:c>
      <x:c r="F470" s="12" t="str"/>
      <x:c r="G470" s="12" t="str"/>
      <x:c r="H470" s="12" t="str">
        <x:v>Should have a webpage that talks about data distribution especially for the data holding by multiple DAACS, such as SST by PO.DAAC, and PACE atmosphere by LANCE.</x:v>
      </x:c>
      <x:c r="I470" s="12" t="str"/>
      <x:c r="J470" s="12" t="str">
        <x:v>SRC-0002</x:v>
      </x:c>
      <x:c r="K470" s="12" t="str">
        <x:v>Section: 11.1.2 Key Action Items</x:v>
      </x:c>
    </x:row>
    <x:row r="471">
      <x:c r="A471" s="12" t="str">
        <x:v>RSP-0470</x:v>
      </x:c>
      <x:c r="B471" s="12" t="str">
        <x:v>Engage with ARSET</x:v>
      </x:c>
      <x:c r="C471" s="12" t="str">
        <x:v>Action item</x:v>
      </x:c>
      <x:c r="D471" s="12" t="str"/>
      <x:c r="E471" s="12" t="str">
        <x:v>Proposed</x:v>
      </x:c>
      <x:c r="F471" s="12" t="str"/>
      <x:c r="G471" s="12" t="str"/>
      <x:c r="H471" s="12" t="str">
        <x:v>Engage with ARSET</x:v>
      </x:c>
      <x:c r="I471" s="12" t="str"/>
      <x:c r="J471" s="12" t="str">
        <x:v>SRC-0002</x:v>
      </x:c>
      <x:c r="K471" s="12" t="str">
        <x:v>Section: 11.1.2 Key Action Items</x:v>
      </x:c>
    </x:row>
    <x:row r="472">
      <x:c r="A472" s="12" t="str">
        <x:v>RSP-0471</x:v>
      </x:c>
      <x:c r="B472" s="12" t="str">
        <x:v>Inform them of the changes to any interfaces/website navigation changes as it may impact training they do - or update videos/walkthroughs.</x:v>
      </x:c>
      <x:c r="C472" s="12" t="str">
        <x:v>Action item</x:v>
      </x:c>
      <x:c r="D472" s="12" t="str"/>
      <x:c r="E472" s="12" t="str">
        <x:v>Proposed</x:v>
      </x:c>
      <x:c r="F472" s="12" t="str"/>
      <x:c r="G472" s="12" t="str"/>
      <x:c r="H472" s="12" t="str">
        <x:v>Inform them of the changes to any interfaces/website navigation changes as it may impact training they do - or update videos/walkthroughs.</x:v>
      </x:c>
      <x:c r="I472" s="12" t="str"/>
      <x:c r="J472" s="12" t="str">
        <x:v>SRC-0002</x:v>
      </x:c>
      <x:c r="K472" s="12" t="str">
        <x:v>Section: 11.1.2 Key Action Items</x:v>
      </x:c>
    </x:row>
    <x:row r="473">
      <x:c r="A473" s="12" t="str">
        <x:v>RSP-0472</x:v>
      </x:c>
      <x:c r="B473" s="12" t="str">
        <x:v>Seek UWG representation from outside core ocean color research community, e.g. applied science; water quality managers.</x:v>
      </x:c>
      <x:c r="C473" s="12" t="str">
        <x:v>Action item</x:v>
      </x:c>
      <x:c r="D473" s="12" t="str"/>
      <x:c r="E473" s="12" t="str">
        <x:v>Proposed</x:v>
      </x:c>
      <x:c r="F473" s="12" t="str"/>
      <x:c r="G473" s="12" t="str"/>
      <x:c r="H473" s="12" t="str">
        <x:v>Seek UWG representation from outside core ocean color research community, e.g. applied science; water quality managers.</x:v>
      </x:c>
      <x:c r="I473" s="12" t="str"/>
      <x:c r="J473" s="12" t="str">
        <x:v>SRC-0002</x:v>
      </x:c>
      <x:c r="K473" s="12" t="str">
        <x:v>Section: 11.1.2 Key Action Items</x:v>
      </x:c>
    </x:row>
    <x:row r="474">
      <x:c r="A474" s="12" t="str">
        <x:v>RSP-0473</x:v>
      </x:c>
      <x:c r="B474" s="12" t="str">
        <x:v>In future UWG terms, recruit members from other science teams (not ocean color) that also use our website and data.</x:v>
      </x:c>
      <x:c r="C474" s="12" t="str">
        <x:v>Action item</x:v>
      </x:c>
      <x:c r="D474" s="12" t="str"/>
      <x:c r="E474" s="12" t="str">
        <x:v>Proposed</x:v>
      </x:c>
      <x:c r="F474" s="12" t="str"/>
      <x:c r="G474" s="12" t="str"/>
      <x:c r="H474" s="12" t="str">
        <x:v>In future UWG terms, recruit members from other science teams (not ocean color) that also use our website and data.</x:v>
      </x:c>
      <x:c r="I474" s="12" t="str"/>
      <x:c r="J474" s="12" t="str">
        <x:v>SRC-0002</x:v>
      </x:c>
      <x:c r="K474" s="12" t="str">
        <x:v>Section: 11.1.2 Key Action Items</x:v>
      </x:c>
    </x:row>
    <x:row r="475">
      <x:c r="A475" s="12" t="str">
        <x:v>RSP-0474</x:v>
      </x:c>
      <x:c r="B475" s="12" t="str">
        <x:v>Carbon Cycle and Ecosystem meeting</x:v>
      </x:c>
      <x:c r="C475" s="12" t="str">
        <x:v>Action item</x:v>
      </x:c>
      <x:c r="D475" s="12" t="str"/>
      <x:c r="E475" s="12" t="str">
        <x:v>Proposed</x:v>
      </x:c>
      <x:c r="F475" s="12" t="str"/>
      <x:c r="G475" s="12" t="str"/>
      <x:c r="H475" s="12" t="str">
        <x:v>Carbon Cycle and Ecosystem meeting</x:v>
      </x:c>
      <x:c r="I475" s="12" t="str"/>
      <x:c r="J475" s="12" t="str">
        <x:v>SRC-0002</x:v>
      </x:c>
      <x:c r="K475" s="12" t="str">
        <x:v>Section: 11.1.2 Key Action Items</x:v>
      </x:c>
    </x:row>
    <x:row r="476">
      <x:c r="A476" s="12" t="str">
        <x:v>RSP-0475</x:v>
      </x:c>
      <x:c r="B476" s="12" t="str">
        <x:v>Investigate how to allow external Teams users access to the chat feature.</x:v>
      </x:c>
      <x:c r="C476" s="12" t="str">
        <x:v>Action item</x:v>
      </x:c>
      <x:c r="D476" s="12" t="str"/>
      <x:c r="E476" s="12" t="str">
        <x:v>Proposed</x:v>
      </x:c>
      <x:c r="F476" s="12" t="str"/>
      <x:c r="G476" s="12" t="str"/>
      <x:c r="H476" s="12" t="str">
        <x:v>Investigate how to allow external Teams users access to the chat feature.</x:v>
      </x:c>
      <x:c r="I476" s="12" t="str"/>
      <x:c r="J476" s="12" t="str">
        <x:v>SRC-0002</x:v>
      </x:c>
      <x:c r="K476" s="12" t="str">
        <x:v>Section: 11.1.2 Key Action Items</x:v>
      </x:c>
    </x:row>
    <x:row r="477">
      <x:c r="A477" s="12" t="str">
        <x:v>RSP-0476</x:v>
      </x:c>
      <x:c r="B477" s="12" t="str">
        <x:v>Action Items Update</x:v>
      </x:c>
      <x:c r="C477" s="12" t="str">
        <x:v>Action item</x:v>
      </x:c>
      <x:c r="D477" s="12" t="str"/>
      <x:c r="E477" s="12" t="str">
        <x:v>Proposed</x:v>
      </x:c>
      <x:c r="F477" s="12" t="str"/>
      <x:c r="G477" s="12" t="str"/>
      <x:c r="H477" s="12" t="str">
        <x:v>Action Items Update</x:v>
      </x:c>
      <x:c r="I477" s="12" t="str"/>
      <x:c r="J477" s="12" t="str">
        <x:v>SRC-0002</x:v>
      </x:c>
      <x:c r="K477" s="12" t="str">
        <x:v>Section: 13.4 Key Findings</x:v>
      </x:c>
    </x:row>
    <x:row r="478">
      <x:c r="A478" s="12" t="str">
        <x:v>RSP-0477</x:v>
      </x:c>
      <x:c r="B478" s="12" t="str">
        <x:v>As a follow-up to UWG action items 21-09 and 21-10, senior digital archivist R. Downs presented an update to the SEDAC Citation Analysis, focusing on joint citations of SEDAC and remote sensing data. There is recognition</x:v>
      </x:c>
      <x:c r="C478" s="12" t="str">
        <x:v>Action item</x:v>
      </x:c>
      <x:c r="D478" s="12" t="str"/>
      <x:c r="E478" s="12" t="str">
        <x:v>Proposed</x:v>
      </x:c>
      <x:c r="F478" s="12" t="str"/>
      <x:c r="G478" s="12" t="str"/>
      <x:c r="H478" s="12" t="str">
        <x:v>As a follow-up to UWG action items 21-09 and 21-10, senior digital archivist R. Downs presented an update to the SEDAC Citation Analysis, focusing on joint citations of SEDAC and remote sensing data. There is recognition that this gets at the core of SEDAC’s mission. Questions arose around what keywords are used to identify terms related to “remote sensing” (a long list of terms is used), and what percentage of articles substantively use both SEDAC and remote sensing data versus simple citations of both data types but without any joint analysis or integration. A more detailed inspection of each article is required to get at this distinction, which would take substantial time. It was suggested that it would be interesting to look at the authors who do consistently integrate socioeconomic and remote sensing data in terms of their institutional and disciplinary affiliations.</x:v>
      </x:c>
      <x:c r="I478" s="12" t="str"/>
      <x:c r="J478" s="12" t="str">
        <x:v>SRC-0002</x:v>
      </x:c>
      <x:c r="K478" s="12" t="str">
        <x:v>Section: 13.4 Key Findings</x:v>
      </x:c>
    </x:row>
    <x:row r="479">
      <x:c r="A479" s="12" t="str">
        <x:v>RSP-0478</x:v>
      </x:c>
      <x:c r="B479" s="12" t="str">
        <x:v>Following up on action item 21-14, SEDAC deputy manager A. de Sherbinin and project scientist S. Adamo presented on the characteristics of the SEDAC user community and the tools they use. UWG members discussed the potent</x:v>
      </x:c>
      <x:c r="C479" s="12" t="str">
        <x:v>Action item</x:v>
      </x:c>
      <x:c r="D479" s="12" t="str"/>
      <x:c r="E479" s="12" t="str">
        <x:v>Proposed</x:v>
      </x:c>
      <x:c r="F479" s="12" t="str"/>
      <x:c r="G479" s="12" t="str"/>
      <x:c r="H479" s="12" t="str">
        <x:v>Following up on action item 21-14, SEDAC deputy manager A. de Sherbinin and project scientist S. Adamo presented on the characteristics of the SEDAC user community and the tools they use. UWG members discussed the potential for a survey of SEDAC-registered Earthdata users, but it was recognized that this may not be possible given restrictions stemming from the Paperwork Reduction Act. F. Lindsay indicated that the American Customer Satisfaction Index (ACSI) annual survey has limits on how it can be changed, but it could be argued that it would improve the user experience for users to provide a bit more information such as disciplinary affiliation. The options for disciplinary affiliation currently provided by Earthdata Login (EDL) are not well suited for SEDAC users, since more than half of SEDAC users choose “other”). It was therefore suggested that the “other” category could include the option to manually fill in a user’s discipline.</x:v>
      </x:c>
      <x:c r="I479" s="12" t="str"/>
      <x:c r="J479" s="12" t="str">
        <x:v>SRC-0002</x:v>
      </x:c>
      <x:c r="K479" s="12" t="str">
        <x:v>Section: 13.4 Key Findings</x:v>
      </x:c>
    </x:row>
    <x:row r="480">
      <x:c r="A480" s="12" t="str">
        <x:v>RSP-0479</x:v>
      </x:c>
      <x:c r="B480" s="12" t="str">
        <x:v>SP3: It is clear that SEDAC could and should increase its strategic efforts related to EJ and CJ issues, but at the same time should try to focus on a relatively small set of initiatives. SEDAC could build on existing an</x:v>
      </x:c>
      <x:c r="C480" s="12" t="str">
        <x:v>Action item</x:v>
      </x:c>
      <x:c r="D480" s="12" t="str"/>
      <x:c r="E480" s="12" t="str">
        <x:v>Proposed</x:v>
      </x:c>
      <x:c r="F480" s="12" t="str"/>
      <x:c r="G480" s="12" t="str"/>
      <x:c r="H480" s="12" t="str">
        <x:v>SP3: It is clear that SEDAC could and should increase its strategic efforts related to EJ and CJ issues, but at the same time should try to focus on a relatively small set of initiatives. SEDAC could build on existing and planned training and outreach activities to reduce access barriers and customize them to meet specific EJ/CJ community needs. Additional use cases and stakeholder interactions may be valuable in generating interest in current and future SEDAC data and resources useful for EJ/CJ applications. Partnerships need to be pursued with other groups engaged with EJ/CJ, especially in the Earth science and social science communities, including programs such as SERVIR and the NASA Health and Air Quality Applied Sciences Team (HAQAST), as well as the new EJ/CJ projects just being awarded. SEDAC should also explore collaboration with other NASA-supported programs as it seeks ways to scale up outreach other HBCUs and MSIs.</x:v>
      </x:c>
      <x:c r="I480" s="12" t="str"/>
      <x:c r="J480" s="12" t="str">
        <x:v>SRC-0002</x:v>
      </x:c>
      <x:c r="K480" s="12" t="str">
        <x:v>Section: 13.4 Key Findings</x:v>
      </x:c>
    </x:row>
    <x:row r="481">
      <x:c r="A481" s="12" t="str">
        <x:v>RSP-0480</x:v>
      </x:c>
      <x:c r="B481" s="12" t="str">
        <x:v>Day 2 of the meeting included several additional updates on action items and other issues.</x:v>
      </x:c>
      <x:c r="C481" s="12" t="str">
        <x:v>Action item</x:v>
      </x:c>
      <x:c r="D481" s="12" t="str"/>
      <x:c r="E481" s="12" t="str">
        <x:v>Proposed</x:v>
      </x:c>
      <x:c r="F481" s="12" t="str"/>
      <x:c r="G481" s="12" t="str"/>
      <x:c r="H481" s="12" t="str">
        <x:v>Day 2 of the meeting included several additional updates on action items and other issues.</x:v>
      </x:c>
      <x:c r="I481" s="12" t="str"/>
      <x:c r="J481" s="12" t="str">
        <x:v>SRC-0002</x:v>
      </x:c>
      <x:c r="K481" s="12" t="str">
        <x:v>Section: 13.4 Key Findings</x:v>
      </x:c>
    </x:row>
    <x:row r="482">
      <x:c r="A482" s="12" t="str">
        <x:v>RSP-0481</x:v>
      </x:c>
      <x:c r="B482" s="12" t="str">
        <x:v>SEDAC systems engineer S. Vinay presented on the NASA GIS strategy and SEDAC’s role in implementation (action item 21-07). UWG members noted the need to support data formats that are not directly readable (e.g., NetCDF),</x:v>
      </x:c>
      <x:c r="C482" s="12" t="str">
        <x:v>Action item</x:v>
      </x:c>
      <x:c r="D482" s="12" t="str"/>
      <x:c r="E482" s="12" t="str">
        <x:v>Proposed</x:v>
      </x:c>
      <x:c r="F482" s="12" t="str"/>
      <x:c r="G482" s="12" t="str"/>
      <x:c r="H482" s="12" t="str">
        <x:v>SEDAC systems engineer S. Vinay presented on the NASA GIS strategy and SEDAC’s role in implementation (action item 21-07). UWG members noted the need to support data formats that are not directly readable (e.g., NetCDF), subsetting requirements (such as the ability to read single or multiple pixel values in time series), the slowness of current NASA subsetting services, and complications of working with Jupyter notebooks (need a J hub environment and the notebooks will break when you change configuration). These are issues that the NASA GIS strategy should take into consideration.</x:v>
      </x:c>
      <x:c r="I482" s="12" t="str"/>
      <x:c r="J482" s="12" t="str">
        <x:v>SRC-0002</x:v>
      </x:c>
      <x:c r="K482" s="12" t="str">
        <x:v>Section: 13.4 Key Findings</x:v>
      </x:c>
    </x:row>
    <x:row r="483">
      <x:c r="A483" s="12" t="str">
        <x:v>RSP-0482</x:v>
      </x:c>
      <x:c r="B483" s="12" t="str">
        <x:v>Another potential area for multi-DAAC collaboration could be open science. The Earth Science community is generally ahead of the social science community in this area. SEDAC could have a role in championing open science </x:v>
      </x:c>
      <x:c r="C483" s="12" t="str">
        <x:v>Action item</x:v>
      </x:c>
      <x:c r="D483" s="12" t="str"/>
      <x:c r="E483" s="12" t="str">
        <x:v>Proposed</x:v>
      </x:c>
      <x:c r="F483" s="12" t="str"/>
      <x:c r="G483" s="12" t="str"/>
      <x:c r="H483" s="12" t="str">
        <x:v>Another potential area for multi-DAAC collaboration could be open science. The Earth Science community is generally ahead of the social science community in this area. SEDAC could have a role in championing open science in the social sciences through development of standards and promotion of open-source tools. Other ways to build bridges to the social science research community may include providing environmental contextual data for social scientists, reaching out to influential policy users (e.g., MIDAR, Urban Institute), providing services for data extraction linked to the Demographic and Health Surveys (DHS) or International Public Use Microdata Samples (IPUMS). Examples might be development of services like the Population Estimation Service that do not require sharing areas of research, etc.</x:v>
      </x:c>
      <x:c r="I483" s="12" t="str"/>
      <x:c r="J483" s="12" t="str">
        <x:v>SRC-0002</x:v>
      </x:c>
      <x:c r="K483" s="12" t="str">
        <x:v>Section: 13.4 Key Findings</x:v>
      </x:c>
    </x:row>
    <x:row r="484">
      <x:c r="A484" s="12" t="str">
        <x:v>RSP-0483</x:v>
      </x:c>
      <x:c r="B484" s="12" t="str">
        <x:v>Wade to remind Gerald regarding the question if NISAR S-band data will be hosted at ASF. Note: There are discussions at NASA to get this done.</x:v>
      </x:c>
      <x:c r="C484" s="12" t="str">
        <x:v>Action item</x:v>
      </x:c>
      <x:c r="D484" s="12" t="str"/>
      <x:c r="E484" s="12" t="str">
        <x:v>Proposed</x:v>
      </x:c>
      <x:c r="F484" s="12" t="str"/>
      <x:c r="G484" s="12" t="str"/>
      <x:c r="H484" s="12" t="str">
        <x:v>Wade to remind Gerald regarding the question if NISAR S-band data will be hosted at ASF. Note: There are discussions at NASA to get this done.</x:v>
      </x:c>
      <x:c r="I484" s="12" t="str"/>
      <x:c r="J484" s="12" t="str">
        <x:v>SRC-0001</x:v>
      </x:c>
      <x:c r="K484" s="12" t="str">
        <x:v>Section: 2.5 Action Items; table row 2</x:v>
      </x:c>
    </x:row>
    <x:row r="485">
      <x:c r="A485" s="12" t="str">
        <x:v>RSP-0484</x:v>
      </x:c>
      <x:c r="B485" s="12" t="str">
        <x:v>Create SME (Tiger) team to compare JAXA’s new 2.2 (now 3.0?) product vs RTC – This is a carryover action from the August meeting. Note: As per UWG suggestion, an RTC SME looking into the wider aspects of RTC would be ben</x:v>
      </x:c>
      <x:c r="C485" s="12" t="str">
        <x:v>Action item</x:v>
      </x:c>
      <x:c r="D485" s="12" t="str"/>
      <x:c r="E485" s="12" t="str">
        <x:v>Proposed</x:v>
      </x:c>
      <x:c r="F485" s="12" t="str"/>
      <x:c r="G485" s="12" t="str"/>
      <x:c r="H485" s="12" t="str">
        <x:v>Create SME (Tiger) team to compare JAXA’s new 2.2 (now 3.0?) product vs RTC – This is a carryover action from the August meeting. Note: As per UWG suggestion, an RTC SME looking into the wider aspects of RTC would be beneficial (OPERA, S1 back processing, other missions, on demand with different specs, etc.).</x:v>
      </x:c>
      <x:c r="I485" s="12" t="str"/>
      <x:c r="J485" s="12" t="str">
        <x:v>SRC-0001</x:v>
      </x:c>
      <x:c r="K485" s="12" t="str">
        <x:v>Section: 2.5 Action Items; table row 3</x:v>
      </x:c>
    </x:row>
    <x:row r="486">
      <x:c r="A486" s="12" t="str">
        <x:v>RSP-0485</x:v>
      </x:c>
      <x:c r="B486" s="12" t="str">
        <x:v>Create a SME (Tiger) team looking into OPERA interferometric products.</x:v>
      </x:c>
      <x:c r="C486" s="12" t="str">
        <x:v>Action item</x:v>
      </x:c>
      <x:c r="D486" s="12" t="str"/>
      <x:c r="E486" s="12" t="str">
        <x:v>Proposed</x:v>
      </x:c>
      <x:c r="F486" s="12" t="str"/>
      <x:c r="G486" s="12" t="str"/>
      <x:c r="H486" s="12" t="str">
        <x:v>Create a SME (Tiger) team looking into OPERA interferometric products.</x:v>
      </x:c>
      <x:c r="I486" s="12" t="str"/>
      <x:c r="J486" s="12" t="str">
        <x:v>SRC-0001</x:v>
      </x:c>
      <x:c r="K486" s="12" t="str">
        <x:v>Section: 2.5 Action Items; table row 4</x:v>
      </x:c>
    </x:row>
    <x:row r="487">
      <x:c r="A487" s="12" t="str">
        <x:v>RSP-0486</x:v>
      </x:c>
      <x:c r="B487" s="12" t="str">
        <x:v>Separate RADARSAT-1 Metrics: delivery to CSA, science users to give a more accurate picture due to the repatriation effort bias.</x:v>
      </x:c>
      <x:c r="C487" s="12" t="str">
        <x:v>Action item</x:v>
      </x:c>
      <x:c r="D487" s="12" t="str"/>
      <x:c r="E487" s="12" t="str">
        <x:v>Proposed</x:v>
      </x:c>
      <x:c r="F487" s="12" t="str"/>
      <x:c r="G487" s="12" t="str"/>
      <x:c r="H487" s="12" t="str">
        <x:v>Separate RADARSAT-1 Metrics: delivery to CSA, science users to give a more accurate picture due to the repatriation effort bias.</x:v>
      </x:c>
      <x:c r="I487" s="12" t="str"/>
      <x:c r="J487" s="12" t="str">
        <x:v>SRC-0001</x:v>
      </x:c>
      <x:c r="K487" s="12" t="str">
        <x:v>Section: 2.5 Action Items; table row 5</x:v>
      </x:c>
    </x:row>
    <x:row r="488">
      <x:c r="A488" s="12" t="str">
        <x:v>RSP-0487</x:v>
      </x:c>
      <x:c r="B488" s="12" t="str">
        <x:v>ASF Metrics (#1): Capture API users in addition to Vertex users.</x:v>
      </x:c>
      <x:c r="C488" s="12" t="str">
        <x:v>Action item</x:v>
      </x:c>
      <x:c r="D488" s="12" t="str"/>
      <x:c r="E488" s="12" t="str">
        <x:v>Proposed</x:v>
      </x:c>
      <x:c r="F488" s="12" t="str"/>
      <x:c r="G488" s="12" t="str"/>
      <x:c r="H488" s="12" t="str">
        <x:v>ASF Metrics (#1): Capture API users in addition to Vertex users.</x:v>
      </x:c>
      <x:c r="I488" s="12" t="str"/>
      <x:c r="J488" s="12" t="str">
        <x:v>SRC-0001</x:v>
      </x:c>
      <x:c r="K488" s="12" t="str">
        <x:v>Section: 2.5 Action Items; table row 6</x:v>
      </x:c>
    </x:row>
    <x:row r="489">
      <x:c r="A489" s="12" t="str">
        <x:v>RSP-0488</x:v>
      </x:c>
      <x:c r="B489" s="12" t="str">
        <x:v>ASF Metrics (#2): - Separate RTC and INSAR metrics. - Check how long it takes users to download the data.</x:v>
      </x:c>
      <x:c r="C489" s="12" t="str">
        <x:v>Action item</x:v>
      </x:c>
      <x:c r="D489" s="12" t="str"/>
      <x:c r="E489" s="12" t="str">
        <x:v>Proposed</x:v>
      </x:c>
      <x:c r="F489" s="12" t="str"/>
      <x:c r="G489" s="12" t="str"/>
      <x:c r="H489" s="12" t="str">
        <x:v>ASF Metrics (#2): - Separate RTC and INSAR metrics. - Check how long it takes users to download the data.</x:v>
      </x:c>
      <x:c r="I489" s="12" t="str"/>
      <x:c r="J489" s="12" t="str">
        <x:v>SRC-0001</x:v>
      </x:c>
      <x:c r="K489" s="12" t="str">
        <x:v>Section: 2.5 Action Items; table row 7</x:v>
      </x:c>
    </x:row>
    <x:row r="490">
      <x:c r="A490" s="12" t="str">
        <x:v>RSP-0489</x:v>
      </x:c>
      <x:c r="B490" s="12" t="str">
        <x:v>Contract needed for the SIR-A/B and related SAR data preservation project.</x:v>
      </x:c>
      <x:c r="C490" s="12" t="str">
        <x:v>Action item</x:v>
      </x:c>
      <x:c r="D490" s="12" t="str"/>
      <x:c r="E490" s="12" t="str">
        <x:v>Proposed</x:v>
      </x:c>
      <x:c r="F490" s="12" t="str"/>
      <x:c r="G490" s="12" t="str"/>
      <x:c r="H490" s="12" t="str">
        <x:v>Contract needed for the SIR-A/B and related SAR data preservation project.</x:v>
      </x:c>
      <x:c r="I490" s="12" t="str"/>
      <x:c r="J490" s="12" t="str">
        <x:v>SRC-0001</x:v>
      </x:c>
      <x:c r="K490" s="12" t="str">
        <x:v>Section: 2.5 Action Items; table row 8</x:v>
      </x:c>
    </x:row>
    <x:row r="491">
      <x:c r="A491" s="12" t="str">
        <x:v>RSP-0490</x:v>
      </x:c>
      <x:c r="B491" s="12" t="str">
        <x:v>provide DOI for Near Real-Time (NRT) data;</x:v>
      </x:c>
      <x:c r="C491" s="12" t="str">
        <x:v>Action item</x:v>
      </x:c>
      <x:c r="D491" s="12" t="str"/>
      <x:c r="E491" s="12" t="str">
        <x:v>Proposed</x:v>
      </x:c>
      <x:c r="F491" s="12" t="str"/>
      <x:c r="G491" s="12" t="str"/>
      <x:c r="H491" s="12" t="str">
        <x:v>provide DOI for Near Real-Time (NRT) data;</x:v>
      </x:c>
      <x:c r="I491" s="12" t="str"/>
      <x:c r="J491" s="12" t="str">
        <x:v>SRC-0001</x:v>
      </x:c>
      <x:c r="K491" s="12" t="str">
        <x:v>Section: 5.6 New Suggestions, Feedback and Actions</x:v>
      </x:c>
    </x:row>
    <x:row r="492">
      <x:c r="A492" s="12" t="str">
        <x:v>RSP-0491</x:v>
      </x:c>
      <x:c r="B492" s="12" t="str">
        <x:v>address “citation visibility in Earthdata Search” issue at the workshop.</x:v>
      </x:c>
      <x:c r="C492" s="12" t="str">
        <x:v>Action item</x:v>
      </x:c>
      <x:c r="D492" s="12" t="str"/>
      <x:c r="E492" s="12" t="str">
        <x:v>Proposed</x:v>
      </x:c>
      <x:c r="F492" s="12" t="str"/>
      <x:c r="G492" s="12" t="str"/>
      <x:c r="H492" s="12" t="str">
        <x:v>address “citation visibility in Earthdata Search” issue at the workshop.</x:v>
      </x:c>
      <x:c r="I492" s="12" t="str"/>
      <x:c r="J492" s="12" t="str">
        <x:v>SRC-0001</x:v>
      </x:c>
      <x:c r="K492" s="12" t="str">
        <x:v>Section: 5.6 New Suggestions, Feedback and Actions</x:v>
      </x:c>
    </x:row>
    <x:row r="493">
      <x:c r="A493" s="12" t="str">
        <x:v>RSP-0492</x:v>
      </x:c>
      <x:c r="B493" s="12" t="str">
        <x:v>Continue collaborating with ESDIS at the enterprise-level on data search/enhancement using AI/ML approach and data set publication/citation.</x:v>
      </x:c>
      <x:c r="C493" s="12" t="str">
        <x:v>Action item</x:v>
      </x:c>
      <x:c r="D493" s="12" t="str"/>
      <x:c r="E493" s="12" t="str">
        <x:v>Proposed</x:v>
      </x:c>
      <x:c r="F493" s="12" t="str"/>
      <x:c r="G493" s="12" t="str"/>
      <x:c r="H493" s="12" t="str">
        <x:v>Continue collaborating with ESDIS at the enterprise-level on data search/enhancement using AI/ML approach and data set publication/citation.</x:v>
      </x:c>
      <x:c r="I493" s="12" t="str"/>
      <x:c r="J493" s="12" t="str">
        <x:v>SRC-0001</x:v>
      </x:c>
      <x:c r="K493" s="12" t="str">
        <x:v>Section: 5.6 New Suggestions, Feedback and Actions</x:v>
      </x:c>
    </x:row>
    <x:row r="494">
      <x:c r="A494" s="12" t="str">
        <x:v>RSP-0493</x:v>
      </x:c>
      <x:c r="B494" s="12" t="str">
        <x:v>Two science use cases have been submitted as aspirational use cases to the ESDIS User Need (UN) Working Group (as indicated in the Table 1 marked *).</x:v>
      </x:c>
      <x:c r="C494" s="12" t="str">
        <x:v>Action item</x:v>
      </x:c>
      <x:c r="D494" s="12" t="str"/>
      <x:c r="E494" s="12" t="str">
        <x:v>Proposed</x:v>
      </x:c>
      <x:c r="F494" s="12" t="str"/>
      <x:c r="G494" s="12" t="str"/>
      <x:c r="H494" s="12" t="str">
        <x:v>Two science use cases have been submitted as aspirational use cases to the ESDIS User Need (UN) Working Group (as indicated in the Table 1 marked *).</x:v>
      </x:c>
      <x:c r="I494" s="12" t="str"/>
      <x:c r="J494" s="12" t="str">
        <x:v>SRC-0001</x:v>
      </x:c>
      <x:c r="K494" s="12" t="str">
        <x:v>Section: 5.6 New Suggestions, Feedback and Actions</x:v>
      </x:c>
    </x:row>
    <x:row r="495">
      <x:c r="A495" s="12" t="str">
        <x:v>RSP-0494</x:v>
      </x:c>
      <x:c r="B495" s="12" t="str">
        <x:v>The UWG raised a question about needing more clarification of the Earthdata Login (EDL) authentication process (on prem/cloud/cross_daac). GES DISC will coordinate with Bruce Wilson (ORNL DAAC manager) for more informati</x:v>
      </x:c>
      <x:c r="C495" s="12" t="str">
        <x:v>Action item</x:v>
      </x:c>
      <x:c r="D495" s="12" t="str"/>
      <x:c r="E495" s="12" t="str">
        <x:v>Proposed</x:v>
      </x:c>
      <x:c r="F495" s="12" t="str"/>
      <x:c r="G495" s="12" t="str"/>
      <x:c r="H495" s="12" t="str">
        <x:v>The UWG raised a question about needing more clarification of the Earthdata Login (EDL) authentication process (on prem/cloud/cross_daac). GES DISC will coordinate with Bruce Wilson (ORNL DAAC manager) for more information.</x:v>
      </x:c>
      <x:c r="I495" s="12" t="str"/>
      <x:c r="J495" s="12" t="str">
        <x:v>SRC-0001</x:v>
      </x:c>
      <x:c r="K495" s="12" t="str">
        <x:v>Section: 5.6 New Suggestions, Feedback and Actions</x:v>
      </x:c>
    </x:row>
    <x:row r="496">
      <x:c r="A496" s="12" t="str">
        <x:v>RSP-0495</x:v>
      </x:c>
      <x:c r="B496" s="12" t="str">
        <x:v>GES DISC has requested UWG members to provide feedback on the new GES DISC Web design.</x:v>
      </x:c>
      <x:c r="C496" s="12" t="str">
        <x:v>Action item</x:v>
      </x:c>
      <x:c r="D496" s="12" t="str"/>
      <x:c r="E496" s="12" t="str">
        <x:v>Proposed</x:v>
      </x:c>
      <x:c r="F496" s="12" t="str"/>
      <x:c r="G496" s="12" t="str"/>
      <x:c r="H496" s="12" t="str">
        <x:v>GES DISC has requested UWG members to provide feedback on the new GES DISC Web design.</x:v>
      </x:c>
      <x:c r="I496" s="12" t="str"/>
      <x:c r="J496" s="12" t="str">
        <x:v>SRC-0001</x:v>
      </x:c>
      <x:c r="K496" s="12" t="str">
        <x:v>Section: 5.6 New Suggestions, Feedback and Actions</x:v>
      </x:c>
    </x:row>
    <x:row r="497">
      <x:c r="A497" s="12" t="str">
        <x:v>RSP-0496</x:v>
      </x:c>
      <x:c r="B497" s="12" t="str">
        <x:v>GES DISC will conduct a webinar on using IMERG image service geared toward GIS users on October 27 via the collaboration with ESDIS (through Jennifer Brennan).</x:v>
      </x:c>
      <x:c r="C497" s="12" t="str">
        <x:v>Action item</x:v>
      </x:c>
      <x:c r="D497" s="12" t="str"/>
      <x:c r="E497" s="12" t="str">
        <x:v>Proposed</x:v>
      </x:c>
      <x:c r="F497" s="12" t="str"/>
      <x:c r="G497" s="12" t="str"/>
      <x:c r="H497" s="12" t="str">
        <x:v>GES DISC will conduct a webinar on using IMERG image service geared toward GIS users on October 27 via the collaboration with ESDIS (through Jennifer Brennan).</x:v>
      </x:c>
      <x:c r="I497" s="12" t="str"/>
      <x:c r="J497" s="12" t="str">
        <x:v>SRC-0001</x:v>
      </x:c>
      <x:c r="K497" s="12" t="str">
        <x:v>Section: 5.6 New Suggestions, Feedback and Actions</x:v>
      </x:c>
    </x:row>
    <x:row r="498">
      <x:c r="A498" s="12" t="str">
        <x:v>RSP-0497</x:v>
      </x:c>
      <x:c r="B498" s="12" t="str">
        <x:v>Provide “bite-size nuggets” of data processing recipes/tutorials, similar to Jupyter Notebook, to guide users — for example, how to use Zarr format in an Openscapes-like framework.</x:v>
      </x:c>
      <x:c r="C498" s="12" t="str">
        <x:v>Action item</x:v>
      </x:c>
      <x:c r="D498" s="12" t="str"/>
      <x:c r="E498" s="12" t="str">
        <x:v>Proposed</x:v>
      </x:c>
      <x:c r="F498" s="12" t="str"/>
      <x:c r="G498" s="12" t="str"/>
      <x:c r="H498" s="12" t="str">
        <x:v>Provide “bite-size nuggets” of data processing recipes/tutorials, similar to Jupyter Notebook, to guide users — for example, how to use Zarr format in an Openscapes-like framework.</x:v>
      </x:c>
      <x:c r="I498" s="12" t="str"/>
      <x:c r="J498" s="12" t="str">
        <x:v>SRC-0001</x:v>
      </x:c>
      <x:c r="K498" s="12" t="str">
        <x:v>Section: 5.6 New Suggestions, Feedback and Actions</x:v>
      </x:c>
    </x:row>
    <x:row r="499">
      <x:c r="A499" s="12" t="str">
        <x:v>RSP-0498</x:v>
      </x:c>
      <x:c r="B499" s="12" t="str">
        <x:v>Provide cloud-based sandbox environments for scientific exploration work.</x:v>
      </x:c>
      <x:c r="C499" s="12" t="str">
        <x:v>Action item</x:v>
      </x:c>
      <x:c r="D499" s="12" t="str"/>
      <x:c r="E499" s="12" t="str">
        <x:v>Proposed</x:v>
      </x:c>
      <x:c r="F499" s="12" t="str"/>
      <x:c r="G499" s="12" t="str"/>
      <x:c r="H499" s="12" t="str">
        <x:v>Provide cloud-based sandbox environments for scientific exploration work.</x:v>
      </x:c>
      <x:c r="I499" s="12" t="str"/>
      <x:c r="J499" s="12" t="str">
        <x:v>SRC-0001</x:v>
      </x:c>
      <x:c r="K499" s="12" t="str">
        <x:v>Section: 5.6 New Suggestions, Feedback and Actions</x:v>
      </x:c>
    </x:row>
    <x:row r="500">
      <x:c r="A500" s="12" t="str">
        <x:v>RSP-0499</x:v>
      </x:c>
      <x:c r="B500" s="12" t="str">
        <x:v>Users need guidance on appropriate use of satellite datasets for climate related studies. UWG members stressed the need for a rigorous scientific foundation for the interpretation of the data, and provided a firm opinion</x:v>
      </x:c>
      <x:c r="C500" s="12" t="str">
        <x:v>Action item</x:v>
      </x:c>
      <x:c r="D500" s="12" t="str"/>
      <x:c r="E500" s="12" t="str">
        <x:v>Proposed</x:v>
      </x:c>
      <x:c r="F500" s="12" t="str"/>
      <x:c r="G500" s="12" t="str"/>
      <x:c r="H500" s="12" t="str">
        <x:v>Users need guidance on appropriate use of satellite datasets for climate related studies. UWG members stressed the need for a rigorous scientific foundation for the interpretation of the data, and provided a firm opinion that the GES DISC should not provide any services that offer trend analysis without accompanying statistical uncertainty. UWG also suggested referring to the Microwave Limb Sounder (MLS) user guide for better data documentation.</x:v>
      </x:c>
      <x:c r="I500" s="12" t="str"/>
      <x:c r="J500" s="12" t="str">
        <x:v>SRC-0001</x:v>
      </x:c>
      <x:c r="K500" s="12" t="str">
        <x:v>Section: 5.6 New Suggestions, Feedback and Actions</x:v>
      </x:c>
    </x:row>
    <x:row r="501">
      <x:c r="A501" s="12" t="str">
        <x:v>RSP-0500</x:v>
      </x:c>
      <x:c r="B501" s="12" t="str">
        <x:v>Provide additional BibTex download for data citation at the dataset landing page.</x:v>
      </x:c>
      <x:c r="C501" s="12" t="str">
        <x:v>Action item</x:v>
      </x:c>
      <x:c r="D501" s="12" t="str"/>
      <x:c r="E501" s="12" t="str">
        <x:v>Proposed</x:v>
      </x:c>
      <x:c r="F501" s="12" t="str"/>
      <x:c r="G501" s="12" t="str"/>
      <x:c r="H501" s="12" t="str">
        <x:v>Provide additional BibTex download for data citation at the dataset landing page.</x:v>
      </x:c>
      <x:c r="I501" s="12" t="str"/>
      <x:c r="J501" s="12" t="str">
        <x:v>SRC-0001</x:v>
      </x:c>
      <x:c r="K501" s="12" t="str">
        <x:v>Section: 5.6 New Suggestions, Feedback and Actions</x:v>
      </x:c>
    </x:row>
    <x:row r="502">
      <x:c r="A502" s="12" t="str">
        <x:v>RSP-0501</x:v>
      </x:c>
      <x:c r="B502" s="12" t="str">
        <x:v>Examine the addition of non-NASA data in the cloud to allow researchers to perform cross-disciplinary studies.</x:v>
      </x:c>
      <x:c r="C502" s="12" t="str">
        <x:v>Action item</x:v>
      </x:c>
      <x:c r="D502" s="12" t="str"/>
      <x:c r="E502" s="12" t="str">
        <x:v>Proposed</x:v>
      </x:c>
      <x:c r="F502" s="12" t="str"/>
      <x:c r="G502" s="12" t="str"/>
      <x:c r="H502" s="12" t="str">
        <x:v>Examine the addition of non-NASA data in the cloud to allow researchers to perform cross-disciplinary studies.</x:v>
      </x:c>
      <x:c r="I502" s="12" t="str"/>
      <x:c r="J502" s="12" t="str">
        <x:v>SRC-0001</x:v>
      </x:c>
      <x:c r="K502" s="12" t="str">
        <x:v>Section: 5.6 New Suggestions, Feedback and Actions</x:v>
      </x:c>
    </x:row>
    <x:row r="503">
      <x:c r="A503" s="12" t="str">
        <x:v>RSP-0502</x:v>
      </x:c>
      <x:c r="B503" s="12" t="str">
        <x:v>Ensure that services created from “shadow archives” (archives reformatted from the original dataset for a specific purpose) are both closely tied to, and acknowledged for the original source. Data sprawl (the same datase</x:v>
      </x:c>
      <x:c r="C503" s="12" t="str">
        <x:v>Action item</x:v>
      </x:c>
      <x:c r="D503" s="12" t="str"/>
      <x:c r="E503" s="12" t="str">
        <x:v>Proposed</x:v>
      </x:c>
      <x:c r="F503" s="12" t="str"/>
      <x:c r="G503" s="12" t="str"/>
      <x:c r="H503" s="12" t="str">
        <x:v>Ensure that services created from “shadow archives” (archives reformatted from the original dataset for a specific purpose) are both closely tied to, and acknowledged for the original source. Data sprawl (the same dataset in multiple forms) needs to be managed and requires care in storage efficiency and maintenance of data integrity.</x:v>
      </x:c>
      <x:c r="I503" s="12" t="str"/>
      <x:c r="J503" s="12" t="str">
        <x:v>SRC-0001</x:v>
      </x:c>
      <x:c r="K503" s="12" t="str">
        <x:v>Section: 5.6 New Suggestions, Feedback and Actions</x:v>
      </x:c>
    </x:row>
    <x:row r="504">
      <x:c r="A504" s="12" t="str">
        <x:v>RSP-0503</x:v>
      </x:c>
      <x:c r="B504" s="12" t="str">
        <x:v>UWG suggested workshops with subject matter experts, which would be a useful way of teaching users about exploring NASA data with GIS. Such outreach should be based on a scientific use case(s), such as wildfire or tropic</x:v>
      </x:c>
      <x:c r="C504" s="12" t="str">
        <x:v>Action item</x:v>
      </x:c>
      <x:c r="D504" s="12" t="str"/>
      <x:c r="E504" s="12" t="str">
        <x:v>Proposed</x:v>
      </x:c>
      <x:c r="F504" s="12" t="str"/>
      <x:c r="G504" s="12" t="str"/>
      <x:c r="H504" s="12" t="str">
        <x:v>UWG suggested workshops with subject matter experts, which would be a useful way of teaching users about exploring NASA data with GIS. Such outreach should be based on a scientific use case(s), such as wildfire or tropical cyclones.</x:v>
      </x:c>
      <x:c r="I504" s="12" t="str"/>
      <x:c r="J504" s="12" t="str">
        <x:v>SRC-0001</x:v>
      </x:c>
      <x:c r="K504" s="12" t="str">
        <x:v>Section: 5.6 New Suggestions, Feedback and Actions</x:v>
      </x:c>
    </x:row>
    <x:row r="505">
      <x:c r="A505" s="12" t="str">
        <x:v>RSP-0504</x:v>
      </x:c>
      <x:c r="B505" s="12" t="str">
        <x:v>UWG suggested datasets related to fires, aerosols, precipitation, and atmospheric composition to be considered as future GIS services.</x:v>
      </x:c>
      <x:c r="C505" s="12" t="str">
        <x:v>Action item</x:v>
      </x:c>
      <x:c r="D505" s="12" t="str"/>
      <x:c r="E505" s="12" t="str">
        <x:v>Proposed</x:v>
      </x:c>
      <x:c r="F505" s="12" t="str"/>
      <x:c r="G505" s="12" t="str"/>
      <x:c r="H505" s="12" t="str">
        <x:v>UWG suggested datasets related to fires, aerosols, precipitation, and atmospheric composition to be considered as future GIS services.</x:v>
      </x:c>
      <x:c r="I505" s="12" t="str"/>
      <x:c r="J505" s="12" t="str">
        <x:v>SRC-0001</x:v>
      </x:c>
      <x:c r="K505" s="12" t="str">
        <x:v>Section: 5.6 New Suggestions, Feedback and Actions</x:v>
      </x:c>
    </x:row>
    <x:row r="506">
      <x:c r="A506" s="12" t="str">
        <x:v>RSP-0505</x:v>
      </x:c>
      <x:c r="B506" s="12" t="str">
        <x:v>The need for data providers to define what Analysis Ready Data (ARD) mean for their specific datasets.</x:v>
      </x:c>
      <x:c r="C506" s="12" t="str">
        <x:v>Action item</x:v>
      </x:c>
      <x:c r="D506" s="12" t="str"/>
      <x:c r="E506" s="12" t="str">
        <x:v>Proposed</x:v>
      </x:c>
      <x:c r="F506" s="12" t="str"/>
      <x:c r="G506" s="12" t="str"/>
      <x:c r="H506" s="12" t="str">
        <x:v>The need for data providers to define what Analysis Ready Data (ARD) mean for their specific datasets.</x:v>
      </x:c>
      <x:c r="I506" s="12" t="str"/>
      <x:c r="J506" s="12" t="str">
        <x:v>SRC-0001</x:v>
      </x:c>
      <x:c r="K506" s="12" t="str">
        <x:v>Section: 5.6 New Suggestions, Feedback and Actions</x:v>
      </x:c>
    </x:row>
    <x:row r="507">
      <x:c r="A507" s="12" t="str">
        <x:v>RSP-0506</x:v>
      </x:c>
      <x:c r="B507" s="12" t="str">
        <x:v>An enterprise-level effort to (1) make Analysis Ready Data (ARD) accessible to users, and (2) make ARDs “trustworthy” by providing data provenance.</x:v>
      </x:c>
      <x:c r="C507" s="12" t="str">
        <x:v>Action item</x:v>
      </x:c>
      <x:c r="D507" s="12" t="str"/>
      <x:c r="E507" s="12" t="str">
        <x:v>Proposed</x:v>
      </x:c>
      <x:c r="F507" s="12" t="str"/>
      <x:c r="G507" s="12" t="str"/>
      <x:c r="H507" s="12" t="str">
        <x:v>An enterprise-level effort to (1) make Analysis Ready Data (ARD) accessible to users, and (2) make ARDs “trustworthy” by providing data provenance.</x:v>
      </x:c>
      <x:c r="I507" s="12" t="str"/>
      <x:c r="J507" s="12" t="str">
        <x:v>SRC-0001</x:v>
      </x:c>
      <x:c r="K507" s="12" t="str">
        <x:v>Section: 5.6 New Suggestions, Feedback and Actions</x:v>
      </x:c>
    </x:row>
    <x:row r="508">
      <x:c r="A508" s="12" t="str">
        <x:v>RSP-0507</x:v>
      </x:c>
      <x:c r="B508" s="12" t="str">
        <x:v>Provide a cloud-based “sandbox” for users to experiment with data processing and perform scientific analysis in the cloud (also an Action Item).</x:v>
      </x:c>
      <x:c r="C508" s="12" t="str">
        <x:v>Action item</x:v>
      </x:c>
      <x:c r="D508" s="12" t="str"/>
      <x:c r="E508" s="12" t="str">
        <x:v>Proposed</x:v>
      </x:c>
      <x:c r="F508" s="12" t="str"/>
      <x:c r="G508" s="12" t="str"/>
      <x:c r="H508" s="12" t="str">
        <x:v>Provide a cloud-based “sandbox” for users to experiment with data processing and perform scientific analysis in the cloud (also an Action Item).</x:v>
      </x:c>
      <x:c r="I508" s="12" t="str"/>
      <x:c r="J508" s="12" t="str">
        <x:v>SRC-0001</x:v>
      </x:c>
      <x:c r="K508" s="12" t="str">
        <x:v>Section: 5.6 New Suggestions, Feedback and Actions</x:v>
      </x:c>
    </x:row>
    <x:row r="509">
      <x:c r="A509" s="12" t="str">
        <x:v>RSP-0508</x:v>
      </x:c>
      <x:c r="B509" s="12" t="str">
        <x:v>The LANCE UWG should be notified of the Designated Observable studies that will look at latency and future SIPS-like functionality – Action Andy Mitchell/Diane.</x:v>
      </x:c>
      <x:c r="C509" s="12" t="str">
        <x:v>Action item</x:v>
      </x:c>
      <x:c r="D509" s="12" t="str"/>
      <x:c r="E509" s="12" t="str">
        <x:v>Proposed</x:v>
      </x:c>
      <x:c r="F509" s="12" t="str"/>
      <x:c r="G509" s="12" t="str"/>
      <x:c r="H509" s="12" t="str">
        <x:v>The LANCE UWG should be notified of the Designated Observable studies that will look at latency and future SIPS-like functionality – Action Andy Mitchell/Diane.</x:v>
      </x:c>
      <x:c r="I509" s="12" t="str"/>
      <x:c r="J509" s="12" t="str">
        <x:v>SRC-0001</x:v>
      </x:c>
      <x:c r="K509" s="12" t="str">
        <x:v>Section: 6.1.5 Appendix 1: Action Items</x:v>
      </x:c>
    </x:row>
    <x:row r="510">
      <x:c r="A510" s="12" t="str">
        <x:v>RSP-0509</x:v>
      </x:c>
      <x:c r="B510" s="12" t="str">
        <x:v>It is recommended that ESDIS set up a Cloud focused discussion for users – Andy / ESDIS.</x:v>
      </x:c>
      <x:c r="C510" s="12" t="str">
        <x:v>Action item</x:v>
      </x:c>
      <x:c r="D510" s="12" t="str"/>
      <x:c r="E510" s="12" t="str">
        <x:v>Proposed</x:v>
      </x:c>
      <x:c r="F510" s="12" t="str"/>
      <x:c r="G510" s="12" t="str"/>
      <x:c r="H510" s="12" t="str">
        <x:v>It is recommended that ESDIS set up a Cloud focused discussion for users – Andy / ESDIS.</x:v>
      </x:c>
      <x:c r="I510" s="12" t="str"/>
      <x:c r="J510" s="12" t="str">
        <x:v>SRC-0001</x:v>
      </x:c>
      <x:c r="K510" s="12" t="str">
        <x:v>Section: 6.1.5 Appendix 1: Action Items</x:v>
      </x:c>
    </x:row>
    <x:row r="511">
      <x:c r="A511" s="12" t="str">
        <x:v>RSP-0510</x:v>
      </x:c>
      <x:c r="B511" s="12" t="str">
        <x:v>The LANCE UWG should review / follow up on DO studies when they are complete – action David/Tian to send out the follow up information.</x:v>
      </x:c>
      <x:c r="C511" s="12" t="str">
        <x:v>Action item</x:v>
      </x:c>
      <x:c r="D511" s="12" t="str"/>
      <x:c r="E511" s="12" t="str">
        <x:v>Proposed</x:v>
      </x:c>
      <x:c r="F511" s="12" t="str"/>
      <x:c r="G511" s="12" t="str"/>
      <x:c r="H511" s="12" t="str">
        <x:v>The LANCE UWG should review / follow up on DO studies when they are complete – action David/Tian to send out the follow up information.</x:v>
      </x:c>
      <x:c r="I511" s="12" t="str"/>
      <x:c r="J511" s="12" t="str">
        <x:v>SRC-0001</x:v>
      </x:c>
      <x:c r="K511" s="12" t="str">
        <x:v>Section: 6.1.5 Appendix 1: Action Items</x:v>
      </x:c>
    </x:row>
    <x:row r="512">
      <x:c r="A512" s="12" t="str">
        <x:v>RSP-0511</x:v>
      </x:c>
      <x:c r="B512" s="12" t="str">
        <x:v>Continue work to make LANCE data more GIS friendly.</x:v>
      </x:c>
      <x:c r="C512" s="12" t="str">
        <x:v>Action item</x:v>
      </x:c>
      <x:c r="D512" s="12" t="str"/>
      <x:c r="E512" s="12" t="str">
        <x:v>Proposed</x:v>
      </x:c>
      <x:c r="F512" s="12" t="str"/>
      <x:c r="G512" s="12" t="str"/>
      <x:c r="H512" s="12" t="str">
        <x:v>Continue work to make LANCE data more GIS friendly.</x:v>
      </x:c>
      <x:c r="I512" s="12" t="str"/>
      <x:c r="J512" s="12" t="str">
        <x:v>SRC-0001</x:v>
      </x:c>
      <x:c r="K512" s="12" t="str">
        <x:v>Section: 6.1.5 Appendix 1: Action Items</x:v>
      </x:c>
    </x:row>
    <x:row r="513">
      <x:c r="A513" s="12" t="str">
        <x:v>RSP-0512</x:v>
      </x:c>
      <x:c r="B513" s="12" t="str">
        <x:v>With regards to the AWS direct readout study there was a suggestion to compare N20 products from AWS to LANCE – Karen / Dan Pilone (leave out as it was not a recommendation).</x:v>
      </x:c>
      <x:c r="C513" s="12" t="str">
        <x:v>Action item</x:v>
      </x:c>
      <x:c r="D513" s="12" t="str"/>
      <x:c r="E513" s="12" t="str">
        <x:v>Proposed</x:v>
      </x:c>
      <x:c r="F513" s="12" t="str"/>
      <x:c r="G513" s="12" t="str"/>
      <x:c r="H513" s="12" t="str">
        <x:v>With regards to the AWS direct readout study there was a suggestion to compare N20 products from AWS to LANCE – Karen / Dan Pilone (leave out as it was not a recommendation).</x:v>
      </x:c>
      <x:c r="I513" s="12" t="str"/>
      <x:c r="J513" s="12" t="str">
        <x:v>SRC-0001</x:v>
      </x:c>
      <x:c r="K513" s="12" t="str">
        <x:v>Section: 6.1.5 Appendix 1: Action Items</x:v>
      </x:c>
    </x:row>
    <x:row r="514">
      <x:c r="A514" s="12" t="str">
        <x:v>RSP-0513</x:v>
      </x:c>
      <x:c r="B514" s="12" t="str">
        <x:v>David Green and Brad Quayle to follow up on the idea of the fire community being an early adopter for NISAR.</x:v>
      </x:c>
      <x:c r="C514" s="12" t="str">
        <x:v>Action item</x:v>
      </x:c>
      <x:c r="D514" s="12" t="str"/>
      <x:c r="E514" s="12" t="str">
        <x:v>Proposed</x:v>
      </x:c>
      <x:c r="F514" s="12" t="str"/>
      <x:c r="G514" s="12" t="str"/>
      <x:c r="H514" s="12" t="str">
        <x:v>David Green and Brad Quayle to follow up on the idea of the fire community being an early adopter for NISAR.</x:v>
      </x:c>
      <x:c r="I514" s="12" t="str"/>
      <x:c r="J514" s="12" t="str">
        <x:v>SRC-0001</x:v>
      </x:c>
      <x:c r="K514" s="12" t="str">
        <x:v>Section: 6.1.5 Appendix 1: Action Items</x:v>
      </x:c>
    </x:row>
    <x:row r="515">
      <x:c r="A515" s="12" t="str">
        <x:v>RSP-0514</x:v>
      </x:c>
      <x:c r="B515" s="12" t="str">
        <x:v>GIBS/Worldview asked the UWG for input on how long the GeoColor images should be retained and asked what the UWG would like to see next? E.g., SMAP? IMERG?</x:v>
      </x:c>
      <x:c r="C515" s="12" t="str">
        <x:v>Action item</x:v>
      </x:c>
      <x:c r="D515" s="12" t="str"/>
      <x:c r="E515" s="12" t="str">
        <x:v>Proposed</x:v>
      </x:c>
      <x:c r="F515" s="12" t="str"/>
      <x:c r="G515" s="12" t="str"/>
      <x:c r="H515" s="12" t="str">
        <x:v>GIBS/Worldview asked the UWG for input on how long the GeoColor images should be retained and asked what the UWG would like to see next? E.g., SMAP? IMERG?</x:v>
      </x:c>
      <x:c r="I515" s="12" t="str"/>
      <x:c r="J515" s="12" t="str">
        <x:v>SRC-0001</x:v>
      </x:c>
      <x:c r="K515" s="12" t="str">
        <x:v>Section: 6.1.5 Appendix 1: Action Items</x:v>
      </x:c>
    </x:row>
    <x:row r="516">
      <x:c r="A516" s="12" t="str">
        <x:v>RSP-0515</x:v>
      </x:c>
      <x:c r="B516" s="12" t="str">
        <x:v>LANCE should raise the issue of QA flags for any standard product layers that are hosted in the ESRI Living Atlas – they are currently only hosting RGB imagery and not hosting standard products but as this is likely to h</x:v>
      </x:c>
      <x:c r="C516" s="12" t="str">
        <x:v>Action item</x:v>
      </x:c>
      <x:c r="D516" s="12" t="str"/>
      <x:c r="E516" s="12" t="str">
        <x:v>Proposed</x:v>
      </x:c>
      <x:c r="F516" s="12" t="str"/>
      <x:c r="G516" s="12" t="str"/>
      <x:c r="H516" s="12" t="str">
        <x:v>LANCE should raise the issue of QA flags for any standard product layers that are hosted in the ESRI Living Atlas – they are currently only hosting RGB imagery and not hosting standard products but as this is likely to happen in the future, consideration should be given to how this can be managed.</x:v>
      </x:c>
      <x:c r="I516" s="12" t="str"/>
      <x:c r="J516" s="12" t="str">
        <x:v>SRC-0001</x:v>
      </x:c>
      <x:c r="K516" s="12" t="str">
        <x:v>Section: 6.1.5 Appendix 1: Action Items</x:v>
      </x:c>
    </x:row>
    <x:row r="517">
      <x:c r="A517" s="12" t="str">
        <x:v>RSP-0516</x:v>
      </x:c>
      <x:c r="B517" s="12" t="str">
        <x:v>Send ideas for rebranding “LANCE” to Diane and Karen.</x:v>
      </x:c>
      <x:c r="C517" s="12" t="str">
        <x:v>Action item</x:v>
      </x:c>
      <x:c r="D517" s="12" t="str"/>
      <x:c r="E517" s="12" t="str">
        <x:v>Proposed</x:v>
      </x:c>
      <x:c r="F517" s="12" t="str"/>
      <x:c r="G517" s="12" t="str"/>
      <x:c r="H517" s="12" t="str">
        <x:v>Send ideas for rebranding “LANCE” to Diane and Karen.</x:v>
      </x:c>
      <x:c r="I517" s="12" t="str"/>
      <x:c r="J517" s="12" t="str">
        <x:v>SRC-0001</x:v>
      </x:c>
      <x:c r="K517" s="12" t="str">
        <x:v>Section: 6.2.6 Appendix 1: Action Items</x:v>
      </x:c>
    </x:row>
    <x:row r="518">
      <x:c r="A518" s="12" t="str">
        <x:v>RSP-0517</x:v>
      </x:c>
      <x:c r="B518" s="12" t="str">
        <x:v>Send suggestions to Karen on how data from event-based monitoring from DR should be made available to users.</x:v>
      </x:c>
      <x:c r="C518" s="12" t="str">
        <x:v>Action item</x:v>
      </x:c>
      <x:c r="D518" s="12" t="str"/>
      <x:c r="E518" s="12" t="str">
        <x:v>Proposed</x:v>
      </x:c>
      <x:c r="F518" s="12" t="str"/>
      <x:c r="G518" s="12" t="str"/>
      <x:c r="H518" s="12" t="str">
        <x:v>Send suggestions to Karen on how data from event-based monitoring from DR should be made available to users.</x:v>
      </x:c>
      <x:c r="I518" s="12" t="str"/>
      <x:c r="J518" s="12" t="str">
        <x:v>SRC-0001</x:v>
      </x:c>
      <x:c r="K518" s="12" t="str">
        <x:v>Section: 6.2.6 Appendix 1: Action Items</x:v>
      </x:c>
    </x:row>
    <x:row r="519">
      <x:c r="A519" s="12" t="str">
        <x:v>RSP-0518</x:v>
      </x:c>
      <x:c r="B519" s="12" t="str">
        <x:v>Review the potential new products outlined in the LANCE UWG and comment on which ones would be of interest. As a reminder these are listed in Text Box 1 and charts describing them are available from Mike Falkowski’s pres</x:v>
      </x:c>
      <x:c r="C519" s="12" t="str">
        <x:v>Action item</x:v>
      </x:c>
      <x:c r="D519" s="12" t="str"/>
      <x:c r="E519" s="12" t="str">
        <x:v>Proposed</x:v>
      </x:c>
      <x:c r="F519" s="12" t="str"/>
      <x:c r="G519" s="12" t="str"/>
      <x:c r="H519" s="12" t="str">
        <x:v>Review the potential new products outlined in the LANCE UWG and comment on which ones would be of interest. As a reminder these are listed in Text Box 1 and charts describing them are available from Mike Falkowski’s presentation.</x:v>
      </x:c>
      <x:c r="I519" s="12" t="str"/>
      <x:c r="J519" s="12" t="str">
        <x:v>SRC-0001</x:v>
      </x:c>
      <x:c r="K519" s="12" t="str">
        <x:v>Section: 6.2.6 Appendix 1: Action Items</x:v>
      </x:c>
    </x:row>
    <x:row r="520">
      <x:c r="A520" s="12" t="str">
        <x:v>RSP-0519</x:v>
      </x:c>
      <x:c r="B520" s="12" t="str">
        <x:v>Test the AMSR2 Data recipe to create NRT AMSR2 GeoTIF. Any feedback should go to Sherry Harrison (sherry.harrison@uah.edu) and Leigh Sinclair (leigh.sinclair@uah.edu).</x:v>
      </x:c>
      <x:c r="C520" s="12" t="str">
        <x:v>Action item</x:v>
      </x:c>
      <x:c r="D520" s="12" t="str"/>
      <x:c r="E520" s="12" t="str">
        <x:v>Proposed</x:v>
      </x:c>
      <x:c r="F520" s="12" t="str"/>
      <x:c r="G520" s="12" t="str"/>
      <x:c r="H520" s="12" t="str">
        <x:v>Test the AMSR2 Data recipe to create NRT AMSR2 GeoTIF. Any feedback should go to Sherry Harrison (sherry.harrison@uah.edu) and Leigh Sinclair (leigh.sinclair@uah.edu).</x:v>
      </x:c>
      <x:c r="I520" s="12" t="str"/>
      <x:c r="J520" s="12" t="str">
        <x:v>SRC-0001</x:v>
      </x:c>
      <x:c r="K520" s="12" t="str">
        <x:v>Section: 6.2.6 Appendix 1: Action Items</x:v>
      </x:c>
    </x:row>
    <x:row r="521">
      <x:c r="A521" s="12" t="str">
        <x:v>RSP-0520</x:v>
      </x:c>
      <x:c r="B521" s="12" t="str">
        <x:v>If the NRT SMAP is of interest, provide input to Matt Cechini on what imagery would be most useful as a GIBS layer.</x:v>
      </x:c>
      <x:c r="C521" s="12" t="str">
        <x:v>Action item</x:v>
      </x:c>
      <x:c r="D521" s="12" t="str"/>
      <x:c r="E521" s="12" t="str">
        <x:v>Proposed</x:v>
      </x:c>
      <x:c r="F521" s="12" t="str"/>
      <x:c r="G521" s="12" t="str"/>
      <x:c r="H521" s="12" t="str">
        <x:v>If the NRT SMAP is of interest, provide input to Matt Cechini on what imagery would be most useful as a GIBS layer.</x:v>
      </x:c>
      <x:c r="I521" s="12" t="str"/>
      <x:c r="J521" s="12" t="str">
        <x:v>SRC-0001</x:v>
      </x:c>
      <x:c r="K521" s="12" t="str">
        <x:v>Section: 6.2.6 Appendix 1: Action Items</x:v>
      </x:c>
    </x:row>
    <x:row r="522">
      <x:c r="A522" s="12" t="str">
        <x:v>RSP-0521</x:v>
      </x:c>
      <x:c r="B522" s="12" t="str">
        <x:v>LANCE to set up a discussion with Maggie Glasscoe to see how LANCE data can be integrated into the flood risk Model of Models approach, to provide outputs to the Pacific Disaster Center.</x:v>
      </x:c>
      <x:c r="C522" s="12" t="str">
        <x:v>Action item</x:v>
      </x:c>
      <x:c r="D522" s="12" t="str"/>
      <x:c r="E522" s="12" t="str">
        <x:v>Proposed</x:v>
      </x:c>
      <x:c r="F522" s="12" t="str"/>
      <x:c r="G522" s="12" t="str"/>
      <x:c r="H522" s="12" t="str">
        <x:v>LANCE to set up a discussion with Maggie Glasscoe to see how LANCE data can be integrated into the flood risk Model of Models approach, to provide outputs to the Pacific Disaster Center.</x:v>
      </x:c>
      <x:c r="I522" s="12" t="str"/>
      <x:c r="J522" s="12" t="str">
        <x:v>SRC-0001</x:v>
      </x:c>
      <x:c r="K522" s="12" t="str">
        <x:v>Section: 6.2.6 Appendix 1: Action Items</x:v>
      </x:c>
    </x:row>
    <x:row r="523">
      <x:c r="A523" s="12" t="str">
        <x:v>RSP-0522</x:v>
      </x:c>
      <x:c r="B523" s="12" t="str">
        <x:v>Follow up with Katie Baynes/NASA HQ on Miguel’s questions – will there be a “mission enabling” role for LANCE – similar to the role of Direct Readout in the early days of EOS? Katie mentioned that understanding the servi</x:v>
      </x:c>
      <x:c r="C523" s="12" t="str">
        <x:v>Action item</x:v>
      </x:c>
      <x:c r="D523" s="12" t="str"/>
      <x:c r="E523" s="12" t="str">
        <x:v>Proposed</x:v>
      </x:c>
      <x:c r="F523" s="12" t="str"/>
      <x:c r="G523" s="12" t="str"/>
      <x:c r="H523" s="12" t="str">
        <x:v>Follow up with Katie Baynes/NASA HQ on Miguel’s questions – will there be a “mission enabling” role for LANCE – similar to the role of Direct Readout in the early days of EOS? Katie mentioned that understanding the service role the ESO, and what role LANCE might play in that, will help re-frame the future LANCE.</x:v>
      </x:c>
      <x:c r="I523" s="12" t="str"/>
      <x:c r="J523" s="12" t="str">
        <x:v>SRC-0001</x:v>
      </x:c>
      <x:c r="K523" s="12" t="str">
        <x:v>Section: 6.2.6 Appendix 1: Action Items</x:v>
      </x:c>
    </x:row>
    <x:row r="524">
      <x:c r="A524" s="12" t="str">
        <x:v>RSP-0523</x:v>
      </x:c>
      <x:c r="B524" s="12" t="str">
        <x:v>Action for Nathan Kurtz to write an overview on what ICESat ice products offer over the optical ice products already available from MODIS and VIIRS.</x:v>
      </x:c>
      <x:c r="C524" s="12" t="str">
        <x:v>Action item</x:v>
      </x:c>
      <x:c r="D524" s="12" t="str"/>
      <x:c r="E524" s="12" t="str">
        <x:v>Proposed</x:v>
      </x:c>
      <x:c r="F524" s="12" t="str"/>
      <x:c r="G524" s="12" t="str"/>
      <x:c r="H524" s="12" t="str">
        <x:v>Action for Nathan Kurtz to write an overview on what ICESat ice products offer over the optical ice products already available from MODIS and VIIRS.</x:v>
      </x:c>
      <x:c r="I524" s="12" t="str"/>
      <x:c r="J524" s="12" t="str">
        <x:v>SRC-0001</x:v>
      </x:c>
      <x:c r="K524" s="12" t="str">
        <x:v>Section: 6.2.6 Appendix 1: Action Items</x:v>
      </x:c>
    </x:row>
    <x:row r="525">
      <x:c r="A525" s="12" t="str">
        <x:v>RSP-0524</x:v>
      </x:c>
      <x:c r="B525" s="12" t="str">
        <x:v>Action to see better communication with the PIs when products are updated in GIBS/Worldview. Work with PIs Crystal expressed a desire to see better communication with PIs about updates to GIBS.</x:v>
      </x:c>
      <x:c r="C525" s="12" t="str">
        <x:v>Action item</x:v>
      </x:c>
      <x:c r="D525" s="12" t="str"/>
      <x:c r="E525" s="12" t="str">
        <x:v>Proposed</x:v>
      </x:c>
      <x:c r="F525" s="12" t="str"/>
      <x:c r="G525" s="12" t="str"/>
      <x:c r="H525" s="12" t="str">
        <x:v>Action to see better communication with the PIs when products are updated in GIBS/Worldview. Work with PIs Crystal expressed a desire to see better communication with PIs about updates to GIBS.</x:v>
      </x:c>
      <x:c r="I525" s="12" t="str"/>
      <x:c r="J525" s="12" t="str">
        <x:v>SRC-0001</x:v>
      </x:c>
      <x:c r="K525" s="12" t="str">
        <x:v>Section: 6.2.6 Appendix 1: Action Items</x:v>
      </x:c>
    </x:row>
    <x:row r="526">
      <x:c r="A526" s="12" t="str">
        <x:v>RSP-0525</x:v>
      </x:c>
      <x:c r="B526" s="12" t="str">
        <x:v>Fritz and Miguel to follow up on what could be used for flood to fill the gap once MODIS Terra is no longer operational.</x:v>
      </x:c>
      <x:c r="C526" s="12" t="str">
        <x:v>Action item</x:v>
      </x:c>
      <x:c r="D526" s="12" t="str"/>
      <x:c r="E526" s="12" t="str">
        <x:v>Proposed</x:v>
      </x:c>
      <x:c r="F526" s="12" t="str"/>
      <x:c r="G526" s="12" t="str"/>
      <x:c r="H526" s="12" t="str">
        <x:v>Fritz and Miguel to follow up on what could be used for flood to fill the gap once MODIS Terra is no longer operational.</x:v>
      </x:c>
      <x:c r="I526" s="12" t="str"/>
      <x:c r="J526" s="12" t="str">
        <x:v>SRC-0001</x:v>
      </x:c>
      <x:c r="K526" s="12" t="str">
        <x:v>Section: 6.2.6 Appendix 1: Action Items</x:v>
      </x:c>
    </x:row>
    <x:row r="527">
      <x:c r="A527" s="12" t="str">
        <x:v>RSP-0526</x:v>
      </x:c>
      <x:c r="B527" s="12" t="str">
        <x:v>Karen to initiate discussion with NOAA to share best practices and lessons learned from AWS/DB/ultra-low latency approach. Action for Steve Miller to find a NOAA point of contact for this.</x:v>
      </x:c>
      <x:c r="C527" s="12" t="str">
        <x:v>Action item</x:v>
      </x:c>
      <x:c r="D527" s="12" t="str"/>
      <x:c r="E527" s="12" t="str">
        <x:v>Proposed</x:v>
      </x:c>
      <x:c r="F527" s="12" t="str"/>
      <x:c r="G527" s="12" t="str"/>
      <x:c r="H527" s="12" t="str">
        <x:v>Karen to initiate discussion with NOAA to share best practices and lessons learned from AWS/DB/ultra-low latency approach. Action for Steve Miller to find a NOAA point of contact for this.</x:v>
      </x:c>
      <x:c r="I527" s="12" t="str"/>
      <x:c r="J527" s="12" t="str">
        <x:v>SRC-0001</x:v>
      </x:c>
      <x:c r="K527" s="12" t="str">
        <x:v>Section: 6.2.6 Appendix 1: Action Items</x:v>
      </x:c>
    </x:row>
    <x:row r="528">
      <x:c r="A528" s="12" t="str">
        <x:v>RSP-0527</x:v>
      </x:c>
      <x:c r="B528" s="12" t="str">
        <x:v>David Green encouraged Andrew Molthan and others from Disasters to get involved in exploring how triggered DB data might be used for disasters.</x:v>
      </x:c>
      <x:c r="C528" s="12" t="str">
        <x:v>Action item</x:v>
      </x:c>
      <x:c r="D528" s="12" t="str"/>
      <x:c r="E528" s="12" t="str">
        <x:v>Proposed</x:v>
      </x:c>
      <x:c r="F528" s="12" t="str"/>
      <x:c r="G528" s="12" t="str"/>
      <x:c r="H528" s="12" t="str">
        <x:v>David Green encouraged Andrew Molthan and others from Disasters to get involved in exploring how triggered DB data might be used for disasters.</x:v>
      </x:c>
      <x:c r="I528" s="12" t="str"/>
      <x:c r="J528" s="12" t="str">
        <x:v>SRC-0001</x:v>
      </x:c>
      <x:c r="K528" s="12" t="str">
        <x:v>Section: 6.2.6 Appendix 1: Action Items</x:v>
      </x:c>
    </x:row>
    <x:row r="529">
      <x:c r="A529" s="12" t="str">
        <x:v>RSP-0528</x:v>
      </x:c>
      <x:c r="B529" s="12" t="str">
        <x:v>NSIDC DAAC will establish a project to provide UWG members with hands-on experience using data in the Earthdata Cloud. This effort will develop cloud knowledge within the UWG and will provide the DAAC with feedback on cl</x:v>
      </x:c>
      <x:c r="C529" s="12" t="str">
        <x:v>Action item</x:v>
      </x:c>
      <x:c r="D529" s="12" t="str"/>
      <x:c r="E529" s="12" t="str">
        <x:v>Proposed</x:v>
      </x:c>
      <x:c r="F529" s="12" t="str"/>
      <x:c r="G529" s="12" t="str"/>
      <x:c r="H529" s="12" t="str">
        <x:v>NSIDC DAAC will establish a project to provide UWG members with hands-on experience using data in the Earthdata Cloud. This effort will develop cloud knowledge within the UWG and will provide the DAAC with feedback on cloud data access and support resources.</x:v>
      </x:c>
      <x:c r="I529" s="12" t="str"/>
      <x:c r="J529" s="12" t="str">
        <x:v>SRC-0001</x:v>
      </x:c>
      <x:c r="K529" s="12" t="str">
        <x:v>Section: 9.3 Key Actions</x:v>
      </x:c>
    </x:row>
    <x:row r="530">
      <x:c r="A530" s="12" t="str">
        <x:v>RSP-0529</x:v>
      </x:c>
      <x:c r="B530" s="12" t="str">
        <x:v>NSIDC DAAC will continue to engage in EOSDIS-wide discussions and evaluations of cloud-optimized formats, and when appropriate, begin giving guidance to data producers on product creation for use in the cloud.</x:v>
      </x:c>
      <x:c r="C530" s="12" t="str">
        <x:v>Action item</x:v>
      </x:c>
      <x:c r="D530" s="12" t="str"/>
      <x:c r="E530" s="12" t="str">
        <x:v>Proposed</x:v>
      </x:c>
      <x:c r="F530" s="12" t="str"/>
      <x:c r="G530" s="12" t="str"/>
      <x:c r="H530" s="12" t="str">
        <x:v>NSIDC DAAC will continue to engage in EOSDIS-wide discussions and evaluations of cloud-optimized formats, and when appropriate, begin giving guidance to data producers on product creation for use in the cloud.</x:v>
      </x:c>
      <x:c r="I530" s="12" t="str"/>
      <x:c r="J530" s="12" t="str">
        <x:v>SRC-0001</x:v>
      </x:c>
      <x:c r="K530" s="12" t="str">
        <x:v>Section: 9.3 Key Actions</x:v>
      </x:c>
    </x:row>
    <x:row r="531">
      <x:c r="A531" s="12" t="str">
        <x:v>RSP-0530</x:v>
      </x:c>
      <x:c r="B531" s="12" t="str">
        <x:v>NSIDC DAAC will fill a membership expertise gap by adding a new member(s) with cloud computing experience.</x:v>
      </x:c>
      <x:c r="C531" s="12" t="str">
        <x:v>Action item</x:v>
      </x:c>
      <x:c r="D531" s="12" t="str"/>
      <x:c r="E531" s="12" t="str">
        <x:v>Proposed</x:v>
      </x:c>
      <x:c r="F531" s="12" t="str"/>
      <x:c r="G531" s="12" t="str"/>
      <x:c r="H531" s="12" t="str">
        <x:v>NSIDC DAAC will fill a membership expertise gap by adding a new member(s) with cloud computing experience.</x:v>
      </x:c>
      <x:c r="I531" s="12" t="str"/>
      <x:c r="J531" s="12" t="str">
        <x:v>SRC-0001</x:v>
      </x:c>
      <x:c r="K531" s="12" t="str">
        <x:v>Section: 9.3 Key Actions</x:v>
      </x:c>
    </x:row>
    <x:row r="532">
      <x:c r="A532" s="12" t="str">
        <x:v>RSP-0531</x:v>
      </x:c>
      <x:c r="B532" s="12" t="str">
        <x:v>NSIDC DAAC will pursue adding a student or early-career member to the UWG as part of DEI efforts.</x:v>
      </x:c>
      <x:c r="C532" s="12" t="str">
        <x:v>Action item</x:v>
      </x:c>
      <x:c r="D532" s="12" t="str"/>
      <x:c r="E532" s="12" t="str">
        <x:v>Proposed</x:v>
      </x:c>
      <x:c r="F532" s="12" t="str"/>
      <x:c r="G532" s="12" t="str"/>
      <x:c r="H532" s="12" t="str">
        <x:v>NSIDC DAAC will pursue adding a student or early-career member to the UWG as part of DEI efforts.</x:v>
      </x:c>
      <x:c r="I532" s="12" t="str"/>
      <x:c r="J532" s="12" t="str">
        <x:v>SRC-0001</x:v>
      </x:c>
      <x:c r="K532" s="12" t="str">
        <x:v>Section: 9.3 Key Actions</x:v>
      </x:c>
    </x:row>
    <x:row r="533">
      <x:c r="A533" s="12" t="str">
        <x:v>RSP-0532</x:v>
      </x:c>
      <x:c r="B533" s="12" t="str">
        <x:v>NSIDC DAAC will provide UWG testing results to the Earthdata Pub project where the feedback will be reviewed and addressed.</x:v>
      </x:c>
      <x:c r="C533" s="12" t="str">
        <x:v>Action item</x:v>
      </x:c>
      <x:c r="D533" s="12" t="str"/>
      <x:c r="E533" s="12" t="str">
        <x:v>Proposed</x:v>
      </x:c>
      <x:c r="F533" s="12" t="str"/>
      <x:c r="G533" s="12" t="str"/>
      <x:c r="H533" s="12" t="str">
        <x:v>NSIDC DAAC will provide UWG testing results to the Earthdata Pub project where the feedback will be reviewed and addressed.</x:v>
      </x:c>
      <x:c r="I533" s="12" t="str"/>
      <x:c r="J533" s="12" t="str">
        <x:v>SRC-0001</x:v>
      </x:c>
      <x:c r="K533" s="12" t="str">
        <x:v>Section: 9.3 Key Actions</x:v>
      </x:c>
    </x:row>
    <x:row r="534">
      <x:c r="A534" s="12" t="str">
        <x:v>RSP-0533</x:v>
      </x:c>
      <x:c r="B534" s="12" t="str">
        <x:v>2021-2.1 - Early cloud access for users</x:v>
      </x:c>
      <x:c r="C534" s="12" t="str">
        <x:v>Action item</x:v>
      </x:c>
      <x:c r="D534" s="12" t="str"/>
      <x:c r="E534" s="12" t="str">
        <x:v>Proposed</x:v>
      </x:c>
      <x:c r="F534" s="12" t="str"/>
      <x:c r="G534" s="12" t="str"/>
      <x:c r="H534" s="12" t="str">
        <x:v>2021-2.1 - Early cloud access for users</x:v>
      </x:c>
      <x:c r="I534" s="12" t="str"/>
      <x:c r="J534" s="12" t="str">
        <x:v>SRC-0001</x:v>
      </x:c>
      <x:c r="K534" s="12" t="str">
        <x:v>Section: 11.1.2 Key Action Items</x:v>
      </x:c>
    </x:row>
    <x:row r="535">
      <x:c r="A535" s="12" t="str">
        <x:v>RSP-0534</x:v>
      </x:c>
      <x:c r="B535" s="12" t="str">
        <x:v>2020-2.7 - Work with HQ to develop a cloud framework for ROSES</x:v>
      </x:c>
      <x:c r="C535" s="12" t="str">
        <x:v>Action item</x:v>
      </x:c>
      <x:c r="D535" s="12" t="str"/>
      <x:c r="E535" s="12" t="str">
        <x:v>Proposed</x:v>
      </x:c>
      <x:c r="F535" s="12" t="str"/>
      <x:c r="G535" s="12" t="str"/>
      <x:c r="H535" s="12" t="str">
        <x:v>2020-2.7 - Work with HQ to develop a cloud framework for ROSES</x:v>
      </x:c>
      <x:c r="I535" s="12" t="str"/>
      <x:c r="J535" s="12" t="str">
        <x:v>SRC-0001</x:v>
      </x:c>
      <x:c r="K535" s="12" t="str">
        <x:v>Section: 11.1.2 Key Action Items</x:v>
      </x:c>
    </x:row>
    <x:row r="536">
      <x:c r="A536" s="12" t="str">
        <x:v>RSP-0535</x:v>
      </x:c>
      <x:c r="B536" s="12" t="str">
        <x:v>Data Publication &amp; Metrics</x:v>
      </x:c>
      <x:c r="C536" s="12" t="str">
        <x:v>Action item</x:v>
      </x:c>
      <x:c r="D536" s="12" t="str"/>
      <x:c r="E536" s="12" t="str">
        <x:v>Proposed</x:v>
      </x:c>
      <x:c r="F536" s="12" t="str"/>
      <x:c r="G536" s="12" t="str"/>
      <x:c r="H536" s="12" t="str">
        <x:v>Data Publication &amp; Metrics</x:v>
      </x:c>
      <x:c r="I536" s="12" t="str"/>
      <x:c r="J536" s="12" t="str">
        <x:v>SRC-0001</x:v>
      </x:c>
      <x:c r="K536" s="12" t="str">
        <x:v>Section: 11.1.2 Key Action Items</x:v>
      </x:c>
    </x:row>
    <x:row r="537">
      <x:c r="A537" s="12" t="str">
        <x:v>RSP-0536</x:v>
      </x:c>
      <x:c r="B537" s="12" t="str">
        <x:v>2021-3.1 - Develop and communicate the policy for accepting PI-provided datasets</x:v>
      </x:c>
      <x:c r="C537" s="12" t="str">
        <x:v>Action item</x:v>
      </x:c>
      <x:c r="D537" s="12" t="str"/>
      <x:c r="E537" s="12" t="str">
        <x:v>Proposed</x:v>
      </x:c>
      <x:c r="F537" s="12" t="str"/>
      <x:c r="G537" s="12" t="str"/>
      <x:c r="H537" s="12" t="str">
        <x:v>2021-3.1 - Develop and communicate the policy for accepting PI-provided datasets</x:v>
      </x:c>
      <x:c r="I537" s="12" t="str"/>
      <x:c r="J537" s="12" t="str">
        <x:v>SRC-0001</x:v>
      </x:c>
      <x:c r="K537" s="12" t="str">
        <x:v>Section: 11.1.2 Key Action Items</x:v>
      </x:c>
    </x:row>
    <x:row r="538">
      <x:c r="A538" s="12" t="str">
        <x:v>RSP-0537</x:v>
      </x:c>
      <x:c r="B538" s="12" t="str">
        <x:v>2021-3.2 - Citation tab: Revise download citation text</x:v>
      </x:c>
      <x:c r="C538" s="12" t="str">
        <x:v>Action item</x:v>
      </x:c>
      <x:c r="D538" s="12" t="str"/>
      <x:c r="E538" s="12" t="str">
        <x:v>Proposed</x:v>
      </x:c>
      <x:c r="F538" s="12" t="str"/>
      <x:c r="G538" s="12" t="str"/>
      <x:c r="H538" s="12" t="str">
        <x:v>2021-3.2 - Citation tab: Revise download citation text</x:v>
      </x:c>
      <x:c r="I538" s="12" t="str"/>
      <x:c r="J538" s="12" t="str">
        <x:v>SRC-0001</x:v>
      </x:c>
      <x:c r="K538" s="12" t="str">
        <x:v>Section: 11.1.2 Key Action Items</x:v>
      </x:c>
    </x:row>
    <x:row r="539">
      <x:c r="A539" s="12" t="str">
        <x:v>RSP-0538</x:v>
      </x:c>
      <x:c r="B539" s="12" t="str">
        <x:v>2021-3.3 - Citation tab: Keep journal references up-to-date</x:v>
      </x:c>
      <x:c r="C539" s="12" t="str">
        <x:v>Action item</x:v>
      </x:c>
      <x:c r="D539" s="12" t="str"/>
      <x:c r="E539" s="12" t="str">
        <x:v>Proposed</x:v>
      </x:c>
      <x:c r="F539" s="12" t="str"/>
      <x:c r="G539" s="12" t="str"/>
      <x:c r="H539" s="12" t="str">
        <x:v>2021-3.3 - Citation tab: Keep journal references up-to-date</x:v>
      </x:c>
      <x:c r="I539" s="12" t="str"/>
      <x:c r="J539" s="12" t="str">
        <x:v>SRC-0001</x:v>
      </x:c>
      <x:c r="K539" s="12" t="str">
        <x:v>Section: 11.1.2 Key Action Items</x:v>
      </x:c>
    </x:row>
    <x:row r="540">
      <x:c r="A540" s="12" t="str">
        <x:v>RSP-0539</x:v>
      </x:c>
      <x:c r="B540" s="12" t="str">
        <x:v>2021-3.4 - Include citation information in granule metadata</x:v>
      </x:c>
      <x:c r="C540" s="12" t="str">
        <x:v>Action item</x:v>
      </x:c>
      <x:c r="D540" s="12" t="str"/>
      <x:c r="E540" s="12" t="str">
        <x:v>Proposed</x:v>
      </x:c>
      <x:c r="F540" s="12" t="str"/>
      <x:c r="G540" s="12" t="str"/>
      <x:c r="H540" s="12" t="str">
        <x:v>2021-3.4 - Include citation information in granule metadata</x:v>
      </x:c>
      <x:c r="I540" s="12" t="str"/>
      <x:c r="J540" s="12" t="str">
        <x:v>SRC-0001</x:v>
      </x:c>
      <x:c r="K540" s="12" t="str">
        <x:v>Section: 11.1.2 Key Action Items</x:v>
      </x:c>
    </x:row>
    <x:row r="541">
      <x:c r="A541" s="12" t="str">
        <x:v>RSP-0540</x:v>
      </x:c>
      <x:c r="B541" s="12" t="str">
        <x:v>2019-4.1 - Data submission button</x:v>
      </x:c>
      <x:c r="C541" s="12" t="str">
        <x:v>Action item</x:v>
      </x:c>
      <x:c r="D541" s="12" t="str"/>
      <x:c r="E541" s="12" t="str">
        <x:v>Proposed</x:v>
      </x:c>
      <x:c r="F541" s="12" t="str"/>
      <x:c r="G541" s="12" t="str"/>
      <x:c r="H541" s="12" t="str">
        <x:v>2019-4.1 - Data submission button</x:v>
      </x:c>
      <x:c r="I541" s="12" t="str"/>
      <x:c r="J541" s="12" t="str">
        <x:v>SRC-0001</x:v>
      </x:c>
      <x:c r="K541" s="12" t="str">
        <x:v>Section: 11.1.2 Key Action Items</x:v>
      </x:c>
    </x:row>
    <x:row r="542">
      <x:c r="A542" s="12" t="str">
        <x:v>RSP-0541</x:v>
      </x:c>
      <x:c r="B542" s="12" t="str">
        <x:v>2019-4.2 - EarthdataPub participation</x:v>
      </x:c>
      <x:c r="C542" s="12" t="str">
        <x:v>Action item</x:v>
      </x:c>
      <x:c r="D542" s="12" t="str"/>
      <x:c r="E542" s="12" t="str">
        <x:v>Proposed</x:v>
      </x:c>
      <x:c r="F542" s="12" t="str"/>
      <x:c r="G542" s="12" t="str"/>
      <x:c r="H542" s="12" t="str">
        <x:v>2019-4.2 - EarthdataPub participation</x:v>
      </x:c>
      <x:c r="I542" s="12" t="str"/>
      <x:c r="J542" s="12" t="str">
        <x:v>SRC-0001</x:v>
      </x:c>
      <x:c r="K542" s="12" t="str">
        <x:v>Section: 11.1.2 Key Action Items</x:v>
      </x:c>
    </x:row>
    <x:row r="543">
      <x:c r="A543" s="12" t="str">
        <x:v>RSP-0542</x:v>
      </x:c>
      <x:c r="B543" s="12" t="str">
        <x:v>2021-3.5 - Near-real-time dataset subscription</x:v>
      </x:c>
      <x:c r="C543" s="12" t="str">
        <x:v>Action item</x:v>
      </x:c>
      <x:c r="D543" s="12" t="str"/>
      <x:c r="E543" s="12" t="str">
        <x:v>Proposed</x:v>
      </x:c>
      <x:c r="F543" s="12" t="str"/>
      <x:c r="G543" s="12" t="str"/>
      <x:c r="H543" s="12" t="str">
        <x:v>2021-3.5 - Near-real-time dataset subscription</x:v>
      </x:c>
      <x:c r="I543" s="12" t="str"/>
      <x:c r="J543" s="12" t="str">
        <x:v>SRC-0001</x:v>
      </x:c>
      <x:c r="K543" s="12" t="str">
        <x:v>Section: 11.1.2 Key Action Items</x:v>
      </x:c>
    </x:row>
    <x:row r="544">
      <x:c r="A544" s="12" t="str">
        <x:v>RSP-0543</x:v>
      </x:c>
      <x:c r="B544" s="12" t="str">
        <x:v>2021-3.6 - Use of consistent filenames within dataset collections</x:v>
      </x:c>
      <x:c r="C544" s="12" t="str">
        <x:v>Action item</x:v>
      </x:c>
      <x:c r="D544" s="12" t="str"/>
      <x:c r="E544" s="12" t="str">
        <x:v>Proposed</x:v>
      </x:c>
      <x:c r="F544" s="12" t="str"/>
      <x:c r="G544" s="12" t="str"/>
      <x:c r="H544" s="12" t="str">
        <x:v>2021-3.6 - Use of consistent filenames within dataset collections</x:v>
      </x:c>
      <x:c r="I544" s="12" t="str"/>
      <x:c r="J544" s="12" t="str">
        <x:v>SRC-0001</x:v>
      </x:c>
      <x:c r="K544" s="12" t="str">
        <x:v>Section: 11.1.2 Key Action Items</x:v>
      </x:c>
    </x:row>
    <x:row r="545">
      <x:c r="A545" s="12" t="str">
        <x:v>RSP-0544</x:v>
      </x:c>
      <x:c r="B545" s="12" t="str">
        <x:v>2021-4.1 - Wish list items for high-latitudes</x:v>
      </x:c>
      <x:c r="C545" s="12" t="str">
        <x:v>Action item</x:v>
      </x:c>
      <x:c r="D545" s="12" t="str"/>
      <x:c r="E545" s="12" t="str">
        <x:v>Proposed</x:v>
      </x:c>
      <x:c r="F545" s="12" t="str"/>
      <x:c r="G545" s="12" t="str"/>
      <x:c r="H545" s="12" t="str">
        <x:v>2021-4.1 - Wish list items for high-latitudes</x:v>
      </x:c>
      <x:c r="I545" s="12" t="str"/>
      <x:c r="J545" s="12" t="str">
        <x:v>SRC-0001</x:v>
      </x:c>
      <x:c r="K545" s="12" t="str">
        <x:v>Section: 11.1.2 Key Action Items</x:v>
      </x:c>
    </x:row>
    <x:row r="546">
      <x:c r="A546" s="12" t="str">
        <x:v>RSP-0545</x:v>
      </x:c>
      <x:c r="B546" s="12" t="str">
        <x:v>2021-4.1a - High-lat view</x:v>
      </x:c>
      <x:c r="C546" s="12" t="str">
        <x:v>Action item</x:v>
      </x:c>
      <x:c r="D546" s="12" t="str"/>
      <x:c r="E546" s="12" t="str">
        <x:v>Proposed</x:v>
      </x:c>
      <x:c r="F546" s="12" t="str"/>
      <x:c r="G546" s="12" t="str"/>
      <x:c r="H546" s="12" t="str">
        <x:v>2021-4.1a - High-lat view</x:v>
      </x:c>
      <x:c r="I546" s="12" t="str"/>
      <x:c r="J546" s="12" t="str">
        <x:v>SRC-0001</x:v>
      </x:c>
      <x:c r="K546" s="12" t="str">
        <x:v>Section: 11.1.2 Key Action Items</x:v>
      </x:c>
    </x:row>
    <x:row r="547">
      <x:c r="A547" s="12" t="str">
        <x:v>RSP-0546</x:v>
      </x:c>
      <x:c r="B547" s="12" t="str">
        <x:v>2021-4.1b - High-lat SST and SSS scales</x:v>
      </x:c>
      <x:c r="C547" s="12" t="str">
        <x:v>Action item</x:v>
      </x:c>
      <x:c r="D547" s="12" t="str"/>
      <x:c r="E547" s="12" t="str">
        <x:v>Proposed</x:v>
      </x:c>
      <x:c r="F547" s="12" t="str"/>
      <x:c r="G547" s="12" t="str"/>
      <x:c r="H547" s="12" t="str">
        <x:v>2021-4.1b - High-lat SST and SSS scales</x:v>
      </x:c>
      <x:c r="I547" s="12" t="str"/>
      <x:c r="J547" s="12" t="str">
        <x:v>SRC-0001</x:v>
      </x:c>
      <x:c r="K547" s="12" t="str">
        <x:v>Section: 11.1.2 Key Action Items</x:v>
      </x:c>
    </x:row>
    <x:row r="548">
      <x:c r="A548" s="12" t="str">
        <x:v>RSP-0547</x:v>
      </x:c>
      <x:c r="B548" s="12" t="str">
        <x:v>2021-4.1c - Ice edge product</x:v>
      </x:c>
      <x:c r="C548" s="12" t="str">
        <x:v>Action item</x:v>
      </x:c>
      <x:c r="D548" s="12" t="str"/>
      <x:c r="E548" s="12" t="str">
        <x:v>Proposed</x:v>
      </x:c>
      <x:c r="F548" s="12" t="str"/>
      <x:c r="G548" s="12" t="str"/>
      <x:c r="H548" s="12" t="str">
        <x:v>2021-4.1c - Ice edge product</x:v>
      </x:c>
      <x:c r="I548" s="12" t="str"/>
      <x:c r="J548" s="12" t="str">
        <x:v>SRC-0001</x:v>
      </x:c>
      <x:c r="K548" s="12" t="str">
        <x:v>Section: 11.1.2 Key Action Items</x:v>
      </x:c>
    </x:row>
    <x:row r="549">
      <x:c r="A549" s="12" t="str">
        <x:v>RSP-0548</x:v>
      </x:c>
      <x:c r="B549" s="12" t="str">
        <x:v>2021-4.2 - Decision if campaign assistance is in PO.DAAC’s purview</x:v>
      </x:c>
      <x:c r="C549" s="12" t="str">
        <x:v>Action item</x:v>
      </x:c>
      <x:c r="D549" s="12" t="str"/>
      <x:c r="E549" s="12" t="str">
        <x:v>Proposed</x:v>
      </x:c>
      <x:c r="F549" s="12" t="str"/>
      <x:c r="G549" s="12" t="str"/>
      <x:c r="H549" s="12" t="str">
        <x:v>2021-4.2 - Decision if campaign assistance is in PO.DAAC’s purview</x:v>
      </x:c>
      <x:c r="I549" s="12" t="str"/>
      <x:c r="J549" s="12" t="str">
        <x:v>SRC-0001</x:v>
      </x:c>
      <x:c r="K549" s="12" t="str">
        <x:v>Section: 11.1.2 Key Action Items</x:v>
      </x:c>
    </x:row>
    <x:row r="550">
      <x:c r="A550" s="12" t="str">
        <x:v>RSP-0549</x:v>
      </x:c>
      <x:c r="B550" s="12" t="str">
        <x:v>2021-4.3 - General changes</x:v>
      </x:c>
      <x:c r="C550" s="12" t="str">
        <x:v>Action item</x:v>
      </x:c>
      <x:c r="D550" s="12" t="str"/>
      <x:c r="E550" s="12" t="str">
        <x:v>Proposed</x:v>
      </x:c>
      <x:c r="F550" s="12" t="str"/>
      <x:c r="G550" s="12" t="str"/>
      <x:c r="H550" s="12" t="str">
        <x:v>2021-4.3 - General changes</x:v>
      </x:c>
      <x:c r="I550" s="12" t="str"/>
      <x:c r="J550" s="12" t="str">
        <x:v>SRC-0001</x:v>
      </x:c>
      <x:c r="K550" s="12" t="str">
        <x:v>Section: 11.1.2 Key Action Items</x:v>
      </x:c>
    </x:row>
    <x:row r="551">
      <x:c r="A551" s="12" t="str">
        <x:v>RSP-0550</x:v>
      </x:c>
      <x:c r="B551" s="12" t="str">
        <x:v>2021-4.3a - Indication of dataset availability (e.g., timebar)</x:v>
      </x:c>
      <x:c r="C551" s="12" t="str">
        <x:v>Action item</x:v>
      </x:c>
      <x:c r="D551" s="12" t="str"/>
      <x:c r="E551" s="12" t="str">
        <x:v>Proposed</x:v>
      </x:c>
      <x:c r="F551" s="12" t="str"/>
      <x:c r="G551" s="12" t="str"/>
      <x:c r="H551" s="12" t="str">
        <x:v>2021-4.3a - Indication of dataset availability (e.g., timebar)</x:v>
      </x:c>
      <x:c r="I551" s="12" t="str"/>
      <x:c r="J551" s="12" t="str">
        <x:v>SRC-0001</x:v>
      </x:c>
      <x:c r="K551" s="12" t="str">
        <x:v>Section: 11.1.2 Key Action Items</x:v>
      </x:c>
    </x:row>
    <x:row r="552">
      <x:c r="A552" s="12" t="str">
        <x:v>RSP-0551</x:v>
      </x:c>
      <x:c r="B552" s="12" t="str">
        <x:v>2021-4.3b - Inclusion of a feedback button</x:v>
      </x:c>
      <x:c r="C552" s="12" t="str">
        <x:v>Action item</x:v>
      </x:c>
      <x:c r="D552" s="12" t="str"/>
      <x:c r="E552" s="12" t="str">
        <x:v>Proposed</x:v>
      </x:c>
      <x:c r="F552" s="12" t="str"/>
      <x:c r="G552" s="12" t="str"/>
      <x:c r="H552" s="12" t="str">
        <x:v>2021-4.3b - Inclusion of a feedback button</x:v>
      </x:c>
      <x:c r="I552" s="12" t="str"/>
      <x:c r="J552" s="12" t="str">
        <x:v>SRC-0001</x:v>
      </x:c>
      <x:c r="K552" s="12" t="str">
        <x:v>Section: 11.1.2 Key Action Items</x:v>
      </x:c>
    </x:row>
    <x:row r="553">
      <x:c r="A553" s="12" t="str">
        <x:v>RSP-0552</x:v>
      </x:c>
      <x:c r="B553" s="12" t="str">
        <x:v>Data Access Services (THREDDS, LAS, ERDDAP)</x:v>
      </x:c>
      <x:c r="C553" s="12" t="str">
        <x:v>Action item</x:v>
      </x:c>
      <x:c r="D553" s="12" t="str"/>
      <x:c r="E553" s="12" t="str">
        <x:v>Proposed</x:v>
      </x:c>
      <x:c r="F553" s="12" t="str"/>
      <x:c r="G553" s="12" t="str"/>
      <x:c r="H553" s="12" t="str">
        <x:v>Data Access Services (THREDDS, LAS, ERDDAP)</x:v>
      </x:c>
      <x:c r="I553" s="12" t="str"/>
      <x:c r="J553" s="12" t="str">
        <x:v>SRC-0001</x:v>
      </x:c>
      <x:c r="K553" s="12" t="str">
        <x:v>Section: 11.1.2 Key Action Items</x:v>
      </x:c>
    </x:row>
    <x:row r="554">
      <x:c r="A554" s="12" t="str">
        <x:v>RSP-0553</x:v>
      </x:c>
      <x:c r="B554" s="12" t="str">
        <x:v>2021-5.1 - Update on LAS, THREDDS, ERDDAP at a FY22 teleconference</x:v>
      </x:c>
      <x:c r="C554" s="12" t="str">
        <x:v>Action item</x:v>
      </x:c>
      <x:c r="D554" s="12" t="str"/>
      <x:c r="E554" s="12" t="str">
        <x:v>Proposed</x:v>
      </x:c>
      <x:c r="F554" s="12" t="str"/>
      <x:c r="G554" s="12" t="str"/>
      <x:c r="H554" s="12" t="str">
        <x:v>2021-5.1 - Update on LAS, THREDDS, ERDDAP at a FY22 teleconference</x:v>
      </x:c>
      <x:c r="I554" s="12" t="str"/>
      <x:c r="J554" s="12" t="str">
        <x:v>SRC-0001</x:v>
      </x:c>
      <x:c r="K554" s="12" t="str">
        <x:v>Section: 11.1.2 Key Action Items</x:v>
      </x:c>
    </x:row>
    <x:row r="555">
      <x:c r="A555" s="12" t="str">
        <x:v>RSP-0554</x:v>
      </x:c>
      <x:c r="B555" s="12" t="str">
        <x:v>2021-6.1 - Engage and participate in community discussions on model data</x:v>
      </x:c>
      <x:c r="C555" s="12" t="str">
        <x:v>Action item</x:v>
      </x:c>
      <x:c r="D555" s="12" t="str"/>
      <x:c r="E555" s="12" t="str">
        <x:v>Proposed</x:v>
      </x:c>
      <x:c r="F555" s="12" t="str"/>
      <x:c r="G555" s="12" t="str"/>
      <x:c r="H555" s="12" t="str">
        <x:v>2021-6.1 - Engage and participate in community discussions on model data</x:v>
      </x:c>
      <x:c r="I555" s="12" t="str"/>
      <x:c r="J555" s="12" t="str">
        <x:v>SRC-0001</x:v>
      </x:c>
      <x:c r="K555" s="12" t="str">
        <x:v>Section: 11.1.2 Key Action Items</x:v>
      </x:c>
    </x:row>
    <x:row r="556">
      <x:c r="A556" s="12" t="str">
        <x:v>RSP-0555</x:v>
      </x:c>
      <x:c r="B556" s="12" t="str">
        <x:v>2021-6.2 - Ensure model nuances are captured in dataset information and metadata</x:v>
      </x:c>
      <x:c r="C556" s="12" t="str">
        <x:v>Action item</x:v>
      </x:c>
      <x:c r="D556" s="12" t="str"/>
      <x:c r="E556" s="12" t="str">
        <x:v>Proposed</x:v>
      </x:c>
      <x:c r="F556" s="12" t="str"/>
      <x:c r="G556" s="12" t="str"/>
      <x:c r="H556" s="12" t="str">
        <x:v>2021-6.2 - Ensure model nuances are captured in dataset information and metadata</x:v>
      </x:c>
      <x:c r="I556" s="12" t="str"/>
      <x:c r="J556" s="12" t="str">
        <x:v>SRC-0001</x:v>
      </x:c>
      <x:c r="K556" s="12" t="str">
        <x:v>Section: 11.1.2 Key Action Items</x:v>
      </x:c>
    </x:row>
    <x:row r="557">
      <x:c r="A557" s="12" t="str">
        <x:v>RSP-0556</x:v>
      </x:c>
      <x:c r="B557" s="12" t="str">
        <x:v>2021-7.1 - Recruit new member from the hydrology community</x:v>
      </x:c>
      <x:c r="C557" s="12" t="str">
        <x:v>Action item</x:v>
      </x:c>
      <x:c r="D557" s="12" t="str"/>
      <x:c r="E557" s="12" t="str">
        <x:v>Proposed</x:v>
      </x:c>
      <x:c r="F557" s="12" t="str"/>
      <x:c r="G557" s="12" t="str"/>
      <x:c r="H557" s="12" t="str">
        <x:v>2021-7.1 - Recruit new member from the hydrology community</x:v>
      </x:c>
      <x:c r="I557" s="12" t="str"/>
      <x:c r="J557" s="12" t="str">
        <x:v>SRC-0001</x:v>
      </x:c>
      <x:c r="K557" s="12" t="str">
        <x:v>Section: 11.1.2 Key Action Items</x:v>
      </x:c>
    </x:row>
    <x:row r="558">
      <x:c r="A558" s="12" t="str">
        <x:v>RSP-0557</x:v>
      </x:c>
      <x:c r="B558" s="12" t="str">
        <x:v>The Biden Administration has made racial equity and climate action two of seven major priorities. 1 Agencies throughout government were asked to indicate actions they might take in response to a priority on environmental</x:v>
      </x:c>
      <x:c r="C558" s="12" t="str">
        <x:v>Action item</x:v>
      </x:c>
      <x:c r="D558" s="12" t="str"/>
      <x:c r="E558" s="12" t="str">
        <x:v>Proposed</x:v>
      </x:c>
      <x:c r="F558" s="12" t="str"/>
      <x:c r="G558" s="12" t="str"/>
      <x:c r="H558" s="12" t="str">
        <x:v>The Biden Administration has made racial equity and climate action two of seven major priorities. 1 Agencies throughout government were asked to indicate actions they might take in response to a priority on environmental justice (EJ), and as a part of this response, NASA identified SEDAC as a potential resource in terms of relevant socioeconomic data and services. This represents an excellent opportunity for SEDAC to contribute to NASA’s response.</x:v>
      </x:c>
      <x:c r="I558" s="12" t="str"/>
      <x:c r="J558" s="12" t="str">
        <x:v>SRC-0001</x:v>
      </x:c>
      <x:c r="K558" s="12" t="str">
        <x:v>Section: 12.5 Key Findings</x:v>
      </x:c>
    </x:row>
    <x:row r="559">
      <x:c r="A559" s="12" t="str">
        <x:v>RSP-0558</x:v>
      </x:c>
      <x:c r="B559" s="12" t="str">
        <x:v>A substantial portion of the meeting was dedicated to the EJ initiative, with discussion led by ESD Director Karen St. Germain with participation by Kevin Murphy and other NASA staff. UWG members were invited to provide </x:v>
      </x:c>
      <x:c r="C559" s="12" t="str">
        <x:v>Action item</x:v>
      </x:c>
      <x:c r="D559" s="12" t="str"/>
      <x:c r="E559" s="12" t="str">
        <x:v>Proposed</x:v>
      </x:c>
      <x:c r="F559" s="12" t="str"/>
      <x:c r="G559" s="12" t="str"/>
      <x:c r="H559" s="12" t="str">
        <x:v>A substantial portion of the meeting was dedicated to the EJ initiative, with discussion led by ESD Director Karen St. Germain with participation by Kevin Murphy and other NASA staff. UWG members were invited to provide their perspectives on a set of questions, including: What additional things should the SEDAC be doing to enable EJ research, decisions, and actions? How can SEDAC make the data more useful, especially for applied users? How could SEDAC best contribute to NASA and the U.S. Government’s efforts to advance equity?</x:v>
      </x:c>
      <x:c r="I559" s="12" t="str"/>
      <x:c r="J559" s="12" t="str">
        <x:v>SRC-0001</x:v>
      </x:c>
      <x:c r="K559" s="12" t="str">
        <x:v>Section: 12.5 Key Findings</x:v>
      </x:c>
    </x:row>
    <x:row r="560">
      <x:c r="A560" s="12" t="str">
        <x:v>RSP-0559</x:v>
      </x:c>
      <x:c r="B560" s="12" t="str">
        <x:v>Multi-stakeholder partnerships may be the way to go. Federal agencies with operations at State and local levels could be one vehicle for introducing NASA data for EJ applications – including the U.S. Department of Agricu</x:v>
      </x:c>
      <x:c r="C560" s="12" t="str">
        <x:v>Action item</x:v>
      </x:c>
      <x:c r="D560" s="12" t="str"/>
      <x:c r="E560" s="12" t="str">
        <x:v>Proposed</x:v>
      </x:c>
      <x:c r="F560" s="12" t="str"/>
      <x:c r="G560" s="12" t="str"/>
      <x:c r="H560" s="12" t="str">
        <x:v>Multi-stakeholder partnerships may be the way to go. Federal agencies with operations at State and local levels could be one vehicle for introducing NASA data for EJ applications – including the U.S. Department of Agriculture (USDA), U.S. Forest Service (USFS), the Environmental Protection Agency (EPA), and the National Institute of Environmental Health Science (NIEHS). In planning for EJ activities, EPA has the lead role for city-level interactions. Dave Jones suggested using the small business innovation research (SBIR) mechanism to pursue EJ ends. There are several challenges: inter-agency linkages, finding the right/key partners, not only at the community scale, but also reaching out to social scientists. Citizen science research communities, data science institutes and non-profits could be relevant partners for local communities.</x:v>
      </x:c>
      <x:c r="I560" s="12" t="str"/>
      <x:c r="J560" s="12" t="str">
        <x:v>SRC-0001</x:v>
      </x:c>
      <x:c r="K560" s="12" t="str">
        <x:v>Section: 12.5 Key Findings</x:v>
      </x:c>
    </x:row>
    <x:row r="561">
      <x:c r="A561" s="12" t="str">
        <x:v>RSP-0560</x:v>
      </x:c>
      <x:c r="B561" s="12" t="str">
        <x:v>Next steps: NASA indicated an interest in holding a follow-up telecon in late August which would be used to plan a more in-depth virtual or face-to-face meeting for the fall. Key issues include determining what is the be</x:v>
      </x:c>
      <x:c r="C561" s="12" t="str">
        <x:v>Action item</x:v>
      </x:c>
      <x:c r="D561" s="12" t="str"/>
      <x:c r="E561" s="12" t="str">
        <x:v>Proposed</x:v>
      </x:c>
      <x:c r="F561" s="12" t="str"/>
      <x:c r="G561" s="12" t="str"/>
      <x:c r="H561" s="12" t="str">
        <x:v>Next steps: NASA indicated an interest in holding a follow-up telecon in late August which would be used to plan a more in-depth virtual or face-to-face meeting for the fall. Key issues include determining what is the best return for the investment for SEDAC and NASA more broadly, and SEDAC’s potential role in facilitating contacts and interactions among stakeholders.</x:v>
      </x:c>
      <x:c r="I561" s="12" t="str"/>
      <x:c r="J561" s="12" t="str">
        <x:v>SRC-0001</x:v>
      </x:c>
      <x:c r="K561" s="12" t="str">
        <x:v>Section: 12.5 Key Findings</x:v>
      </x:c>
    </x:row>
  </x:sheetData>
  <x:pageMargins left="0.7" right="0.7" top="0.75" bottom="0.75" header="0.3" footer="0.3"/>
  <x:tableParts count="1">
    <x:tablePart xmlns:r="http://schemas.openxmlformats.org/officeDocument/2006/relationships" r:id="Rb0198a7f95b24bca"/>
  </x:tableParts>
</x:worksheet>
</file>

<file path=xl/worksheets/sheet10.xml><?xml version="1.0" encoding="utf-8"?>
<x:worksheet xmlns:x="http://schemas.openxmlformats.org/spreadsheetml/2006/main">
  <x:sheetFormatPr defaultRowHeight="15"/>
  <x:cols>
    <x:col min="1" max="1" width="16" hidden="0" customWidth="1"/>
    <x:col min="2" max="2" width="16" hidden="0" customWidth="1"/>
    <x:col min="3" max="3" width="28" hidden="0" customWidth="1"/>
    <x:col min="4" max="4" width="14" hidden="0" customWidth="1"/>
  </x:cols>
  <x:sheetData>
    <x:row r="1">
      <x:c r="A1" s="6" t="str">
        <x:v>Need ID</x:v>
      </x:c>
      <x:c r="B1" s="6" t="str">
        <x:v>Response ID</x:v>
      </x:c>
      <x:c r="C1" s="6" t="str">
        <x:v>Relationship</x:v>
      </x:c>
      <x:c r="D1" s="6" t="str">
        <x:v>Coverage</x:v>
      </x:c>
    </x:row>
    <x:row r="2">
      <x:c r="A2" s="12" t="str">
        <x:v>NEED-0129</x:v>
      </x:c>
      <x:c r="B2" s="12" t="str">
        <x:v>RSP-0001</x:v>
      </x:c>
      <x:c r="C2" s="12" t="str">
        <x:v>Proposed to address</x:v>
      </x:c>
      <x:c r="D2" s="12" t="str">
        <x:v>Unknown</x:v>
      </x:c>
    </x:row>
    <x:row r="3">
      <x:c r="A3" s="12" t="str">
        <x:v>NEED-0085</x:v>
      </x:c>
      <x:c r="B3" s="12" t="str">
        <x:v>RSP-0002</x:v>
      </x:c>
      <x:c r="C3" s="12" t="str">
        <x:v>Proposed to address</x:v>
      </x:c>
      <x:c r="D3" s="12" t="str">
        <x:v>Unknown</x:v>
      </x:c>
    </x:row>
    <x:row r="4">
      <x:c r="A4" s="12" t="str">
        <x:v>NEED-0214</x:v>
      </x:c>
      <x:c r="B4" s="12" t="str">
        <x:v>RSP-0003</x:v>
      </x:c>
      <x:c r="C4" s="12" t="str">
        <x:v>Proposed to address</x:v>
      </x:c>
      <x:c r="D4" s="12" t="str">
        <x:v>Unknown</x:v>
      </x:c>
    </x:row>
    <x:row r="5">
      <x:c r="A5" s="12" t="str">
        <x:v>NEED-0196</x:v>
      </x:c>
      <x:c r="B5" s="12" t="str">
        <x:v>RSP-0004</x:v>
      </x:c>
      <x:c r="C5" s="12" t="str">
        <x:v>Proposed to address</x:v>
      </x:c>
      <x:c r="D5" s="12" t="str">
        <x:v>Unknown</x:v>
      </x:c>
    </x:row>
    <x:row r="6">
      <x:c r="A6" s="12" t="str">
        <x:v>NEED-0201</x:v>
      </x:c>
      <x:c r="B6" s="12" t="str">
        <x:v>RSP-0005</x:v>
      </x:c>
      <x:c r="C6" s="12" t="str">
        <x:v>Proposed to address</x:v>
      </x:c>
      <x:c r="D6" s="12" t="str">
        <x:v>Unknown</x:v>
      </x:c>
    </x:row>
    <x:row r="7">
      <x:c r="A7" s="12" t="str">
        <x:v>NEED-0210</x:v>
      </x:c>
      <x:c r="B7" s="12" t="str">
        <x:v>RSP-0006</x:v>
      </x:c>
      <x:c r="C7" s="12" t="str">
        <x:v>Proposed to address</x:v>
      </x:c>
      <x:c r="D7" s="12" t="str">
        <x:v>Unknown</x:v>
      </x:c>
    </x:row>
    <x:row r="8">
      <x:c r="A8" s="12" t="str">
        <x:v>NEED-0129</x:v>
      </x:c>
      <x:c r="B8" s="12" t="str">
        <x:v>RSP-0007</x:v>
      </x:c>
      <x:c r="C8" s="12" t="str">
        <x:v>Proposed to address</x:v>
      </x:c>
      <x:c r="D8" s="12" t="str">
        <x:v>Unknown</x:v>
      </x:c>
    </x:row>
    <x:row r="9">
      <x:c r="A9" s="12" t="str">
        <x:v>NEED-0120</x:v>
      </x:c>
      <x:c r="B9" s="12" t="str">
        <x:v>RSP-0008</x:v>
      </x:c>
      <x:c r="C9" s="12" t="str">
        <x:v>Proposed to address</x:v>
      </x:c>
      <x:c r="D9" s="12" t="str">
        <x:v>Unknown</x:v>
      </x:c>
    </x:row>
    <x:row r="10">
      <x:c r="A10" s="12" t="str">
        <x:v>NEED-0129</x:v>
      </x:c>
      <x:c r="B10" s="12" t="str">
        <x:v>RSP-0009</x:v>
      </x:c>
      <x:c r="C10" s="12" t="str">
        <x:v>Proposed to address</x:v>
      </x:c>
      <x:c r="D10" s="12" t="str">
        <x:v>Unknown</x:v>
      </x:c>
    </x:row>
    <x:row r="11">
      <x:c r="A11" s="12" t="str">
        <x:v>NEED-0123</x:v>
      </x:c>
      <x:c r="B11" s="12" t="str">
        <x:v>RSP-0010</x:v>
      </x:c>
      <x:c r="C11" s="12" t="str">
        <x:v>Proposed to address</x:v>
      </x:c>
      <x:c r="D11" s="12" t="str">
        <x:v>Unknown</x:v>
      </x:c>
    </x:row>
    <x:row r="12">
      <x:c r="A12" s="12" t="str">
        <x:v>NEED-0181</x:v>
      </x:c>
      <x:c r="B12" s="12" t="str">
        <x:v>RSP-0011</x:v>
      </x:c>
      <x:c r="C12" s="12" t="str">
        <x:v>Proposed to address</x:v>
      </x:c>
      <x:c r="D12" s="12" t="str">
        <x:v>Unknown</x:v>
      </x:c>
    </x:row>
    <x:row r="13">
      <x:c r="A13" s="12" t="str">
        <x:v>NEED-0190</x:v>
      </x:c>
      <x:c r="B13" s="12" t="str">
        <x:v>RSP-0012</x:v>
      </x:c>
      <x:c r="C13" s="12" t="str">
        <x:v>Proposed to address</x:v>
      </x:c>
      <x:c r="D13" s="12" t="str">
        <x:v>Unknown</x:v>
      </x:c>
    </x:row>
    <x:row r="14">
      <x:c r="A14" s="12" t="str">
        <x:v>NEED-0201</x:v>
      </x:c>
      <x:c r="B14" s="12" t="str">
        <x:v>RSP-0013</x:v>
      </x:c>
      <x:c r="C14" s="12" t="str">
        <x:v>Proposed to address</x:v>
      </x:c>
      <x:c r="D14" s="12" t="str">
        <x:v>Unknown</x:v>
      </x:c>
    </x:row>
    <x:row r="15">
      <x:c r="A15" s="12" t="str">
        <x:v>NEED-0201</x:v>
      </x:c>
      <x:c r="B15" s="12" t="str">
        <x:v>RSP-0014</x:v>
      </x:c>
      <x:c r="C15" s="12" t="str">
        <x:v>Proposed to address</x:v>
      </x:c>
      <x:c r="D15" s="12" t="str">
        <x:v>Unknown</x:v>
      </x:c>
    </x:row>
    <x:row r="16">
      <x:c r="A16" s="12" t="str">
        <x:v>NEED-0129</x:v>
      </x:c>
      <x:c r="B16" s="12" t="str">
        <x:v>RSP-0015</x:v>
      </x:c>
      <x:c r="C16" s="12" t="str">
        <x:v>Proposed to address</x:v>
      </x:c>
      <x:c r="D16" s="12" t="str">
        <x:v>Unknown</x:v>
      </x:c>
    </x:row>
    <x:row r="17">
      <x:c r="A17" s="12" t="str">
        <x:v>NEED-0137</x:v>
      </x:c>
      <x:c r="B17" s="12" t="str">
        <x:v>RSP-0016</x:v>
      </x:c>
      <x:c r="C17" s="12" t="str">
        <x:v>Proposed to address</x:v>
      </x:c>
      <x:c r="D17" s="12" t="str">
        <x:v>Unknown</x:v>
      </x:c>
    </x:row>
    <x:row r="18">
      <x:c r="A18" s="12" t="str">
        <x:v>NEED-0107</x:v>
      </x:c>
      <x:c r="B18" s="12" t="str">
        <x:v>RSP-0017</x:v>
      </x:c>
      <x:c r="C18" s="12" t="str">
        <x:v>Proposed to address</x:v>
      </x:c>
      <x:c r="D18" s="12" t="str">
        <x:v>Unknown</x:v>
      </x:c>
    </x:row>
    <x:row r="19">
      <x:c r="A19" s="12" t="str">
        <x:v>NEED-0109</x:v>
      </x:c>
      <x:c r="B19" s="12" t="str">
        <x:v>RSP-0018</x:v>
      </x:c>
      <x:c r="C19" s="12" t="str">
        <x:v>Proposed to address</x:v>
      </x:c>
      <x:c r="D19" s="12" t="str">
        <x:v>Unknown</x:v>
      </x:c>
    </x:row>
    <x:row r="20">
      <x:c r="A20" s="12" t="str">
        <x:v>NEED-0169</x:v>
      </x:c>
      <x:c r="B20" s="12" t="str">
        <x:v>RSP-0019</x:v>
      </x:c>
      <x:c r="C20" s="12" t="str">
        <x:v>Proposed to address</x:v>
      </x:c>
      <x:c r="D20" s="12" t="str">
        <x:v>Unknown</x:v>
      </x:c>
    </x:row>
    <x:row r="21">
      <x:c r="A21" s="12" t="str">
        <x:v>NEED-0189</x:v>
      </x:c>
      <x:c r="B21" s="12" t="str">
        <x:v>RSP-0020</x:v>
      </x:c>
      <x:c r="C21" s="12" t="str">
        <x:v>Proposed to address</x:v>
      </x:c>
      <x:c r="D21" s="12" t="str">
        <x:v>Unknown</x:v>
      </x:c>
    </x:row>
    <x:row r="22">
      <x:c r="A22" s="12" t="str">
        <x:v>NEED-0054</x:v>
      </x:c>
      <x:c r="B22" s="12" t="str">
        <x:v>RSP-0021</x:v>
      </x:c>
      <x:c r="C22" s="12" t="str">
        <x:v>Proposed to address</x:v>
      </x:c>
      <x:c r="D22" s="12" t="str">
        <x:v>Unknown</x:v>
      </x:c>
    </x:row>
    <x:row r="23">
      <x:c r="A23" s="12" t="str">
        <x:v>NEED-0116</x:v>
      </x:c>
      <x:c r="B23" s="12" t="str">
        <x:v>RSP-0022</x:v>
      </x:c>
      <x:c r="C23" s="12" t="str">
        <x:v>Proposed to address</x:v>
      </x:c>
      <x:c r="D23" s="12" t="str">
        <x:v>Unknown</x:v>
      </x:c>
    </x:row>
    <x:row r="24">
      <x:c r="A24" s="12" t="str">
        <x:v>NEED-0208</x:v>
      </x:c>
      <x:c r="B24" s="12" t="str">
        <x:v>RSP-0023</x:v>
      </x:c>
      <x:c r="C24" s="12" t="str">
        <x:v>Proposed to address</x:v>
      </x:c>
      <x:c r="D24" s="12" t="str">
        <x:v>Unknown</x:v>
      </x:c>
    </x:row>
    <x:row r="25">
      <x:c r="A25" s="12" t="str">
        <x:v>NEED-0096</x:v>
      </x:c>
      <x:c r="B25" s="12" t="str">
        <x:v>RSP-0024</x:v>
      </x:c>
      <x:c r="C25" s="12" t="str">
        <x:v>Proposed to address</x:v>
      </x:c>
      <x:c r="D25" s="12" t="str">
        <x:v>Unknown</x:v>
      </x:c>
    </x:row>
    <x:row r="26">
      <x:c r="A26" s="12" t="str">
        <x:v>NEED-0183</x:v>
      </x:c>
      <x:c r="B26" s="12" t="str">
        <x:v>RSP-0025</x:v>
      </x:c>
      <x:c r="C26" s="12" t="str">
        <x:v>Proposed to address</x:v>
      </x:c>
      <x:c r="D26" s="12" t="str">
        <x:v>Unknown</x:v>
      </x:c>
    </x:row>
    <x:row r="27">
      <x:c r="A27" s="12" t="str">
        <x:v>NEED-0195</x:v>
      </x:c>
      <x:c r="B27" s="12" t="str">
        <x:v>RSP-0026</x:v>
      </x:c>
      <x:c r="C27" s="12" t="str">
        <x:v>Proposed to address</x:v>
      </x:c>
      <x:c r="D27" s="12" t="str">
        <x:v>Unknown</x:v>
      </x:c>
    </x:row>
    <x:row r="28">
      <x:c r="A28" s="12" t="str">
        <x:v>NEED-0020</x:v>
      </x:c>
      <x:c r="B28" s="12" t="str">
        <x:v>RSP-0027</x:v>
      </x:c>
      <x:c r="C28" s="12" t="str">
        <x:v>Proposed to address</x:v>
      </x:c>
      <x:c r="D28" s="12" t="str">
        <x:v>Unknown</x:v>
      </x:c>
    </x:row>
    <x:row r="29">
      <x:c r="A29" s="12" t="str">
        <x:v>NEED-0077</x:v>
      </x:c>
      <x:c r="B29" s="12" t="str">
        <x:v>RSP-0028</x:v>
      </x:c>
      <x:c r="C29" s="12" t="str">
        <x:v>Proposed to address</x:v>
      </x:c>
      <x:c r="D29" s="12" t="str">
        <x:v>Unknown</x:v>
      </x:c>
    </x:row>
    <x:row r="30">
      <x:c r="A30" s="12" t="str">
        <x:v>NEED-0077</x:v>
      </x:c>
      <x:c r="B30" s="12" t="str">
        <x:v>RSP-0029</x:v>
      </x:c>
      <x:c r="C30" s="12" t="str">
        <x:v>Proposed to address</x:v>
      </x:c>
      <x:c r="D30" s="12" t="str">
        <x:v>Unknown</x:v>
      </x:c>
    </x:row>
    <x:row r="31">
      <x:c r="A31" s="12" t="str">
        <x:v>NEED-0004</x:v>
      </x:c>
      <x:c r="B31" s="12" t="str">
        <x:v>RSP-0030</x:v>
      </x:c>
      <x:c r="C31" s="12" t="str">
        <x:v>Proposed to address</x:v>
      </x:c>
      <x:c r="D31" s="12" t="str">
        <x:v>Unknown</x:v>
      </x:c>
    </x:row>
    <x:row r="32">
      <x:c r="A32" s="12" t="str">
        <x:v>NEED-0085</x:v>
      </x:c>
      <x:c r="B32" s="12" t="str">
        <x:v>RSP-0031</x:v>
      </x:c>
      <x:c r="C32" s="12" t="str">
        <x:v>Proposed to address</x:v>
      </x:c>
      <x:c r="D32" s="12" t="str">
        <x:v>Unknown</x:v>
      </x:c>
    </x:row>
    <x:row r="33">
      <x:c r="A33" s="12" t="str">
        <x:v>NEED-0017</x:v>
      </x:c>
      <x:c r="B33" s="12" t="str">
        <x:v>RSP-0032</x:v>
      </x:c>
      <x:c r="C33" s="12" t="str">
        <x:v>Proposed to address</x:v>
      </x:c>
      <x:c r="D33" s="12" t="str">
        <x:v>Unknown</x:v>
      </x:c>
    </x:row>
    <x:row r="34">
      <x:c r="A34" s="12" t="str">
        <x:v>NEED-0170</x:v>
      </x:c>
      <x:c r="B34" s="12" t="str">
        <x:v>RSP-0033</x:v>
      </x:c>
      <x:c r="C34" s="12" t="str">
        <x:v>Proposed to address</x:v>
      </x:c>
      <x:c r="D34" s="12" t="str">
        <x:v>Unknown</x:v>
      </x:c>
    </x:row>
    <x:row r="35">
      <x:c r="A35" s="12" t="str">
        <x:v>NEED-0040</x:v>
      </x:c>
      <x:c r="B35" s="12" t="str">
        <x:v>RSP-0034</x:v>
      </x:c>
      <x:c r="C35" s="12" t="str">
        <x:v>Proposed to address</x:v>
      </x:c>
      <x:c r="D35" s="12" t="str">
        <x:v>Unknown</x:v>
      </x:c>
    </x:row>
    <x:row r="36">
      <x:c r="A36" s="12" t="str">
        <x:v>NEED-0134</x:v>
      </x:c>
      <x:c r="B36" s="12" t="str">
        <x:v>RSP-0035</x:v>
      </x:c>
      <x:c r="C36" s="12" t="str">
        <x:v>Proposed to address</x:v>
      </x:c>
      <x:c r="D36" s="12" t="str">
        <x:v>Unknown</x:v>
      </x:c>
    </x:row>
    <x:row r="37">
      <x:c r="A37" s="12" t="str">
        <x:v>NEED-0134</x:v>
      </x:c>
      <x:c r="B37" s="12" t="str">
        <x:v>RSP-0036</x:v>
      </x:c>
      <x:c r="C37" s="12" t="str">
        <x:v>Proposed to address</x:v>
      </x:c>
      <x:c r="D37" s="12" t="str">
        <x:v>Unknown</x:v>
      </x:c>
    </x:row>
    <x:row r="38">
      <x:c r="A38" s="12" t="str">
        <x:v>NEED-0134</x:v>
      </x:c>
      <x:c r="B38" s="12" t="str">
        <x:v>RSP-0037</x:v>
      </x:c>
      <x:c r="C38" s="12" t="str">
        <x:v>Proposed to address</x:v>
      </x:c>
      <x:c r="D38" s="12" t="str">
        <x:v>Unknown</x:v>
      </x:c>
    </x:row>
    <x:row r="39">
      <x:c r="A39" s="12" t="str">
        <x:v>NEED-0134</x:v>
      </x:c>
      <x:c r="B39" s="12" t="str">
        <x:v>RSP-0038</x:v>
      </x:c>
      <x:c r="C39" s="12" t="str">
        <x:v>Proposed to address</x:v>
      </x:c>
      <x:c r="D39" s="12" t="str">
        <x:v>Unknown</x:v>
      </x:c>
    </x:row>
    <x:row r="40">
      <x:c r="A40" s="12" t="str">
        <x:v>NEED-0123</x:v>
      </x:c>
      <x:c r="B40" s="12" t="str">
        <x:v>RSP-0039</x:v>
      </x:c>
      <x:c r="C40" s="12" t="str">
        <x:v>Proposed to address</x:v>
      </x:c>
      <x:c r="D40" s="12" t="str">
        <x:v>Unknown</x:v>
      </x:c>
    </x:row>
    <x:row r="41">
      <x:c r="A41" s="12" t="str">
        <x:v>NEED-0126</x:v>
      </x:c>
      <x:c r="B41" s="12" t="str">
        <x:v>RSP-0040</x:v>
      </x:c>
      <x:c r="C41" s="12" t="str">
        <x:v>Proposed to address</x:v>
      </x:c>
      <x:c r="D41" s="12" t="str">
        <x:v>Unknown</x:v>
      </x:c>
    </x:row>
    <x:row r="42">
      <x:c r="A42" s="12" t="str">
        <x:v>NEED-0119</x:v>
      </x:c>
      <x:c r="B42" s="12" t="str">
        <x:v>RSP-0041</x:v>
      </x:c>
      <x:c r="C42" s="12" t="str">
        <x:v>Proposed to address</x:v>
      </x:c>
      <x:c r="D42" s="12" t="str">
        <x:v>Unknown</x:v>
      </x:c>
    </x:row>
    <x:row r="43">
      <x:c r="A43" s="12" t="str">
        <x:v>NEED-0080</x:v>
      </x:c>
      <x:c r="B43" s="12" t="str">
        <x:v>RSP-0042</x:v>
      </x:c>
      <x:c r="C43" s="12" t="str">
        <x:v>Proposed to address</x:v>
      </x:c>
      <x:c r="D43" s="12" t="str">
        <x:v>Unknown</x:v>
      </x:c>
    </x:row>
    <x:row r="44">
      <x:c r="A44" s="12" t="str">
        <x:v>NEED-0175</x:v>
      </x:c>
      <x:c r="B44" s="12" t="str">
        <x:v>RSP-0043</x:v>
      </x:c>
      <x:c r="C44" s="12" t="str">
        <x:v>Proposed to address</x:v>
      </x:c>
      <x:c r="D44" s="12" t="str">
        <x:v>Unknown</x:v>
      </x:c>
    </x:row>
    <x:row r="45">
      <x:c r="A45" s="12" t="str">
        <x:v>NEED-0074</x:v>
      </x:c>
      <x:c r="B45" s="12" t="str">
        <x:v>RSP-0044</x:v>
      </x:c>
      <x:c r="C45" s="12" t="str">
        <x:v>Proposed to address</x:v>
      </x:c>
      <x:c r="D45" s="12" t="str">
        <x:v>Unknown</x:v>
      </x:c>
    </x:row>
    <x:row r="46">
      <x:c r="A46" s="12" t="str">
        <x:v>NEED-0187</x:v>
      </x:c>
      <x:c r="B46" s="12" t="str">
        <x:v>RSP-0045</x:v>
      </x:c>
      <x:c r="C46" s="12" t="str">
        <x:v>Proposed to address</x:v>
      </x:c>
      <x:c r="D46" s="12" t="str">
        <x:v>Unknown</x:v>
      </x:c>
    </x:row>
    <x:row r="47">
      <x:c r="A47" s="12" t="str">
        <x:v>NEED-0123</x:v>
      </x:c>
      <x:c r="B47" s="12" t="str">
        <x:v>RSP-0046</x:v>
      </x:c>
      <x:c r="C47" s="12" t="str">
        <x:v>Proposed to address</x:v>
      </x:c>
      <x:c r="D47" s="12" t="str">
        <x:v>Unknown</x:v>
      </x:c>
    </x:row>
    <x:row r="48">
      <x:c r="A48" s="12" t="str">
        <x:v>NEED-0036</x:v>
      </x:c>
      <x:c r="B48" s="12" t="str">
        <x:v>RSP-0047</x:v>
      </x:c>
      <x:c r="C48" s="12" t="str">
        <x:v>Proposed to address</x:v>
      </x:c>
      <x:c r="D48" s="12" t="str">
        <x:v>Unknown</x:v>
      </x:c>
    </x:row>
    <x:row r="49">
      <x:c r="A49" s="12" t="str">
        <x:v>NEED-0049</x:v>
      </x:c>
      <x:c r="B49" s="12" t="str">
        <x:v>RSP-0048</x:v>
      </x:c>
      <x:c r="C49" s="12" t="str">
        <x:v>Proposed to address</x:v>
      </x:c>
      <x:c r="D49" s="12" t="str">
        <x:v>Unknown</x:v>
      </x:c>
    </x:row>
    <x:row r="50">
      <x:c r="A50" s="12" t="str">
        <x:v>NEED-0178</x:v>
      </x:c>
      <x:c r="B50" s="12" t="str">
        <x:v>RSP-0049</x:v>
      </x:c>
      <x:c r="C50" s="12" t="str">
        <x:v>Proposed to address</x:v>
      </x:c>
      <x:c r="D50" s="12" t="str">
        <x:v>Unknown</x:v>
      </x:c>
    </x:row>
    <x:row r="51">
      <x:c r="A51" s="12" t="str">
        <x:v>NEED-0076</x:v>
      </x:c>
      <x:c r="B51" s="12" t="str">
        <x:v>RSP-0050</x:v>
      </x:c>
      <x:c r="C51" s="12" t="str">
        <x:v>Proposed to address</x:v>
      </x:c>
      <x:c r="D51" s="12" t="str">
        <x:v>Unknown</x:v>
      </x:c>
    </x:row>
    <x:row r="52">
      <x:c r="A52" s="12" t="str">
        <x:v>NEED-0077</x:v>
      </x:c>
      <x:c r="B52" s="12" t="str">
        <x:v>RSP-0051</x:v>
      </x:c>
      <x:c r="C52" s="12" t="str">
        <x:v>Proposed to address</x:v>
      </x:c>
      <x:c r="D52" s="12" t="str">
        <x:v>Unknown</x:v>
      </x:c>
    </x:row>
    <x:row r="53">
      <x:c r="A53" s="12" t="str">
        <x:v>NEED-0072</x:v>
      </x:c>
      <x:c r="B53" s="12" t="str">
        <x:v>RSP-0052</x:v>
      </x:c>
      <x:c r="C53" s="12" t="str">
        <x:v>Proposed to address</x:v>
      </x:c>
      <x:c r="D53" s="12" t="str">
        <x:v>Unknown</x:v>
      </x:c>
    </x:row>
    <x:row r="54">
      <x:c r="A54" s="12" t="str">
        <x:v>NEED-0174</x:v>
      </x:c>
      <x:c r="B54" s="12" t="str">
        <x:v>RSP-0053</x:v>
      </x:c>
      <x:c r="C54" s="12" t="str">
        <x:v>Proposed to address</x:v>
      </x:c>
      <x:c r="D54" s="12" t="str">
        <x:v>Unknown</x:v>
      </x:c>
    </x:row>
    <x:row r="55">
      <x:c r="A55" s="12" t="str">
        <x:v>NEED-0184</x:v>
      </x:c>
      <x:c r="B55" s="12" t="str">
        <x:v>RSP-0054</x:v>
      </x:c>
      <x:c r="C55" s="12" t="str">
        <x:v>Proposed to address</x:v>
      </x:c>
      <x:c r="D55" s="12" t="str">
        <x:v>Unknown</x:v>
      </x:c>
    </x:row>
    <x:row r="56">
      <x:c r="A56" s="12" t="str">
        <x:v>NEED-0005</x:v>
      </x:c>
      <x:c r="B56" s="12" t="str">
        <x:v>RSP-0055</x:v>
      </x:c>
      <x:c r="C56" s="12" t="str">
        <x:v>Proposed to address</x:v>
      </x:c>
      <x:c r="D56" s="12" t="str">
        <x:v>Unknown</x:v>
      </x:c>
    </x:row>
    <x:row r="57">
      <x:c r="A57" s="12" t="str">
        <x:v>NEED-0005</x:v>
      </x:c>
      <x:c r="B57" s="12" t="str">
        <x:v>RSP-0056</x:v>
      </x:c>
      <x:c r="C57" s="12" t="str">
        <x:v>Proposed to address</x:v>
      </x:c>
      <x:c r="D57" s="12" t="str">
        <x:v>Unknown</x:v>
      </x:c>
    </x:row>
    <x:row r="58">
      <x:c r="A58" s="12" t="str">
        <x:v>NEED-0048</x:v>
      </x:c>
      <x:c r="B58" s="12" t="str">
        <x:v>RSP-0057</x:v>
      </x:c>
      <x:c r="C58" s="12" t="str">
        <x:v>Proposed to address</x:v>
      </x:c>
      <x:c r="D58" s="12" t="str">
        <x:v>Unknown</x:v>
      </x:c>
    </x:row>
    <x:row r="59">
      <x:c r="A59" s="12" t="str">
        <x:v>NEED-0036</x:v>
      </x:c>
      <x:c r="B59" s="12" t="str">
        <x:v>RSP-0058</x:v>
      </x:c>
      <x:c r="C59" s="12" t="str">
        <x:v>Proposed to address</x:v>
      </x:c>
      <x:c r="D59" s="12" t="str">
        <x:v>Unknown</x:v>
      </x:c>
    </x:row>
    <x:row r="60">
      <x:c r="A60" s="12" t="str">
        <x:v>NEED-0125</x:v>
      </x:c>
      <x:c r="B60" s="12" t="str">
        <x:v>RSP-0059</x:v>
      </x:c>
      <x:c r="C60" s="12" t="str">
        <x:v>Proposed to address</x:v>
      </x:c>
      <x:c r="D60" s="12" t="str">
        <x:v>Unknown</x:v>
      </x:c>
    </x:row>
    <x:row r="61">
      <x:c r="A61" s="12" t="str">
        <x:v>NEED-0187</x:v>
      </x:c>
      <x:c r="B61" s="12" t="str">
        <x:v>RSP-0060</x:v>
      </x:c>
      <x:c r="C61" s="12" t="str">
        <x:v>Proposed to address</x:v>
      </x:c>
      <x:c r="D61" s="12" t="str">
        <x:v>Unknown</x:v>
      </x:c>
    </x:row>
    <x:row r="62">
      <x:c r="A62" s="12" t="str">
        <x:v>NEED-0080</x:v>
      </x:c>
      <x:c r="B62" s="12" t="str">
        <x:v>RSP-0061</x:v>
      </x:c>
      <x:c r="C62" s="12" t="str">
        <x:v>Proposed to address</x:v>
      </x:c>
      <x:c r="D62" s="12" t="str">
        <x:v>Unknown</x:v>
      </x:c>
    </x:row>
    <x:row r="63">
      <x:c r="A63" s="12" t="str">
        <x:v>NEED-0125</x:v>
      </x:c>
      <x:c r="B63" s="12" t="str">
        <x:v>RSP-0062</x:v>
      </x:c>
      <x:c r="C63" s="12" t="str">
        <x:v>Proposed to address</x:v>
      </x:c>
      <x:c r="D63" s="12" t="str">
        <x:v>Unknown</x:v>
      </x:c>
    </x:row>
    <x:row r="64">
      <x:c r="A64" s="12" t="str">
        <x:v>NEED-0128</x:v>
      </x:c>
      <x:c r="B64" s="12" t="str">
        <x:v>RSP-0063</x:v>
      </x:c>
      <x:c r="C64" s="12" t="str">
        <x:v>Proposed to address</x:v>
      </x:c>
      <x:c r="D64" s="12" t="str">
        <x:v>Unknown</x:v>
      </x:c>
    </x:row>
    <x:row r="65">
      <x:c r="A65" s="12" t="str">
        <x:v>NEED-0103</x:v>
      </x:c>
      <x:c r="B65" s="12" t="str">
        <x:v>RSP-0064</x:v>
      </x:c>
      <x:c r="C65" s="12" t="str">
        <x:v>Proposed to address</x:v>
      </x:c>
      <x:c r="D65" s="12" t="str">
        <x:v>Unknown</x:v>
      </x:c>
    </x:row>
    <x:row r="66">
      <x:c r="A66" s="12" t="str">
        <x:v>NEED-0122</x:v>
      </x:c>
      <x:c r="B66" s="12" t="str">
        <x:v>RSP-0065</x:v>
      </x:c>
      <x:c r="C66" s="12" t="str">
        <x:v>Proposed to address</x:v>
      </x:c>
      <x:c r="D66" s="12" t="str">
        <x:v>Unknown</x:v>
      </x:c>
    </x:row>
    <x:row r="67">
      <x:c r="A67" s="12" t="str">
        <x:v>NEED-0136</x:v>
      </x:c>
      <x:c r="B67" s="12" t="str">
        <x:v>RSP-0066</x:v>
      </x:c>
      <x:c r="C67" s="12" t="str">
        <x:v>Proposed to address</x:v>
      </x:c>
      <x:c r="D67" s="12" t="str">
        <x:v>Unknown</x:v>
      </x:c>
    </x:row>
    <x:row r="68">
      <x:c r="A68" s="12" t="str">
        <x:v>NEED-0062</x:v>
      </x:c>
      <x:c r="B68" s="12" t="str">
        <x:v>RSP-0067</x:v>
      </x:c>
      <x:c r="C68" s="12" t="str">
        <x:v>Proposed to address</x:v>
      </x:c>
      <x:c r="D68" s="12" t="str">
        <x:v>Unknown</x:v>
      </x:c>
    </x:row>
    <x:row r="69">
      <x:c r="A69" s="12" t="str">
        <x:v>NEED-0123</x:v>
      </x:c>
      <x:c r="B69" s="12" t="str">
        <x:v>RSP-0068</x:v>
      </x:c>
      <x:c r="C69" s="12" t="str">
        <x:v>Proposed to address</x:v>
      </x:c>
      <x:c r="D69" s="12" t="str">
        <x:v>Unknown</x:v>
      </x:c>
    </x:row>
    <x:row r="70">
      <x:c r="A70" s="12" t="str">
        <x:v>NEED-0070</x:v>
      </x:c>
      <x:c r="B70" s="12" t="str">
        <x:v>RSP-0069</x:v>
      </x:c>
      <x:c r="C70" s="12" t="str">
        <x:v>Proposed to address</x:v>
      </x:c>
      <x:c r="D70" s="12" t="str">
        <x:v>Unknown</x:v>
      </x:c>
    </x:row>
    <x:row r="71">
      <x:c r="A71" s="12" t="str">
        <x:v>NEED-0128</x:v>
      </x:c>
      <x:c r="B71" s="12" t="str">
        <x:v>RSP-0070</x:v>
      </x:c>
      <x:c r="C71" s="12" t="str">
        <x:v>Proposed to address</x:v>
      </x:c>
      <x:c r="D71" s="12" t="str">
        <x:v>Unknown</x:v>
      </x:c>
    </x:row>
    <x:row r="72">
      <x:c r="A72" s="12" t="str">
        <x:v>NEED-0100</x:v>
      </x:c>
      <x:c r="B72" s="12" t="str">
        <x:v>RSP-0071</x:v>
      </x:c>
      <x:c r="C72" s="12" t="str">
        <x:v>Proposed to address</x:v>
      </x:c>
      <x:c r="D72" s="12" t="str">
        <x:v>Unknown</x:v>
      </x:c>
    </x:row>
    <x:row r="73">
      <x:c r="A73" s="12" t="str">
        <x:v>NEED-0126</x:v>
      </x:c>
      <x:c r="B73" s="12" t="str">
        <x:v>RSP-0072</x:v>
      </x:c>
      <x:c r="C73" s="12" t="str">
        <x:v>Proposed to address</x:v>
      </x:c>
      <x:c r="D73" s="12" t="str">
        <x:v>Unknown</x:v>
      </x:c>
    </x:row>
    <x:row r="74">
      <x:c r="A74" s="12" t="str">
        <x:v>NEED-0207</x:v>
      </x:c>
      <x:c r="B74" s="12" t="str">
        <x:v>RSP-0073</x:v>
      </x:c>
      <x:c r="C74" s="12" t="str">
        <x:v>Proposed to address</x:v>
      </x:c>
      <x:c r="D74" s="12" t="str">
        <x:v>Unknown</x:v>
      </x:c>
    </x:row>
    <x:row r="75">
      <x:c r="A75" s="12" t="str">
        <x:v>NEED-0195</x:v>
      </x:c>
      <x:c r="B75" s="12" t="str">
        <x:v>RSP-0074</x:v>
      </x:c>
      <x:c r="C75" s="12" t="str">
        <x:v>Proposed to address</x:v>
      </x:c>
      <x:c r="D75" s="12" t="str">
        <x:v>Unknown</x:v>
      </x:c>
    </x:row>
    <x:row r="76">
      <x:c r="A76" s="12" t="str">
        <x:v>NEED-0207</x:v>
      </x:c>
      <x:c r="B76" s="12" t="str">
        <x:v>RSP-0075</x:v>
      </x:c>
      <x:c r="C76" s="12" t="str">
        <x:v>Proposed to address</x:v>
      </x:c>
      <x:c r="D76" s="12" t="str">
        <x:v>Unknown</x:v>
      </x:c>
    </x:row>
    <x:row r="77">
      <x:c r="A77" s="12" t="str">
        <x:v>NEED-0193</x:v>
      </x:c>
      <x:c r="B77" s="12" t="str">
        <x:v>RSP-0076</x:v>
      </x:c>
      <x:c r="C77" s="12" t="str">
        <x:v>Proposed to address</x:v>
      </x:c>
      <x:c r="D77" s="12" t="str">
        <x:v>Unknown</x:v>
      </x:c>
    </x:row>
    <x:row r="78">
      <x:c r="A78" s="12" t="str">
        <x:v>NEED-0193</x:v>
      </x:c>
      <x:c r="B78" s="12" t="str">
        <x:v>RSP-0077</x:v>
      </x:c>
      <x:c r="C78" s="12" t="str">
        <x:v>Proposed to address</x:v>
      </x:c>
      <x:c r="D78" s="12" t="str">
        <x:v>Unknown</x:v>
      </x:c>
    </x:row>
    <x:row r="79">
      <x:c r="A79" s="12" t="str">
        <x:v>NEED-0091</x:v>
      </x:c>
      <x:c r="B79" s="12" t="str">
        <x:v>RSP-0078</x:v>
      </x:c>
      <x:c r="C79" s="12" t="str">
        <x:v>Proposed to address</x:v>
      </x:c>
      <x:c r="D79" s="12" t="str">
        <x:v>Unknown</x:v>
      </x:c>
    </x:row>
    <x:row r="80">
      <x:c r="A80" s="12" t="str">
        <x:v>NEED-0207</x:v>
      </x:c>
      <x:c r="B80" s="12" t="str">
        <x:v>RSP-0079</x:v>
      </x:c>
      <x:c r="C80" s="12" t="str">
        <x:v>Proposed to address</x:v>
      </x:c>
      <x:c r="D80" s="12" t="str">
        <x:v>Unknown</x:v>
      </x:c>
    </x:row>
    <x:row r="81">
      <x:c r="A81" s="12" t="str">
        <x:v>NEED-0157</x:v>
      </x:c>
      <x:c r="B81" s="12" t="str">
        <x:v>RSP-0080</x:v>
      </x:c>
      <x:c r="C81" s="12" t="str">
        <x:v>Proposed to address</x:v>
      </x:c>
      <x:c r="D81" s="12" t="str">
        <x:v>Unknown</x:v>
      </x:c>
    </x:row>
    <x:row r="82">
      <x:c r="A82" s="12" t="str">
        <x:v>NEED-0207</x:v>
      </x:c>
      <x:c r="B82" s="12" t="str">
        <x:v>RSP-0081</x:v>
      </x:c>
      <x:c r="C82" s="12" t="str">
        <x:v>Proposed to address</x:v>
      </x:c>
      <x:c r="D82" s="12" t="str">
        <x:v>Unknown</x:v>
      </x:c>
    </x:row>
    <x:row r="83">
      <x:c r="A83" s="12" t="str">
        <x:v>NEED-0137</x:v>
      </x:c>
      <x:c r="B83" s="12" t="str">
        <x:v>RSP-0082</x:v>
      </x:c>
      <x:c r="C83" s="12" t="str">
        <x:v>Proposed to address</x:v>
      </x:c>
      <x:c r="D83" s="12" t="str">
        <x:v>Unknown</x:v>
      </x:c>
    </x:row>
    <x:row r="84">
      <x:c r="A84" s="12" t="str">
        <x:v>NEED-0082</x:v>
      </x:c>
      <x:c r="B84" s="12" t="str">
        <x:v>RSP-0083</x:v>
      </x:c>
      <x:c r="C84" s="12" t="str">
        <x:v>Proposed to address</x:v>
      </x:c>
      <x:c r="D84" s="12" t="str">
        <x:v>Unknown</x:v>
      </x:c>
    </x:row>
    <x:row r="85">
      <x:c r="A85" s="12" t="str">
        <x:v>NEED-0074</x:v>
      </x:c>
      <x:c r="B85" s="12" t="str">
        <x:v>RSP-0084</x:v>
      </x:c>
      <x:c r="C85" s="12" t="str">
        <x:v>Proposed to address</x:v>
      </x:c>
      <x:c r="D85" s="12" t="str">
        <x:v>Unknown</x:v>
      </x:c>
    </x:row>
    <x:row r="86">
      <x:c r="A86" s="12" t="str">
        <x:v>NEED-0190</x:v>
      </x:c>
      <x:c r="B86" s="12" t="str">
        <x:v>RSP-0085</x:v>
      </x:c>
      <x:c r="C86" s="12" t="str">
        <x:v>Proposed to address</x:v>
      </x:c>
      <x:c r="D86" s="12" t="str">
        <x:v>Unknown</x:v>
      </x:c>
    </x:row>
    <x:row r="87">
      <x:c r="A87" s="12" t="str">
        <x:v>NEED-0136</x:v>
      </x:c>
      <x:c r="B87" s="12" t="str">
        <x:v>RSP-0086</x:v>
      </x:c>
      <x:c r="C87" s="12" t="str">
        <x:v>Proposed to address</x:v>
      </x:c>
      <x:c r="D87" s="12" t="str">
        <x:v>Unknown</x:v>
      </x:c>
    </x:row>
    <x:row r="88">
      <x:c r="A88" s="12" t="str">
        <x:v>NEED-0122</x:v>
      </x:c>
      <x:c r="B88" s="12" t="str">
        <x:v>RSP-0087</x:v>
      </x:c>
      <x:c r="C88" s="12" t="str">
        <x:v>Proposed to address</x:v>
      </x:c>
      <x:c r="D88" s="12" t="str">
        <x:v>Unknown</x:v>
      </x:c>
    </x:row>
    <x:row r="89">
      <x:c r="A89" s="12" t="str">
        <x:v>NEED-0124</x:v>
      </x:c>
      <x:c r="B89" s="12" t="str">
        <x:v>RSP-0088</x:v>
      </x:c>
      <x:c r="C89" s="12" t="str">
        <x:v>Proposed to address</x:v>
      </x:c>
      <x:c r="D89" s="12" t="str">
        <x:v>Unknown</x:v>
      </x:c>
    </x:row>
    <x:row r="90">
      <x:c r="A90" s="12" t="str">
        <x:v>NEED-0126</x:v>
      </x:c>
      <x:c r="B90" s="12" t="str">
        <x:v>RSP-0089</x:v>
      </x:c>
      <x:c r="C90" s="12" t="str">
        <x:v>Proposed to address</x:v>
      </x:c>
      <x:c r="D90" s="12" t="str">
        <x:v>Unknown</x:v>
      </x:c>
    </x:row>
    <x:row r="91">
      <x:c r="A91" s="12" t="str">
        <x:v>NEED-0125</x:v>
      </x:c>
      <x:c r="B91" s="12" t="str">
        <x:v>RSP-0090</x:v>
      </x:c>
      <x:c r="C91" s="12" t="str">
        <x:v>Proposed to address</x:v>
      </x:c>
      <x:c r="D91" s="12" t="str">
        <x:v>Unknown</x:v>
      </x:c>
    </x:row>
    <x:row r="92">
      <x:c r="A92" s="12" t="str">
        <x:v>NEED-0159</x:v>
      </x:c>
      <x:c r="B92" s="12" t="str">
        <x:v>RSP-0091</x:v>
      </x:c>
      <x:c r="C92" s="12" t="str">
        <x:v>Proposed to address</x:v>
      </x:c>
      <x:c r="D92" s="12" t="str">
        <x:v>Unknown</x:v>
      </x:c>
    </x:row>
    <x:row r="93">
      <x:c r="A93" s="12" t="str">
        <x:v>NEED-0002</x:v>
      </x:c>
      <x:c r="B93" s="12" t="str">
        <x:v>RSP-0092</x:v>
      </x:c>
      <x:c r="C93" s="12" t="str">
        <x:v>Proposed to address</x:v>
      </x:c>
      <x:c r="D93" s="12" t="str">
        <x:v>Unknown</x:v>
      </x:c>
    </x:row>
    <x:row r="94">
      <x:c r="A94" s="12" t="str">
        <x:v>NEED-0055</x:v>
      </x:c>
      <x:c r="B94" s="12" t="str">
        <x:v>RSP-0093</x:v>
      </x:c>
      <x:c r="C94" s="12" t="str">
        <x:v>Proposed to address</x:v>
      </x:c>
      <x:c r="D94" s="12" t="str">
        <x:v>Unknown</x:v>
      </x:c>
    </x:row>
    <x:row r="95">
      <x:c r="A95" s="12" t="str">
        <x:v>NEED-0071</x:v>
      </x:c>
      <x:c r="B95" s="12" t="str">
        <x:v>RSP-0094</x:v>
      </x:c>
      <x:c r="C95" s="12" t="str">
        <x:v>Proposed to address</x:v>
      </x:c>
      <x:c r="D95" s="12" t="str">
        <x:v>Unknown</x:v>
      </x:c>
    </x:row>
    <x:row r="96">
      <x:c r="A96" s="12" t="str">
        <x:v>NEED-0207</x:v>
      </x:c>
      <x:c r="B96" s="12" t="str">
        <x:v>RSP-0095</x:v>
      </x:c>
      <x:c r="C96" s="12" t="str">
        <x:v>Proposed to address</x:v>
      </x:c>
      <x:c r="D96" s="12" t="str">
        <x:v>Unknown</x:v>
      </x:c>
    </x:row>
    <x:row r="97">
      <x:c r="A97" s="12" t="str">
        <x:v>NEED-0127</x:v>
      </x:c>
      <x:c r="B97" s="12" t="str">
        <x:v>RSP-0096</x:v>
      </x:c>
      <x:c r="C97" s="12" t="str">
        <x:v>Proposed to address</x:v>
      </x:c>
      <x:c r="D97" s="12" t="str">
        <x:v>Unknown</x:v>
      </x:c>
    </x:row>
    <x:row r="98">
      <x:c r="A98" s="12" t="str">
        <x:v>NEED-0143</x:v>
      </x:c>
      <x:c r="B98" s="12" t="str">
        <x:v>RSP-0097</x:v>
      </x:c>
      <x:c r="C98" s="12" t="str">
        <x:v>Proposed to address</x:v>
      </x:c>
      <x:c r="D98" s="12" t="str">
        <x:v>Unknown</x:v>
      </x:c>
    </x:row>
    <x:row r="99">
      <x:c r="A99" s="12" t="str">
        <x:v>NEED-0122</x:v>
      </x:c>
      <x:c r="B99" s="12" t="str">
        <x:v>RSP-0098</x:v>
      </x:c>
      <x:c r="C99" s="12" t="str">
        <x:v>Proposed to address</x:v>
      </x:c>
      <x:c r="D99" s="12" t="str">
        <x:v>Unknown</x:v>
      </x:c>
    </x:row>
    <x:row r="100">
      <x:c r="A100" s="12" t="str">
        <x:v>NEED-0140</x:v>
      </x:c>
      <x:c r="B100" s="12" t="str">
        <x:v>RSP-0099</x:v>
      </x:c>
      <x:c r="C100" s="12" t="str">
        <x:v>Proposed to address</x:v>
      </x:c>
      <x:c r="D100" s="12" t="str">
        <x:v>Unknown</x:v>
      </x:c>
    </x:row>
    <x:row r="101">
      <x:c r="A101" s="12" t="str">
        <x:v>NEED-0007</x:v>
      </x:c>
      <x:c r="B101" s="12" t="str">
        <x:v>RSP-0100</x:v>
      </x:c>
      <x:c r="C101" s="12" t="str">
        <x:v>Proposed to address</x:v>
      </x:c>
      <x:c r="D101" s="12" t="str">
        <x:v>Unknown</x:v>
      </x:c>
    </x:row>
    <x:row r="102">
      <x:c r="A102" s="12" t="str">
        <x:v>NEED-0090</x:v>
      </x:c>
      <x:c r="B102" s="12" t="str">
        <x:v>RSP-0101</x:v>
      </x:c>
      <x:c r="C102" s="12" t="str">
        <x:v>Proposed to address</x:v>
      </x:c>
      <x:c r="D102" s="12" t="str">
        <x:v>Unknown</x:v>
      </x:c>
    </x:row>
    <x:row r="103">
      <x:c r="A103" s="12" t="str">
        <x:v>NEED-0129</x:v>
      </x:c>
      <x:c r="B103" s="12" t="str">
        <x:v>RSP-0102</x:v>
      </x:c>
      <x:c r="C103" s="12" t="str">
        <x:v>Proposed to address</x:v>
      </x:c>
      <x:c r="D103" s="12" t="str">
        <x:v>Unknown</x:v>
      </x:c>
    </x:row>
    <x:row r="104">
      <x:c r="A104" s="12" t="str">
        <x:v>NEED-0119</x:v>
      </x:c>
      <x:c r="B104" s="12" t="str">
        <x:v>RSP-0103</x:v>
      </x:c>
      <x:c r="C104" s="12" t="str">
        <x:v>Proposed to address</x:v>
      </x:c>
      <x:c r="D104" s="12" t="str">
        <x:v>Unknown</x:v>
      </x:c>
    </x:row>
    <x:row r="105">
      <x:c r="A105" s="12" t="str">
        <x:v>NEED-0035</x:v>
      </x:c>
      <x:c r="B105" s="12" t="str">
        <x:v>RSP-0104</x:v>
      </x:c>
      <x:c r="C105" s="12" t="str">
        <x:v>Proposed to address</x:v>
      </x:c>
      <x:c r="D105" s="12" t="str">
        <x:v>Unknown</x:v>
      </x:c>
    </x:row>
    <x:row r="106">
      <x:c r="A106" s="12" t="str">
        <x:v>NEED-0122</x:v>
      </x:c>
      <x:c r="B106" s="12" t="str">
        <x:v>RSP-0105</x:v>
      </x:c>
      <x:c r="C106" s="12" t="str">
        <x:v>Proposed to address</x:v>
      </x:c>
      <x:c r="D106" s="12" t="str">
        <x:v>Unknown</x:v>
      </x:c>
    </x:row>
    <x:row r="107">
      <x:c r="A107" s="12" t="str">
        <x:v>NEED-0120</x:v>
      </x:c>
      <x:c r="B107" s="12" t="str">
        <x:v>RSP-0106</x:v>
      </x:c>
      <x:c r="C107" s="12" t="str">
        <x:v>Proposed to address</x:v>
      </x:c>
      <x:c r="D107" s="12" t="str">
        <x:v>Unknown</x:v>
      </x:c>
    </x:row>
    <x:row r="108">
      <x:c r="A108" s="12" t="str">
        <x:v>NEED-0179</x:v>
      </x:c>
      <x:c r="B108" s="12" t="str">
        <x:v>RSP-0107</x:v>
      </x:c>
      <x:c r="C108" s="12" t="str">
        <x:v>Proposed to address</x:v>
      </x:c>
      <x:c r="D108" s="12" t="str">
        <x:v>Unknown</x:v>
      </x:c>
    </x:row>
    <x:row r="109">
      <x:c r="A109" s="12" t="str">
        <x:v>NEED-0123</x:v>
      </x:c>
      <x:c r="B109" s="12" t="str">
        <x:v>RSP-0108</x:v>
      </x:c>
      <x:c r="C109" s="12" t="str">
        <x:v>Proposed to address</x:v>
      </x:c>
      <x:c r="D109" s="12" t="str">
        <x:v>Unknown</x:v>
      </x:c>
    </x:row>
    <x:row r="110">
      <x:c r="A110" s="12" t="str">
        <x:v>NEED-0123</x:v>
      </x:c>
      <x:c r="B110" s="12" t="str">
        <x:v>RSP-0109</x:v>
      </x:c>
      <x:c r="C110" s="12" t="str">
        <x:v>Proposed to address</x:v>
      </x:c>
      <x:c r="D110" s="12" t="str">
        <x:v>Unknown</x:v>
      </x:c>
    </x:row>
    <x:row r="111">
      <x:c r="A111" s="12" t="str">
        <x:v>NEED-0020</x:v>
      </x:c>
      <x:c r="B111" s="12" t="str">
        <x:v>RSP-0110</x:v>
      </x:c>
      <x:c r="C111" s="12" t="str">
        <x:v>Proposed to address</x:v>
      </x:c>
      <x:c r="D111" s="12" t="str">
        <x:v>Unknown</x:v>
      </x:c>
    </x:row>
    <x:row r="112">
      <x:c r="A112" s="12" t="str">
        <x:v>NEED-0141</x:v>
      </x:c>
      <x:c r="B112" s="12" t="str">
        <x:v>RSP-0111</x:v>
      </x:c>
      <x:c r="C112" s="12" t="str">
        <x:v>Proposed to address</x:v>
      </x:c>
      <x:c r="D112" s="12" t="str">
        <x:v>Unknown</x:v>
      </x:c>
    </x:row>
    <x:row r="113">
      <x:c r="A113" s="12" t="str">
        <x:v>NEED-0123</x:v>
      </x:c>
      <x:c r="B113" s="12" t="str">
        <x:v>RSP-0112</x:v>
      </x:c>
      <x:c r="C113" s="12" t="str">
        <x:v>Proposed to address</x:v>
      </x:c>
      <x:c r="D113" s="12" t="str">
        <x:v>Unknown</x:v>
      </x:c>
    </x:row>
    <x:row r="114">
      <x:c r="A114" s="12" t="str">
        <x:v>NEED-0140</x:v>
      </x:c>
      <x:c r="B114" s="12" t="str">
        <x:v>RSP-0113</x:v>
      </x:c>
      <x:c r="C114" s="12" t="str">
        <x:v>Proposed to address</x:v>
      </x:c>
      <x:c r="D114" s="12" t="str">
        <x:v>Unknown</x:v>
      </x:c>
    </x:row>
    <x:row r="115">
      <x:c r="A115" s="12" t="str">
        <x:v>NEED-0065</x:v>
      </x:c>
      <x:c r="B115" s="12" t="str">
        <x:v>RSP-0114</x:v>
      </x:c>
      <x:c r="C115" s="12" t="str">
        <x:v>Proposed to address</x:v>
      </x:c>
      <x:c r="D115" s="12" t="str">
        <x:v>Unknown</x:v>
      </x:c>
    </x:row>
    <x:row r="116">
      <x:c r="A116" s="12" t="str">
        <x:v>NEED-0119</x:v>
      </x:c>
      <x:c r="B116" s="12" t="str">
        <x:v>RSP-0115</x:v>
      </x:c>
      <x:c r="C116" s="12" t="str">
        <x:v>Proposed to address</x:v>
      </x:c>
      <x:c r="D116" s="12" t="str">
        <x:v>Unknown</x:v>
      </x:c>
    </x:row>
    <x:row r="117">
      <x:c r="A117" s="12" t="str">
        <x:v>NEED-0075</x:v>
      </x:c>
      <x:c r="B117" s="12" t="str">
        <x:v>RSP-0116</x:v>
      </x:c>
      <x:c r="C117" s="12" t="str">
        <x:v>Proposed to address</x:v>
      </x:c>
      <x:c r="D117" s="12" t="str">
        <x:v>Unknown</x:v>
      </x:c>
    </x:row>
    <x:row r="118">
      <x:c r="A118" s="12" t="str">
        <x:v>NEED-0060</x:v>
      </x:c>
      <x:c r="B118" s="12" t="str">
        <x:v>RSP-0117</x:v>
      </x:c>
      <x:c r="C118" s="12" t="str">
        <x:v>Proposed to address</x:v>
      </x:c>
      <x:c r="D118" s="12" t="str">
        <x:v>Unknown</x:v>
      </x:c>
    </x:row>
    <x:row r="119">
      <x:c r="A119" s="12" t="str">
        <x:v>NEED-0071</x:v>
      </x:c>
      <x:c r="B119" s="12" t="str">
        <x:v>RSP-0118</x:v>
      </x:c>
      <x:c r="C119" s="12" t="str">
        <x:v>Proposed to address</x:v>
      </x:c>
      <x:c r="D119" s="12" t="str">
        <x:v>Unknown</x:v>
      </x:c>
    </x:row>
    <x:row r="120">
      <x:c r="A120" s="12" t="str">
        <x:v>NEED-0121</x:v>
      </x:c>
      <x:c r="B120" s="12" t="str">
        <x:v>RSP-0119</x:v>
      </x:c>
      <x:c r="C120" s="12" t="str">
        <x:v>Proposed to address</x:v>
      </x:c>
      <x:c r="D120" s="12" t="str">
        <x:v>Unknown</x:v>
      </x:c>
    </x:row>
    <x:row r="121">
      <x:c r="A121" s="12" t="str">
        <x:v>NEED-0172</x:v>
      </x:c>
      <x:c r="B121" s="12" t="str">
        <x:v>RSP-0120</x:v>
      </x:c>
      <x:c r="C121" s="12" t="str">
        <x:v>Proposed to address</x:v>
      </x:c>
      <x:c r="D121" s="12" t="str">
        <x:v>Unknown</x:v>
      </x:c>
    </x:row>
    <x:row r="122">
      <x:c r="A122" s="12" t="str">
        <x:v>NEED-0032</x:v>
      </x:c>
      <x:c r="B122" s="12" t="str">
        <x:v>RSP-0121</x:v>
      </x:c>
      <x:c r="C122" s="12" t="str">
        <x:v>Proposed to address</x:v>
      </x:c>
      <x:c r="D122" s="12" t="str">
        <x:v>Unknown</x:v>
      </x:c>
    </x:row>
    <x:row r="123">
      <x:c r="A123" s="12" t="str">
        <x:v>NEED-0017</x:v>
      </x:c>
      <x:c r="B123" s="12" t="str">
        <x:v>RSP-0122</x:v>
      </x:c>
      <x:c r="C123" s="12" t="str">
        <x:v>Proposed to address</x:v>
      </x:c>
      <x:c r="D123" s="12" t="str">
        <x:v>Unknown</x:v>
      </x:c>
    </x:row>
    <x:row r="124">
      <x:c r="A124" s="12" t="str">
        <x:v>NEED-0013</x:v>
      </x:c>
      <x:c r="B124" s="12" t="str">
        <x:v>RSP-0123</x:v>
      </x:c>
      <x:c r="C124" s="12" t="str">
        <x:v>Proposed to address</x:v>
      </x:c>
      <x:c r="D124" s="12" t="str">
        <x:v>Unknown</x:v>
      </x:c>
    </x:row>
    <x:row r="125">
      <x:c r="A125" s="12" t="str">
        <x:v>NEED-0210</x:v>
      </x:c>
      <x:c r="B125" s="12" t="str">
        <x:v>RSP-0124</x:v>
      </x:c>
      <x:c r="C125" s="12" t="str">
        <x:v>Proposed to address</x:v>
      </x:c>
      <x:c r="D125" s="12" t="str">
        <x:v>Unknown</x:v>
      </x:c>
    </x:row>
    <x:row r="126">
      <x:c r="A126" s="12" t="str">
        <x:v>NEED-0130</x:v>
      </x:c>
      <x:c r="B126" s="12" t="str">
        <x:v>RSP-0125</x:v>
      </x:c>
      <x:c r="C126" s="12" t="str">
        <x:v>Proposed to address</x:v>
      </x:c>
      <x:c r="D126" s="12" t="str">
        <x:v>Unknown</x:v>
      </x:c>
    </x:row>
    <x:row r="127">
      <x:c r="A127" s="12" t="str">
        <x:v>NEED-0168</x:v>
      </x:c>
      <x:c r="B127" s="12" t="str">
        <x:v>RSP-0126</x:v>
      </x:c>
      <x:c r="C127" s="12" t="str">
        <x:v>Proposed to address</x:v>
      </x:c>
      <x:c r="D127" s="12" t="str">
        <x:v>Unknown</x:v>
      </x:c>
    </x:row>
    <x:row r="128">
      <x:c r="A128" s="12" t="str">
        <x:v>NEED-0130</x:v>
      </x:c>
      <x:c r="B128" s="12" t="str">
        <x:v>RSP-0127</x:v>
      </x:c>
      <x:c r="C128" s="12" t="str">
        <x:v>Proposed to address</x:v>
      </x:c>
      <x:c r="D128" s="12" t="str">
        <x:v>Unknown</x:v>
      </x:c>
    </x:row>
    <x:row r="129">
      <x:c r="A129" s="12" t="str">
        <x:v>NEED-0130</x:v>
      </x:c>
      <x:c r="B129" s="12" t="str">
        <x:v>RSP-0128</x:v>
      </x:c>
      <x:c r="C129" s="12" t="str">
        <x:v>Proposed to address</x:v>
      </x:c>
      <x:c r="D129" s="12" t="str">
        <x:v>Unknown</x:v>
      </x:c>
    </x:row>
    <x:row r="130">
      <x:c r="A130" s="12" t="str">
        <x:v>NEED-0002</x:v>
      </x:c>
      <x:c r="B130" s="12" t="str">
        <x:v>RSP-0129</x:v>
      </x:c>
      <x:c r="C130" s="12" t="str">
        <x:v>Proposed to address</x:v>
      </x:c>
      <x:c r="D130" s="12" t="str">
        <x:v>Unknown</x:v>
      </x:c>
    </x:row>
    <x:row r="131">
      <x:c r="A131" s="12" t="str">
        <x:v>NEED-0078</x:v>
      </x:c>
      <x:c r="B131" s="12" t="str">
        <x:v>RSP-0130</x:v>
      </x:c>
      <x:c r="C131" s="12" t="str">
        <x:v>Proposed to address</x:v>
      </x:c>
      <x:c r="D131" s="12" t="str">
        <x:v>Unknown</x:v>
      </x:c>
    </x:row>
    <x:row r="132">
      <x:c r="A132" s="12" t="str">
        <x:v>NEED-0127</x:v>
      </x:c>
      <x:c r="B132" s="12" t="str">
        <x:v>RSP-0131</x:v>
      </x:c>
      <x:c r="C132" s="12" t="str">
        <x:v>Proposed to address</x:v>
      </x:c>
      <x:c r="D132" s="12" t="str">
        <x:v>Unknown</x:v>
      </x:c>
    </x:row>
    <x:row r="133">
      <x:c r="A133" s="12" t="str">
        <x:v>NEED-0166</x:v>
      </x:c>
      <x:c r="B133" s="12" t="str">
        <x:v>RSP-0132</x:v>
      </x:c>
      <x:c r="C133" s="12" t="str">
        <x:v>Proposed to address</x:v>
      </x:c>
      <x:c r="D133" s="12" t="str">
        <x:v>Unknown</x:v>
      </x:c>
    </x:row>
    <x:row r="134">
      <x:c r="A134" s="12" t="str">
        <x:v>NEED-0121</x:v>
      </x:c>
      <x:c r="B134" s="12" t="str">
        <x:v>RSP-0133</x:v>
      </x:c>
      <x:c r="C134" s="12" t="str">
        <x:v>Proposed to address</x:v>
      </x:c>
      <x:c r="D134" s="12" t="str">
        <x:v>Unknown</x:v>
      </x:c>
    </x:row>
    <x:row r="135">
      <x:c r="A135" s="12" t="str">
        <x:v>NEED-0126</x:v>
      </x:c>
      <x:c r="B135" s="12" t="str">
        <x:v>RSP-0134</x:v>
      </x:c>
      <x:c r="C135" s="12" t="str">
        <x:v>Proposed to address</x:v>
      </x:c>
      <x:c r="D135" s="12" t="str">
        <x:v>Unknown</x:v>
      </x:c>
    </x:row>
    <x:row r="136">
      <x:c r="A136" s="12" t="str">
        <x:v>NEED-0130</x:v>
      </x:c>
      <x:c r="B136" s="12" t="str">
        <x:v>RSP-0135</x:v>
      </x:c>
      <x:c r="C136" s="12" t="str">
        <x:v>Proposed to address</x:v>
      </x:c>
      <x:c r="D136" s="12" t="str">
        <x:v>Unknown</x:v>
      </x:c>
    </x:row>
    <x:row r="137">
      <x:c r="A137" s="12" t="str">
        <x:v>NEED-0202</x:v>
      </x:c>
      <x:c r="B137" s="12" t="str">
        <x:v>RSP-0136</x:v>
      </x:c>
      <x:c r="C137" s="12" t="str">
        <x:v>Proposed to address</x:v>
      </x:c>
      <x:c r="D137" s="12" t="str">
        <x:v>Unknown</x:v>
      </x:c>
    </x:row>
    <x:row r="138">
      <x:c r="A138" s="12" t="str">
        <x:v>NEED-0130</x:v>
      </x:c>
      <x:c r="B138" s="12" t="str">
        <x:v>RSP-0137</x:v>
      </x:c>
      <x:c r="C138" s="12" t="str">
        <x:v>Proposed to address</x:v>
      </x:c>
      <x:c r="D138" s="12" t="str">
        <x:v>Unknown</x:v>
      </x:c>
    </x:row>
    <x:row r="139">
      <x:c r="A139" s="12" t="str">
        <x:v>NEED-0163</x:v>
      </x:c>
      <x:c r="B139" s="12" t="str">
        <x:v>RSP-0138</x:v>
      </x:c>
      <x:c r="C139" s="12" t="str">
        <x:v>Proposed to address</x:v>
      </x:c>
      <x:c r="D139" s="12" t="str">
        <x:v>Unknown</x:v>
      </x:c>
    </x:row>
    <x:row r="140">
      <x:c r="A140" s="12" t="str">
        <x:v>NEED-0013</x:v>
      </x:c>
      <x:c r="B140" s="12" t="str">
        <x:v>RSP-0139</x:v>
      </x:c>
      <x:c r="C140" s="12" t="str">
        <x:v>Proposed to address</x:v>
      </x:c>
      <x:c r="D140" s="12" t="str">
        <x:v>Unknown</x:v>
      </x:c>
    </x:row>
    <x:row r="141">
      <x:c r="A141" s="12" t="str">
        <x:v>NEED-0042</x:v>
      </x:c>
      <x:c r="B141" s="12" t="str">
        <x:v>RSP-0140</x:v>
      </x:c>
      <x:c r="C141" s="12" t="str">
        <x:v>Proposed to address</x:v>
      </x:c>
      <x:c r="D141" s="12" t="str">
        <x:v>Unknown</x:v>
      </x:c>
    </x:row>
    <x:row r="142">
      <x:c r="A142" s="12" t="str">
        <x:v>NEED-0167</x:v>
      </x:c>
      <x:c r="B142" s="12" t="str">
        <x:v>RSP-0141</x:v>
      </x:c>
      <x:c r="C142" s="12" t="str">
        <x:v>Proposed to address</x:v>
      </x:c>
      <x:c r="D142" s="12" t="str">
        <x:v>Unknown</x:v>
      </x:c>
    </x:row>
    <x:row r="143">
      <x:c r="A143" s="12" t="str">
        <x:v>NEED-0010</x:v>
      </x:c>
      <x:c r="B143" s="12" t="str">
        <x:v>RSP-0142</x:v>
      </x:c>
      <x:c r="C143" s="12" t="str">
        <x:v>Proposed to address</x:v>
      </x:c>
      <x:c r="D143" s="12" t="str">
        <x:v>Unknown</x:v>
      </x:c>
    </x:row>
    <x:row r="144">
      <x:c r="A144" s="12" t="str">
        <x:v>NEED-0130</x:v>
      </x:c>
      <x:c r="B144" s="12" t="str">
        <x:v>RSP-0143</x:v>
      </x:c>
      <x:c r="C144" s="12" t="str">
        <x:v>Proposed to address</x:v>
      </x:c>
      <x:c r="D144" s="12" t="str">
        <x:v>Unknown</x:v>
      </x:c>
    </x:row>
    <x:row r="145">
      <x:c r="A145" s="12" t="str">
        <x:v>NEED-0123</x:v>
      </x:c>
      <x:c r="B145" s="12" t="str">
        <x:v>RSP-0144</x:v>
      </x:c>
      <x:c r="C145" s="12" t="str">
        <x:v>Proposed to address</x:v>
      </x:c>
      <x:c r="D145" s="12" t="str">
        <x:v>Unknown</x:v>
      </x:c>
    </x:row>
    <x:row r="146">
      <x:c r="A146" s="12" t="str">
        <x:v>NEED-0099</x:v>
      </x:c>
      <x:c r="B146" s="12" t="str">
        <x:v>RSP-0145</x:v>
      </x:c>
      <x:c r="C146" s="12" t="str">
        <x:v>Proposed to address</x:v>
      </x:c>
      <x:c r="D146" s="12" t="str">
        <x:v>Unknown</x:v>
      </x:c>
    </x:row>
    <x:row r="147">
      <x:c r="A147" s="12" t="str">
        <x:v>NEED-0133</x:v>
      </x:c>
      <x:c r="B147" s="12" t="str">
        <x:v>RSP-0146</x:v>
      </x:c>
      <x:c r="C147" s="12" t="str">
        <x:v>Proposed to address</x:v>
      </x:c>
      <x:c r="D147" s="12" t="str">
        <x:v>Unknown</x:v>
      </x:c>
    </x:row>
    <x:row r="148">
      <x:c r="A148" s="12" t="str">
        <x:v>NEED-0084</x:v>
      </x:c>
      <x:c r="B148" s="12" t="str">
        <x:v>RSP-0147</x:v>
      </x:c>
      <x:c r="C148" s="12" t="str">
        <x:v>Proposed to address</x:v>
      </x:c>
      <x:c r="D148" s="12" t="str">
        <x:v>Unknown</x:v>
      </x:c>
    </x:row>
    <x:row r="149">
      <x:c r="A149" s="12" t="str">
        <x:v>NEED-0130</x:v>
      </x:c>
      <x:c r="B149" s="12" t="str">
        <x:v>RSP-0148</x:v>
      </x:c>
      <x:c r="C149" s="12" t="str">
        <x:v>Proposed to address</x:v>
      </x:c>
      <x:c r="D149" s="12" t="str">
        <x:v>Unknown</x:v>
      </x:c>
    </x:row>
    <x:row r="150">
      <x:c r="A150" s="12" t="str">
        <x:v>NEED-0030</x:v>
      </x:c>
      <x:c r="B150" s="12" t="str">
        <x:v>RSP-0149</x:v>
      </x:c>
      <x:c r="C150" s="12" t="str">
        <x:v>Proposed to address</x:v>
      </x:c>
      <x:c r="D150" s="12" t="str">
        <x:v>Unknown</x:v>
      </x:c>
    </x:row>
    <x:row r="151">
      <x:c r="A151" s="12" t="str">
        <x:v>NEED-0180</x:v>
      </x:c>
      <x:c r="B151" s="12" t="str">
        <x:v>RSP-0150</x:v>
      </x:c>
      <x:c r="C151" s="12" t="str">
        <x:v>Proposed to address</x:v>
      </x:c>
      <x:c r="D151" s="12" t="str">
        <x:v>Unknown</x:v>
      </x:c>
    </x:row>
    <x:row r="152">
      <x:c r="A152" s="12" t="str">
        <x:v>NEED-0180</x:v>
      </x:c>
      <x:c r="B152" s="12" t="str">
        <x:v>RSP-0151</x:v>
      </x:c>
      <x:c r="C152" s="12" t="str">
        <x:v>Proposed to address</x:v>
      </x:c>
      <x:c r="D152" s="12" t="str">
        <x:v>Unknown</x:v>
      </x:c>
    </x:row>
    <x:row r="153">
      <x:c r="A153" s="12" t="str">
        <x:v>NEED-0127</x:v>
      </x:c>
      <x:c r="B153" s="12" t="str">
        <x:v>RSP-0152</x:v>
      </x:c>
      <x:c r="C153" s="12" t="str">
        <x:v>Proposed to address</x:v>
      </x:c>
      <x:c r="D153" s="12" t="str">
        <x:v>Unknown</x:v>
      </x:c>
    </x:row>
    <x:row r="154">
      <x:c r="A154" s="12" t="str">
        <x:v>NEED-0005</x:v>
      </x:c>
      <x:c r="B154" s="12" t="str">
        <x:v>RSP-0153</x:v>
      </x:c>
      <x:c r="C154" s="12" t="str">
        <x:v>Proposed to address</x:v>
      </x:c>
      <x:c r="D154" s="12" t="str">
        <x:v>Unknown</x:v>
      </x:c>
    </x:row>
    <x:row r="155">
      <x:c r="A155" s="12" t="str">
        <x:v>NEED-0005</x:v>
      </x:c>
      <x:c r="B155" s="12" t="str">
        <x:v>RSP-0154</x:v>
      </x:c>
      <x:c r="C155" s="12" t="str">
        <x:v>Proposed to address</x:v>
      </x:c>
      <x:c r="D155" s="12" t="str">
        <x:v>Unknown</x:v>
      </x:c>
    </x:row>
    <x:row r="156">
      <x:c r="A156" s="12" t="str">
        <x:v>NEED-0010</x:v>
      </x:c>
      <x:c r="B156" s="12" t="str">
        <x:v>RSP-0155</x:v>
      </x:c>
      <x:c r="C156" s="12" t="str">
        <x:v>Proposed to address</x:v>
      </x:c>
      <x:c r="D156" s="12" t="str">
        <x:v>Unknown</x:v>
      </x:c>
    </x:row>
    <x:row r="157">
      <x:c r="A157" s="12" t="str">
        <x:v>NEED-0010</x:v>
      </x:c>
      <x:c r="B157" s="12" t="str">
        <x:v>RSP-0156</x:v>
      </x:c>
      <x:c r="C157" s="12" t="str">
        <x:v>Proposed to address</x:v>
      </x:c>
      <x:c r="D157" s="12" t="str">
        <x:v>Unknown</x:v>
      </x:c>
    </x:row>
    <x:row r="158">
      <x:c r="A158" s="12" t="str">
        <x:v>NEED-0133</x:v>
      </x:c>
      <x:c r="B158" s="12" t="str">
        <x:v>RSP-0157</x:v>
      </x:c>
      <x:c r="C158" s="12" t="str">
        <x:v>Proposed to address</x:v>
      </x:c>
      <x:c r="D158" s="12" t="str">
        <x:v>Unknown</x:v>
      </x:c>
    </x:row>
    <x:row r="159">
      <x:c r="A159" s="12" t="str">
        <x:v>NEED-0102</x:v>
      </x:c>
      <x:c r="B159" s="12" t="str">
        <x:v>RSP-0158</x:v>
      </x:c>
      <x:c r="C159" s="12" t="str">
        <x:v>Proposed to address</x:v>
      </x:c>
      <x:c r="D159" s="12" t="str">
        <x:v>Unknown</x:v>
      </x:c>
    </x:row>
    <x:row r="160">
      <x:c r="A160" s="12" t="str">
        <x:v>NEED-0133</x:v>
      </x:c>
      <x:c r="B160" s="12" t="str">
        <x:v>RSP-0159</x:v>
      </x:c>
      <x:c r="C160" s="12" t="str">
        <x:v>Proposed to address</x:v>
      </x:c>
      <x:c r="D160" s="12" t="str">
        <x:v>Unknown</x:v>
      </x:c>
    </x:row>
    <x:row r="161">
      <x:c r="A161" s="12" t="str">
        <x:v>NEED-0150</x:v>
      </x:c>
      <x:c r="B161" s="12" t="str">
        <x:v>RSP-0160</x:v>
      </x:c>
      <x:c r="C161" s="12" t="str">
        <x:v>Proposed to address</x:v>
      </x:c>
      <x:c r="D161" s="12" t="str">
        <x:v>Unknown</x:v>
      </x:c>
    </x:row>
    <x:row r="162">
      <x:c r="A162" s="12" t="str">
        <x:v>NEED-0129</x:v>
      </x:c>
      <x:c r="B162" s="12" t="str">
        <x:v>RSP-0161</x:v>
      </x:c>
      <x:c r="C162" s="12" t="str">
        <x:v>Proposed to address</x:v>
      </x:c>
      <x:c r="D162" s="12" t="str">
        <x:v>Unknown</x:v>
      </x:c>
    </x:row>
    <x:row r="163">
      <x:c r="A163" s="12" t="str">
        <x:v>NEED-0133</x:v>
      </x:c>
      <x:c r="B163" s="12" t="str">
        <x:v>RSP-0162</x:v>
      </x:c>
      <x:c r="C163" s="12" t="str">
        <x:v>Proposed to address</x:v>
      </x:c>
      <x:c r="D163" s="12" t="str">
        <x:v>Unknown</x:v>
      </x:c>
    </x:row>
    <x:row r="164">
      <x:c r="A164" s="12" t="str">
        <x:v>NEED-0140</x:v>
      </x:c>
      <x:c r="B164" s="12" t="str">
        <x:v>RSP-0163</x:v>
      </x:c>
      <x:c r="C164" s="12" t="str">
        <x:v>Proposed to address</x:v>
      </x:c>
      <x:c r="D164" s="12" t="str">
        <x:v>Unknown</x:v>
      </x:c>
    </x:row>
    <x:row r="165">
      <x:c r="A165" s="12" t="str">
        <x:v>NEED-0081</x:v>
      </x:c>
      <x:c r="B165" s="12" t="str">
        <x:v>RSP-0164</x:v>
      </x:c>
      <x:c r="C165" s="12" t="str">
        <x:v>Proposed to address</x:v>
      </x:c>
      <x:c r="D165" s="12" t="str">
        <x:v>Unknown</x:v>
      </x:c>
    </x:row>
    <x:row r="166">
      <x:c r="A166" s="12" t="str">
        <x:v>NEED-0083</x:v>
      </x:c>
      <x:c r="B166" s="12" t="str">
        <x:v>RSP-0165</x:v>
      </x:c>
      <x:c r="C166" s="12" t="str">
        <x:v>Proposed to address</x:v>
      </x:c>
      <x:c r="D166" s="12" t="str">
        <x:v>Unknown</x:v>
      </x:c>
    </x:row>
    <x:row r="167">
      <x:c r="A167" s="12" t="str">
        <x:v>NEED-0125</x:v>
      </x:c>
      <x:c r="B167" s="12" t="str">
        <x:v>RSP-0166</x:v>
      </x:c>
      <x:c r="C167" s="12" t="str">
        <x:v>Proposed to address</x:v>
      </x:c>
      <x:c r="D167" s="12" t="str">
        <x:v>Unknown</x:v>
      </x:c>
    </x:row>
    <x:row r="168">
      <x:c r="A168" s="12" t="str">
        <x:v>NEED-0068</x:v>
      </x:c>
      <x:c r="B168" s="12" t="str">
        <x:v>RSP-0167</x:v>
      </x:c>
      <x:c r="C168" s="12" t="str">
        <x:v>Proposed to address</x:v>
      </x:c>
      <x:c r="D168" s="12" t="str">
        <x:v>Unknown</x:v>
      </x:c>
    </x:row>
    <x:row r="169">
      <x:c r="A169" s="12" t="str">
        <x:v>NEED-0052</x:v>
      </x:c>
      <x:c r="B169" s="12" t="str">
        <x:v>RSP-0168</x:v>
      </x:c>
      <x:c r="C169" s="12" t="str">
        <x:v>Proposed to address</x:v>
      </x:c>
      <x:c r="D169" s="12" t="str">
        <x:v>Unknown</x:v>
      </x:c>
    </x:row>
    <x:row r="170">
      <x:c r="A170" s="12" t="str">
        <x:v>NEED-0052</x:v>
      </x:c>
      <x:c r="B170" s="12" t="str">
        <x:v>RSP-0169</x:v>
      </x:c>
      <x:c r="C170" s="12" t="str">
        <x:v>Proposed to address</x:v>
      </x:c>
      <x:c r="D170" s="12" t="str">
        <x:v>Unknown</x:v>
      </x:c>
    </x:row>
    <x:row r="171">
      <x:c r="A171" s="12" t="str">
        <x:v>NEED-0131</x:v>
      </x:c>
      <x:c r="B171" s="12" t="str">
        <x:v>RSP-0170</x:v>
      </x:c>
      <x:c r="C171" s="12" t="str">
        <x:v>Proposed to address</x:v>
      </x:c>
      <x:c r="D171" s="12" t="str">
        <x:v>Unknown</x:v>
      </x:c>
    </x:row>
    <x:row r="172">
      <x:c r="A172" s="12" t="str">
        <x:v>NEED-0080</x:v>
      </x:c>
      <x:c r="B172" s="12" t="str">
        <x:v>RSP-0171</x:v>
      </x:c>
      <x:c r="C172" s="12" t="str">
        <x:v>Proposed to address</x:v>
      </x:c>
      <x:c r="D172" s="12" t="str">
        <x:v>Unknown</x:v>
      </x:c>
    </x:row>
    <x:row r="173">
      <x:c r="A173" s="12" t="str">
        <x:v>NEED-0013</x:v>
      </x:c>
      <x:c r="B173" s="12" t="str">
        <x:v>RSP-0172</x:v>
      </x:c>
      <x:c r="C173" s="12" t="str">
        <x:v>Proposed to address</x:v>
      </x:c>
      <x:c r="D173" s="12" t="str">
        <x:v>Unknown</x:v>
      </x:c>
    </x:row>
    <x:row r="174">
      <x:c r="A174" s="12" t="str">
        <x:v>NEED-0121</x:v>
      </x:c>
      <x:c r="B174" s="12" t="str">
        <x:v>RSP-0173</x:v>
      </x:c>
      <x:c r="C174" s="12" t="str">
        <x:v>Proposed to address</x:v>
      </x:c>
      <x:c r="D174" s="12" t="str">
        <x:v>Unknown</x:v>
      </x:c>
    </x:row>
    <x:row r="175">
      <x:c r="A175" s="12" t="str">
        <x:v>NEED-0203</x:v>
      </x:c>
      <x:c r="B175" s="12" t="str">
        <x:v>RSP-0174</x:v>
      </x:c>
      <x:c r="C175" s="12" t="str">
        <x:v>Proposed to address</x:v>
      </x:c>
      <x:c r="D175" s="12" t="str">
        <x:v>Unknown</x:v>
      </x:c>
    </x:row>
    <x:row r="176">
      <x:c r="A176" s="12" t="str">
        <x:v>NEED-0042</x:v>
      </x:c>
      <x:c r="B176" s="12" t="str">
        <x:v>RSP-0175</x:v>
      </x:c>
      <x:c r="C176" s="12" t="str">
        <x:v>Proposed to address</x:v>
      </x:c>
      <x:c r="D176" s="12" t="str">
        <x:v>Unknown</x:v>
      </x:c>
    </x:row>
    <x:row r="177">
      <x:c r="A177" s="12" t="str">
        <x:v>NEED-0049</x:v>
      </x:c>
      <x:c r="B177" s="12" t="str">
        <x:v>RSP-0176</x:v>
      </x:c>
      <x:c r="C177" s="12" t="str">
        <x:v>Proposed to address</x:v>
      </x:c>
      <x:c r="D177" s="12" t="str">
        <x:v>Unknown</x:v>
      </x:c>
    </x:row>
    <x:row r="178">
      <x:c r="A178" s="12" t="str">
        <x:v>NEED-0119</x:v>
      </x:c>
      <x:c r="B178" s="12" t="str">
        <x:v>RSP-0177</x:v>
      </x:c>
      <x:c r="C178" s="12" t="str">
        <x:v>Proposed to address</x:v>
      </x:c>
      <x:c r="D178" s="12" t="str">
        <x:v>Unknown</x:v>
      </x:c>
    </x:row>
    <x:row r="179">
      <x:c r="A179" s="12" t="str">
        <x:v>NEED-0133</x:v>
      </x:c>
      <x:c r="B179" s="12" t="str">
        <x:v>RSP-0178</x:v>
      </x:c>
      <x:c r="C179" s="12" t="str">
        <x:v>Proposed to address</x:v>
      </x:c>
      <x:c r="D179" s="12" t="str">
        <x:v>Unknown</x:v>
      </x:c>
    </x:row>
    <x:row r="180">
      <x:c r="A180" s="12" t="str">
        <x:v>NEED-0146</x:v>
      </x:c>
      <x:c r="B180" s="12" t="str">
        <x:v>RSP-0179</x:v>
      </x:c>
      <x:c r="C180" s="12" t="str">
        <x:v>Proposed to address</x:v>
      </x:c>
      <x:c r="D180" s="12" t="str">
        <x:v>Unknown</x:v>
      </x:c>
    </x:row>
    <x:row r="181">
      <x:c r="A181" s="12" t="str">
        <x:v>NEED-0028</x:v>
      </x:c>
      <x:c r="B181" s="12" t="str">
        <x:v>RSP-0180</x:v>
      </x:c>
      <x:c r="C181" s="12" t="str">
        <x:v>Proposed to address</x:v>
      </x:c>
      <x:c r="D181" s="12" t="str">
        <x:v>Unknown</x:v>
      </x:c>
    </x:row>
    <x:row r="182">
      <x:c r="A182" s="12" t="str">
        <x:v>NEED-0128</x:v>
      </x:c>
      <x:c r="B182" s="12" t="str">
        <x:v>RSP-0181</x:v>
      </x:c>
      <x:c r="C182" s="12" t="str">
        <x:v>Proposed to address</x:v>
      </x:c>
      <x:c r="D182" s="12" t="str">
        <x:v>Unknown</x:v>
      </x:c>
    </x:row>
    <x:row r="183">
      <x:c r="A183" s="12" t="str">
        <x:v>NEED-0128</x:v>
      </x:c>
      <x:c r="B183" s="12" t="str">
        <x:v>RSP-0182</x:v>
      </x:c>
      <x:c r="C183" s="12" t="str">
        <x:v>Proposed to address</x:v>
      </x:c>
      <x:c r="D183" s="12" t="str">
        <x:v>Unknown</x:v>
      </x:c>
    </x:row>
    <x:row r="184">
      <x:c r="A184" s="12" t="str">
        <x:v>NEED-0120</x:v>
      </x:c>
      <x:c r="B184" s="12" t="str">
        <x:v>RSP-0183</x:v>
      </x:c>
      <x:c r="C184" s="12" t="str">
        <x:v>Proposed to address</x:v>
      </x:c>
      <x:c r="D184" s="12" t="str">
        <x:v>Unknown</x:v>
      </x:c>
    </x:row>
    <x:row r="185">
      <x:c r="A185" s="12" t="str">
        <x:v>NEED-0120</x:v>
      </x:c>
      <x:c r="B185" s="12" t="str">
        <x:v>RSP-0184</x:v>
      </x:c>
      <x:c r="C185" s="12" t="str">
        <x:v>Proposed to address</x:v>
      </x:c>
      <x:c r="D185" s="12" t="str">
        <x:v>Unknown</x:v>
      </x:c>
    </x:row>
    <x:row r="186">
      <x:c r="A186" s="12" t="str">
        <x:v>NEED-0120</x:v>
      </x:c>
      <x:c r="B186" s="12" t="str">
        <x:v>RSP-0185</x:v>
      </x:c>
      <x:c r="C186" s="12" t="str">
        <x:v>Proposed to address</x:v>
      </x:c>
      <x:c r="D186" s="12" t="str">
        <x:v>Unknown</x:v>
      </x:c>
    </x:row>
    <x:row r="187">
      <x:c r="A187" s="12" t="str">
        <x:v>NEED-0151</x:v>
      </x:c>
      <x:c r="B187" s="12" t="str">
        <x:v>RSP-0186</x:v>
      </x:c>
      <x:c r="C187" s="12" t="str">
        <x:v>Proposed to address</x:v>
      </x:c>
      <x:c r="D187" s="12" t="str">
        <x:v>Unknown</x:v>
      </x:c>
    </x:row>
    <x:row r="188">
      <x:c r="A188" s="12" t="str">
        <x:v>NEED-0151</x:v>
      </x:c>
      <x:c r="B188" s="12" t="str">
        <x:v>RSP-0187</x:v>
      </x:c>
      <x:c r="C188" s="12" t="str">
        <x:v>Proposed to address</x:v>
      </x:c>
      <x:c r="D188" s="12" t="str">
        <x:v>Unknown</x:v>
      </x:c>
    </x:row>
    <x:row r="189">
      <x:c r="A189" s="12" t="str">
        <x:v>NEED-0164</x:v>
      </x:c>
      <x:c r="B189" s="12" t="str">
        <x:v>RSP-0188</x:v>
      </x:c>
      <x:c r="C189" s="12" t="str">
        <x:v>Proposed to address</x:v>
      </x:c>
      <x:c r="D189" s="12" t="str">
        <x:v>Unknown</x:v>
      </x:c>
    </x:row>
    <x:row r="190">
      <x:c r="A190" s="12" t="str">
        <x:v>NEED-0029</x:v>
      </x:c>
      <x:c r="B190" s="12" t="str">
        <x:v>RSP-0189</x:v>
      </x:c>
      <x:c r="C190" s="12" t="str">
        <x:v>Proposed to address</x:v>
      </x:c>
      <x:c r="D190" s="12" t="str">
        <x:v>Unknown</x:v>
      </x:c>
    </x:row>
    <x:row r="191">
      <x:c r="A191" s="12" t="str">
        <x:v>NEED-0032</x:v>
      </x:c>
      <x:c r="B191" s="12" t="str">
        <x:v>RSP-0190</x:v>
      </x:c>
      <x:c r="C191" s="12" t="str">
        <x:v>Proposed to address</x:v>
      </x:c>
      <x:c r="D191" s="12" t="str">
        <x:v>Unknown</x:v>
      </x:c>
    </x:row>
    <x:row r="192">
      <x:c r="A192" s="12" t="str">
        <x:v>NEED-0029</x:v>
      </x:c>
      <x:c r="B192" s="12" t="str">
        <x:v>RSP-0191</x:v>
      </x:c>
      <x:c r="C192" s="12" t="str">
        <x:v>Proposed to address</x:v>
      </x:c>
      <x:c r="D192" s="12" t="str">
        <x:v>Unknown</x:v>
      </x:c>
    </x:row>
    <x:row r="193">
      <x:c r="A193" s="12" t="str">
        <x:v>NEED-0010</x:v>
      </x:c>
      <x:c r="B193" s="12" t="str">
        <x:v>RSP-0192</x:v>
      </x:c>
      <x:c r="C193" s="12" t="str">
        <x:v>Proposed to address</x:v>
      </x:c>
      <x:c r="D193" s="12" t="str">
        <x:v>Unknown</x:v>
      </x:c>
    </x:row>
    <x:row r="194">
      <x:c r="A194" s="12" t="str">
        <x:v>NEED-0190</x:v>
      </x:c>
      <x:c r="B194" s="12" t="str">
        <x:v>RSP-0193</x:v>
      </x:c>
      <x:c r="C194" s="12" t="str">
        <x:v>Proposed to address</x:v>
      </x:c>
      <x:c r="D194" s="12" t="str">
        <x:v>Unknown</x:v>
      </x:c>
    </x:row>
    <x:row r="195">
      <x:c r="A195" s="12" t="str">
        <x:v>NEED-0074</x:v>
      </x:c>
      <x:c r="B195" s="12" t="str">
        <x:v>RSP-0194</x:v>
      </x:c>
      <x:c r="C195" s="12" t="str">
        <x:v>Proposed to address</x:v>
      </x:c>
      <x:c r="D195" s="12" t="str">
        <x:v>Unknown</x:v>
      </x:c>
    </x:row>
    <x:row r="196">
      <x:c r="A196" s="12" t="str">
        <x:v>NEED-0034</x:v>
      </x:c>
      <x:c r="B196" s="12" t="str">
        <x:v>RSP-0195</x:v>
      </x:c>
      <x:c r="C196" s="12" t="str">
        <x:v>Proposed to address</x:v>
      </x:c>
      <x:c r="D196" s="12" t="str">
        <x:v>Unknown</x:v>
      </x:c>
    </x:row>
    <x:row r="197">
      <x:c r="A197" s="12" t="str">
        <x:v>NEED-0083</x:v>
      </x:c>
      <x:c r="B197" s="12" t="str">
        <x:v>RSP-0196</x:v>
      </x:c>
      <x:c r="C197" s="12" t="str">
        <x:v>Proposed to address</x:v>
      </x:c>
      <x:c r="D197" s="12" t="str">
        <x:v>Unknown</x:v>
      </x:c>
    </x:row>
    <x:row r="198">
      <x:c r="A198" s="12" t="str">
        <x:v>NEED-0131</x:v>
      </x:c>
      <x:c r="B198" s="12" t="str">
        <x:v>RSP-0197</x:v>
      </x:c>
      <x:c r="C198" s="12" t="str">
        <x:v>Proposed to address</x:v>
      </x:c>
      <x:c r="D198" s="12" t="str">
        <x:v>Unknown</x:v>
      </x:c>
    </x:row>
    <x:row r="199">
      <x:c r="A199" s="12" t="str">
        <x:v>NEED-0082</x:v>
      </x:c>
      <x:c r="B199" s="12" t="str">
        <x:v>RSP-0198</x:v>
      </x:c>
      <x:c r="C199" s="12" t="str">
        <x:v>Proposed to address</x:v>
      </x:c>
      <x:c r="D199" s="12" t="str">
        <x:v>Unknown</x:v>
      </x:c>
    </x:row>
    <x:row r="200">
      <x:c r="A200" s="12" t="str">
        <x:v>NEED-0141</x:v>
      </x:c>
      <x:c r="B200" s="12" t="str">
        <x:v>RSP-0199</x:v>
      </x:c>
      <x:c r="C200" s="12" t="str">
        <x:v>Proposed to address</x:v>
      </x:c>
      <x:c r="D200" s="12" t="str">
        <x:v>Unknown</x:v>
      </x:c>
    </x:row>
    <x:row r="201">
      <x:c r="A201" s="12" t="str">
        <x:v>NEED-0125</x:v>
      </x:c>
      <x:c r="B201" s="12" t="str">
        <x:v>RSP-0200</x:v>
      </x:c>
      <x:c r="C201" s="12" t="str">
        <x:v>Proposed to address</x:v>
      </x:c>
      <x:c r="D201" s="12" t="str">
        <x:v>Unknown</x:v>
      </x:c>
    </x:row>
    <x:row r="202">
      <x:c r="A202" s="12" t="str">
        <x:v>NEED-0145</x:v>
      </x:c>
      <x:c r="B202" s="12" t="str">
        <x:v>RSP-0201</x:v>
      </x:c>
      <x:c r="C202" s="12" t="str">
        <x:v>Proposed to address</x:v>
      </x:c>
      <x:c r="D202" s="12" t="str">
        <x:v>Unknown</x:v>
      </x:c>
    </x:row>
    <x:row r="203">
      <x:c r="A203" s="12" t="str">
        <x:v>NEED-0209</x:v>
      </x:c>
      <x:c r="B203" s="12" t="str">
        <x:v>RSP-0202</x:v>
      </x:c>
      <x:c r="C203" s="12" t="str">
        <x:v>Proposed to address</x:v>
      </x:c>
      <x:c r="D203" s="12" t="str">
        <x:v>Unknown</x:v>
      </x:c>
    </x:row>
    <x:row r="204">
      <x:c r="A204" s="12" t="str">
        <x:v>NEED-0022</x:v>
      </x:c>
      <x:c r="B204" s="12" t="str">
        <x:v>RSP-0203</x:v>
      </x:c>
      <x:c r="C204" s="12" t="str">
        <x:v>Proposed to address</x:v>
      </x:c>
      <x:c r="D204" s="12" t="str">
        <x:v>Unknown</x:v>
      </x:c>
    </x:row>
    <x:row r="205">
      <x:c r="A205" s="12" t="str">
        <x:v>NEED-0087</x:v>
      </x:c>
      <x:c r="B205" s="12" t="str">
        <x:v>RSP-0204</x:v>
      </x:c>
      <x:c r="C205" s="12" t="str">
        <x:v>Proposed to address</x:v>
      </x:c>
      <x:c r="D205" s="12" t="str">
        <x:v>Unknown</x:v>
      </x:c>
    </x:row>
    <x:row r="206">
      <x:c r="A206" s="12" t="str">
        <x:v>NEED-0150</x:v>
      </x:c>
      <x:c r="B206" s="12" t="str">
        <x:v>RSP-0205</x:v>
      </x:c>
      <x:c r="C206" s="12" t="str">
        <x:v>Proposed to address</x:v>
      </x:c>
      <x:c r="D206" s="12" t="str">
        <x:v>Unknown</x:v>
      </x:c>
    </x:row>
    <x:row r="207">
      <x:c r="A207" s="12" t="str">
        <x:v>NEED-0084</x:v>
      </x:c>
      <x:c r="B207" s="12" t="str">
        <x:v>RSP-0206</x:v>
      </x:c>
      <x:c r="C207" s="12" t="str">
        <x:v>Proposed to address</x:v>
      </x:c>
      <x:c r="D207" s="12" t="str">
        <x:v>Unknown</x:v>
      </x:c>
    </x:row>
    <x:row r="208">
      <x:c r="A208" s="12" t="str">
        <x:v>NEED-0071</x:v>
      </x:c>
      <x:c r="B208" s="12" t="str">
        <x:v>RSP-0207</x:v>
      </x:c>
      <x:c r="C208" s="12" t="str">
        <x:v>Proposed to address</x:v>
      </x:c>
      <x:c r="D208" s="12" t="str">
        <x:v>Unknown</x:v>
      </x:c>
    </x:row>
    <x:row r="209">
      <x:c r="A209" s="12" t="str">
        <x:v>NEED-0145</x:v>
      </x:c>
      <x:c r="B209" s="12" t="str">
        <x:v>RSP-0208</x:v>
      </x:c>
      <x:c r="C209" s="12" t="str">
        <x:v>Proposed to address</x:v>
      </x:c>
      <x:c r="D209" s="12" t="str">
        <x:v>Unknown</x:v>
      </x:c>
    </x:row>
    <x:row r="210">
      <x:c r="A210" s="12" t="str">
        <x:v>NEED-0198</x:v>
      </x:c>
      <x:c r="B210" s="12" t="str">
        <x:v>RSP-0209</x:v>
      </x:c>
      <x:c r="C210" s="12" t="str">
        <x:v>Proposed to address</x:v>
      </x:c>
      <x:c r="D210" s="12" t="str">
        <x:v>Unknown</x:v>
      </x:c>
    </x:row>
    <x:row r="211">
      <x:c r="A211" s="12" t="str">
        <x:v>NEED-0209</x:v>
      </x:c>
      <x:c r="B211" s="12" t="str">
        <x:v>RSP-0210</x:v>
      </x:c>
      <x:c r="C211" s="12" t="str">
        <x:v>Proposed to address</x:v>
      </x:c>
      <x:c r="D211" s="12" t="str">
        <x:v>Unknown</x:v>
      </x:c>
    </x:row>
    <x:row r="212">
      <x:c r="A212" s="12" t="str">
        <x:v>NEED-0198</x:v>
      </x:c>
      <x:c r="B212" s="12" t="str">
        <x:v>RSP-0211</x:v>
      </x:c>
      <x:c r="C212" s="12" t="str">
        <x:v>Proposed to address</x:v>
      </x:c>
      <x:c r="D212" s="12" t="str">
        <x:v>Unknown</x:v>
      </x:c>
    </x:row>
    <x:row r="213">
      <x:c r="A213" s="12" t="str">
        <x:v>NEED-0131</x:v>
      </x:c>
      <x:c r="B213" s="12" t="str">
        <x:v>RSP-0212</x:v>
      </x:c>
      <x:c r="C213" s="12" t="str">
        <x:v>Proposed to address</x:v>
      </x:c>
      <x:c r="D213" s="12" t="str">
        <x:v>Unknown</x:v>
      </x:c>
    </x:row>
    <x:row r="214">
      <x:c r="A214" s="12" t="str">
        <x:v>NEED-0124</x:v>
      </x:c>
      <x:c r="B214" s="12" t="str">
        <x:v>RSP-0213</x:v>
      </x:c>
      <x:c r="C214" s="12" t="str">
        <x:v>Proposed to address</x:v>
      </x:c>
      <x:c r="D214" s="12" t="str">
        <x:v>Unknown</x:v>
      </x:c>
    </x:row>
    <x:row r="215">
      <x:c r="A215" s="12" t="str">
        <x:v>NEED-0124</x:v>
      </x:c>
      <x:c r="B215" s="12" t="str">
        <x:v>RSP-0214</x:v>
      </x:c>
      <x:c r="C215" s="12" t="str">
        <x:v>Proposed to address</x:v>
      </x:c>
      <x:c r="D215" s="12" t="str">
        <x:v>Unknown</x:v>
      </x:c>
    </x:row>
    <x:row r="216">
      <x:c r="A216" s="12" t="str">
        <x:v>NEED-0124</x:v>
      </x:c>
      <x:c r="B216" s="12" t="str">
        <x:v>RSP-0215</x:v>
      </x:c>
      <x:c r="C216" s="12" t="str">
        <x:v>Proposed to address</x:v>
      </x:c>
      <x:c r="D216" s="12" t="str">
        <x:v>Unknown</x:v>
      </x:c>
    </x:row>
    <x:row r="217">
      <x:c r="A217" s="12" t="str">
        <x:v>NEED-0122</x:v>
      </x:c>
      <x:c r="B217" s="12" t="str">
        <x:v>RSP-0216</x:v>
      </x:c>
      <x:c r="C217" s="12" t="str">
        <x:v>Proposed to address</x:v>
      </x:c>
      <x:c r="D217" s="12" t="str">
        <x:v>Unknown</x:v>
      </x:c>
    </x:row>
    <x:row r="218">
      <x:c r="A218" s="12" t="str">
        <x:v>NEED-0121</x:v>
      </x:c>
      <x:c r="B218" s="12" t="str">
        <x:v>RSP-0217</x:v>
      </x:c>
      <x:c r="C218" s="12" t="str">
        <x:v>Proposed to address</x:v>
      </x:c>
      <x:c r="D218" s="12" t="str">
        <x:v>Unknown</x:v>
      </x:c>
    </x:row>
    <x:row r="219">
      <x:c r="A219" s="12" t="str">
        <x:v>NEED-0082</x:v>
      </x:c>
      <x:c r="B219" s="12" t="str">
        <x:v>RSP-0218</x:v>
      </x:c>
      <x:c r="C219" s="12" t="str">
        <x:v>Proposed to address</x:v>
      </x:c>
      <x:c r="D219" s="12" t="str">
        <x:v>Unknown</x:v>
      </x:c>
    </x:row>
    <x:row r="220">
      <x:c r="A220" s="12" t="str">
        <x:v>NEED-0098</x:v>
      </x:c>
      <x:c r="B220" s="12" t="str">
        <x:v>RSP-0219</x:v>
      </x:c>
      <x:c r="C220" s="12" t="str">
        <x:v>Proposed to address</x:v>
      </x:c>
      <x:c r="D220" s="12" t="str">
        <x:v>Unknown</x:v>
      </x:c>
    </x:row>
    <x:row r="221">
      <x:c r="A221" s="12" t="str">
        <x:v>NEED-0141</x:v>
      </x:c>
      <x:c r="B221" s="12" t="str">
        <x:v>RSP-0220</x:v>
      </x:c>
      <x:c r="C221" s="12" t="str">
        <x:v>Proposed to address</x:v>
      </x:c>
      <x:c r="D221" s="12" t="str">
        <x:v>Unknown</x:v>
      </x:c>
    </x:row>
    <x:row r="222">
      <x:c r="A222" s="12" t="str">
        <x:v>NEED-0152</x:v>
      </x:c>
      <x:c r="B222" s="12" t="str">
        <x:v>RSP-0221</x:v>
      </x:c>
      <x:c r="C222" s="12" t="str">
        <x:v>Proposed to address</x:v>
      </x:c>
      <x:c r="D222" s="12" t="str">
        <x:v>Unknown</x:v>
      </x:c>
    </x:row>
    <x:row r="223">
      <x:c r="A223" s="12" t="str">
        <x:v>NEED-0058</x:v>
      </x:c>
      <x:c r="B223" s="12" t="str">
        <x:v>RSP-0222</x:v>
      </x:c>
      <x:c r="C223" s="12" t="str">
        <x:v>Proposed to address</x:v>
      </x:c>
      <x:c r="D223" s="12" t="str">
        <x:v>Unknown</x:v>
      </x:c>
    </x:row>
    <x:row r="224">
      <x:c r="A224" s="12" t="str">
        <x:v>NEED-0141</x:v>
      </x:c>
      <x:c r="B224" s="12" t="str">
        <x:v>RSP-0223</x:v>
      </x:c>
      <x:c r="C224" s="12" t="str">
        <x:v>Proposed to address</x:v>
      </x:c>
      <x:c r="D224" s="12" t="str">
        <x:v>Unknown</x:v>
      </x:c>
    </x:row>
    <x:row r="225">
      <x:c r="A225" s="12" t="str">
        <x:v>NEED-0035</x:v>
      </x:c>
      <x:c r="B225" s="12" t="str">
        <x:v>RSP-0224</x:v>
      </x:c>
      <x:c r="C225" s="12" t="str">
        <x:v>Proposed to address</x:v>
      </x:c>
      <x:c r="D225" s="12" t="str">
        <x:v>Unknown</x:v>
      </x:c>
    </x:row>
    <x:row r="226">
      <x:c r="A226" s="12" t="str">
        <x:v>NEED-0048</x:v>
      </x:c>
      <x:c r="B226" s="12" t="str">
        <x:v>RSP-0225</x:v>
      </x:c>
      <x:c r="C226" s="12" t="str">
        <x:v>Proposed to address</x:v>
      </x:c>
      <x:c r="D226" s="12" t="str">
        <x:v>Unknown</x:v>
      </x:c>
    </x:row>
    <x:row r="227">
      <x:c r="A227" s="12" t="str">
        <x:v>NEED-0121</x:v>
      </x:c>
      <x:c r="B227" s="12" t="str">
        <x:v>RSP-0226</x:v>
      </x:c>
      <x:c r="C227" s="12" t="str">
        <x:v>Proposed to address</x:v>
      </x:c>
      <x:c r="D227" s="12" t="str">
        <x:v>Unknown</x:v>
      </x:c>
    </x:row>
    <x:row r="228">
      <x:c r="A228" s="12" t="str">
        <x:v>NEED-0138</x:v>
      </x:c>
      <x:c r="B228" s="12" t="str">
        <x:v>RSP-0227</x:v>
      </x:c>
      <x:c r="C228" s="12" t="str">
        <x:v>Proposed to address</x:v>
      </x:c>
      <x:c r="D228" s="12" t="str">
        <x:v>Unknown</x:v>
      </x:c>
    </x:row>
    <x:row r="229">
      <x:c r="A229" s="12" t="str">
        <x:v>NEED-0129</x:v>
      </x:c>
      <x:c r="B229" s="12" t="str">
        <x:v>RSP-0228</x:v>
      </x:c>
      <x:c r="C229" s="12" t="str">
        <x:v>Proposed to address</x:v>
      </x:c>
      <x:c r="D229" s="12" t="str">
        <x:v>Unknown</x:v>
      </x:c>
    </x:row>
    <x:row r="230">
      <x:c r="A230" s="12" t="str">
        <x:v>NEED-0142</x:v>
      </x:c>
      <x:c r="B230" s="12" t="str">
        <x:v>RSP-0229</x:v>
      </x:c>
      <x:c r="C230" s="12" t="str">
        <x:v>Proposed to address</x:v>
      </x:c>
      <x:c r="D230" s="12" t="str">
        <x:v>Unknown</x:v>
      </x:c>
    </x:row>
    <x:row r="231">
      <x:c r="A231" s="12" t="str">
        <x:v>NEED-0027</x:v>
      </x:c>
      <x:c r="B231" s="12" t="str">
        <x:v>RSP-0230</x:v>
      </x:c>
      <x:c r="C231" s="12" t="str">
        <x:v>Proposed to address</x:v>
      </x:c>
      <x:c r="D231" s="12" t="str">
        <x:v>Unknown</x:v>
      </x:c>
    </x:row>
    <x:row r="232">
      <x:c r="A232" s="12" t="str">
        <x:v>NEED-0053</x:v>
      </x:c>
      <x:c r="B232" s="12" t="str">
        <x:v>RSP-0231</x:v>
      </x:c>
      <x:c r="C232" s="12" t="str">
        <x:v>Proposed to address</x:v>
      </x:c>
      <x:c r="D232" s="12" t="str">
        <x:v>Unknown</x:v>
      </x:c>
    </x:row>
    <x:row r="233">
      <x:c r="A233" s="12" t="str">
        <x:v>NEED-0144</x:v>
      </x:c>
      <x:c r="B233" s="12" t="str">
        <x:v>RSP-0232</x:v>
      </x:c>
      <x:c r="C233" s="12" t="str">
        <x:v>Proposed to address</x:v>
      </x:c>
      <x:c r="D233" s="12" t="str">
        <x:v>Unknown</x:v>
      </x:c>
    </x:row>
    <x:row r="234">
      <x:c r="A234" s="12" t="str">
        <x:v>NEED-0139</x:v>
      </x:c>
      <x:c r="B234" s="12" t="str">
        <x:v>RSP-0233</x:v>
      </x:c>
      <x:c r="C234" s="12" t="str">
        <x:v>Proposed to address</x:v>
      </x:c>
      <x:c r="D234" s="12" t="str">
        <x:v>Unknown</x:v>
      </x:c>
    </x:row>
    <x:row r="235">
      <x:c r="A235" s="12" t="str">
        <x:v>NEED-0061</x:v>
      </x:c>
      <x:c r="B235" s="12" t="str">
        <x:v>RSP-0234</x:v>
      </x:c>
      <x:c r="C235" s="12" t="str">
        <x:v>Proposed to address</x:v>
      </x:c>
      <x:c r="D235" s="12" t="str">
        <x:v>Unknown</x:v>
      </x:c>
    </x:row>
    <x:row r="236">
      <x:c r="A236" s="12" t="str">
        <x:v>NEED-0173</x:v>
      </x:c>
      <x:c r="B236" s="12" t="str">
        <x:v>RSP-0235</x:v>
      </x:c>
      <x:c r="C236" s="12" t="str">
        <x:v>Proposed to address</x:v>
      </x:c>
      <x:c r="D236" s="12" t="str">
        <x:v>Unknown</x:v>
      </x:c>
    </x:row>
    <x:row r="237">
      <x:c r="A237" s="12" t="str">
        <x:v>NEED-0108</x:v>
      </x:c>
      <x:c r="B237" s="12" t="str">
        <x:v>RSP-0236</x:v>
      </x:c>
      <x:c r="C237" s="12" t="str">
        <x:v>Proposed to address</x:v>
      </x:c>
      <x:c r="D237" s="12" t="str">
        <x:v>Unknown</x:v>
      </x:c>
    </x:row>
    <x:row r="238">
      <x:c r="A238" s="12" t="str">
        <x:v>NEED-0096</x:v>
      </x:c>
      <x:c r="B238" s="12" t="str">
        <x:v>RSP-0237</x:v>
      </x:c>
      <x:c r="C238" s="12" t="str">
        <x:v>Proposed to address</x:v>
      </x:c>
      <x:c r="D238" s="12" t="str">
        <x:v>Unknown</x:v>
      </x:c>
    </x:row>
    <x:row r="239">
      <x:c r="A239" s="12" t="str">
        <x:v>NEED-0107</x:v>
      </x:c>
      <x:c r="B239" s="12" t="str">
        <x:v>RSP-0238</x:v>
      </x:c>
      <x:c r="C239" s="12" t="str">
        <x:v>Proposed to address</x:v>
      </x:c>
      <x:c r="D239" s="12" t="str">
        <x:v>Unknown</x:v>
      </x:c>
    </x:row>
    <x:row r="240">
      <x:c r="A240" s="12" t="str">
        <x:v>NEED-0126</x:v>
      </x:c>
      <x:c r="B240" s="12" t="str">
        <x:v>RSP-0239</x:v>
      </x:c>
      <x:c r="C240" s="12" t="str">
        <x:v>Proposed to address</x:v>
      </x:c>
      <x:c r="D240" s="12" t="str">
        <x:v>Unknown</x:v>
      </x:c>
    </x:row>
    <x:row r="241">
      <x:c r="A241" s="12" t="str">
        <x:v>NEED-0210</x:v>
      </x:c>
      <x:c r="B241" s="12" t="str">
        <x:v>RSP-0240</x:v>
      </x:c>
      <x:c r="C241" s="12" t="str">
        <x:v>Proposed to address</x:v>
      </x:c>
      <x:c r="D241" s="12" t="str">
        <x:v>Unknown</x:v>
      </x:c>
    </x:row>
    <x:row r="242">
      <x:c r="A242" s="12" t="str">
        <x:v>NEED-0210</x:v>
      </x:c>
      <x:c r="B242" s="12" t="str">
        <x:v>RSP-0241</x:v>
      </x:c>
      <x:c r="C242" s="12" t="str">
        <x:v>Proposed to address</x:v>
      </x:c>
      <x:c r="D242" s="12" t="str">
        <x:v>Unknown</x:v>
      </x:c>
    </x:row>
    <x:row r="243">
      <x:c r="A243" s="12" t="str">
        <x:v>NEED-0123</x:v>
      </x:c>
      <x:c r="B243" s="12" t="str">
        <x:v>RSP-0242</x:v>
      </x:c>
      <x:c r="C243" s="12" t="str">
        <x:v>Proposed to address</x:v>
      </x:c>
      <x:c r="D243" s="12" t="str">
        <x:v>Unknown</x:v>
      </x:c>
    </x:row>
    <x:row r="244">
      <x:c r="A244" s="12" t="str">
        <x:v>NEED-0120</x:v>
      </x:c>
      <x:c r="B244" s="12" t="str">
        <x:v>RSP-0243</x:v>
      </x:c>
      <x:c r="C244" s="12" t="str">
        <x:v>Proposed to address</x:v>
      </x:c>
      <x:c r="D244" s="12" t="str">
        <x:v>Unknown</x:v>
      </x:c>
    </x:row>
    <x:row r="245">
      <x:c r="A245" s="12" t="str">
        <x:v>NEED-0103</x:v>
      </x:c>
      <x:c r="B245" s="12" t="str">
        <x:v>RSP-0244</x:v>
      </x:c>
      <x:c r="C245" s="12" t="str">
        <x:v>Proposed to address</x:v>
      </x:c>
      <x:c r="D245" s="12" t="str">
        <x:v>Unknown</x:v>
      </x:c>
    </x:row>
    <x:row r="246">
      <x:c r="A246" s="12" t="str">
        <x:v>NEED-0120</x:v>
      </x:c>
      <x:c r="B246" s="12" t="str">
        <x:v>RSP-0245</x:v>
      </x:c>
      <x:c r="C246" s="12" t="str">
        <x:v>Proposed to address</x:v>
      </x:c>
      <x:c r="D246" s="12" t="str">
        <x:v>Unknown</x:v>
      </x:c>
    </x:row>
    <x:row r="247">
      <x:c r="A247" s="12" t="str">
        <x:v>NEED-0104</x:v>
      </x:c>
      <x:c r="B247" s="12" t="str">
        <x:v>RSP-0246</x:v>
      </x:c>
      <x:c r="C247" s="12" t="str">
        <x:v>Proposed to address</x:v>
      </x:c>
      <x:c r="D247" s="12" t="str">
        <x:v>Unknown</x:v>
      </x:c>
    </x:row>
    <x:row r="248">
      <x:c r="A248" s="12" t="str">
        <x:v>NEED-0048</x:v>
      </x:c>
      <x:c r="B248" s="12" t="str">
        <x:v>RSP-0247</x:v>
      </x:c>
      <x:c r="C248" s="12" t="str">
        <x:v>Proposed to address</x:v>
      </x:c>
      <x:c r="D248" s="12" t="str">
        <x:v>Unknown</x:v>
      </x:c>
    </x:row>
    <x:row r="249">
      <x:c r="A249" s="12" t="str">
        <x:v>NEED-0079</x:v>
      </x:c>
      <x:c r="B249" s="12" t="str">
        <x:v>RSP-0248</x:v>
      </x:c>
      <x:c r="C249" s="12" t="str">
        <x:v>Proposed to address</x:v>
      </x:c>
      <x:c r="D249" s="12" t="str">
        <x:v>Unknown</x:v>
      </x:c>
    </x:row>
    <x:row r="250">
      <x:c r="A250" s="12" t="str">
        <x:v>NEED-0129</x:v>
      </x:c>
      <x:c r="B250" s="12" t="str">
        <x:v>RSP-0249</x:v>
      </x:c>
      <x:c r="C250" s="12" t="str">
        <x:v>Proposed to address</x:v>
      </x:c>
      <x:c r="D250" s="12" t="str">
        <x:v>Unknown</x:v>
      </x:c>
    </x:row>
    <x:row r="251">
      <x:c r="A251" s="12" t="str">
        <x:v>NEED-0021</x:v>
      </x:c>
      <x:c r="B251" s="12" t="str">
        <x:v>RSP-0250</x:v>
      </x:c>
      <x:c r="C251" s="12" t="str">
        <x:v>Proposed to address</x:v>
      </x:c>
      <x:c r="D251" s="12" t="str">
        <x:v>Unknown</x:v>
      </x:c>
    </x:row>
    <x:row r="252">
      <x:c r="A252" s="12" t="str">
        <x:v>NEED-0058</x:v>
      </x:c>
      <x:c r="B252" s="12" t="str">
        <x:v>RSP-0251</x:v>
      </x:c>
      <x:c r="C252" s="12" t="str">
        <x:v>Proposed to address</x:v>
      </x:c>
      <x:c r="D252" s="12" t="str">
        <x:v>Unknown</x:v>
      </x:c>
    </x:row>
    <x:row r="253">
      <x:c r="A253" s="12" t="str">
        <x:v>NEED-0012</x:v>
      </x:c>
      <x:c r="B253" s="12" t="str">
        <x:v>RSP-0252</x:v>
      </x:c>
      <x:c r="C253" s="12" t="str">
        <x:v>Proposed to address</x:v>
      </x:c>
      <x:c r="D253" s="12" t="str">
        <x:v>Unknown</x:v>
      </x:c>
    </x:row>
    <x:row r="254">
      <x:c r="A254" s="12" t="str">
        <x:v>NEED-0123</x:v>
      </x:c>
      <x:c r="B254" s="12" t="str">
        <x:v>RSP-0253</x:v>
      </x:c>
      <x:c r="C254" s="12" t="str">
        <x:v>Proposed to address</x:v>
      </x:c>
      <x:c r="D254" s="12" t="str">
        <x:v>Unknown</x:v>
      </x:c>
    </x:row>
    <x:row r="255">
      <x:c r="A255" s="12" t="str">
        <x:v>NEED-0129</x:v>
      </x:c>
      <x:c r="B255" s="12" t="str">
        <x:v>RSP-0254</x:v>
      </x:c>
      <x:c r="C255" s="12" t="str">
        <x:v>Proposed to address</x:v>
      </x:c>
      <x:c r="D255" s="12" t="str">
        <x:v>Unknown</x:v>
      </x:c>
    </x:row>
    <x:row r="256">
      <x:c r="A256" s="12" t="str">
        <x:v>NEED-0201</x:v>
      </x:c>
      <x:c r="B256" s="12" t="str">
        <x:v>RSP-0255</x:v>
      </x:c>
      <x:c r="C256" s="12" t="str">
        <x:v>Proposed to address</x:v>
      </x:c>
      <x:c r="D256" s="12" t="str">
        <x:v>Unknown</x:v>
      </x:c>
    </x:row>
    <x:row r="257">
      <x:c r="A257" s="12" t="str">
        <x:v>NEED-0126</x:v>
      </x:c>
      <x:c r="B257" s="12" t="str">
        <x:v>RSP-0256</x:v>
      </x:c>
      <x:c r="C257" s="12" t="str">
        <x:v>Proposed to address</x:v>
      </x:c>
      <x:c r="D257" s="12" t="str">
        <x:v>Unknown</x:v>
      </x:c>
    </x:row>
    <x:row r="258">
      <x:c r="A258" s="12" t="str">
        <x:v>NEED-0125</x:v>
      </x:c>
      <x:c r="B258" s="12" t="str">
        <x:v>RSP-0257</x:v>
      </x:c>
      <x:c r="C258" s="12" t="str">
        <x:v>Proposed to address</x:v>
      </x:c>
      <x:c r="D258" s="12" t="str">
        <x:v>Unknown</x:v>
      </x:c>
    </x:row>
    <x:row r="259">
      <x:c r="A259" s="12" t="str">
        <x:v>NEED-0074</x:v>
      </x:c>
      <x:c r="B259" s="12" t="str">
        <x:v>RSP-0258</x:v>
      </x:c>
      <x:c r="C259" s="12" t="str">
        <x:v>Proposed to address</x:v>
      </x:c>
      <x:c r="D259" s="12" t="str">
        <x:v>Unknown</x:v>
      </x:c>
    </x:row>
    <x:row r="260">
      <x:c r="A260" s="12" t="str">
        <x:v>NEED-0167</x:v>
      </x:c>
      <x:c r="B260" s="12" t="str">
        <x:v>RSP-0259</x:v>
      </x:c>
      <x:c r="C260" s="12" t="str">
        <x:v>Proposed to address</x:v>
      </x:c>
      <x:c r="D260" s="12" t="str">
        <x:v>Unknown</x:v>
      </x:c>
    </x:row>
    <x:row r="261">
      <x:c r="A261" s="12" t="str">
        <x:v>NEED-0173</x:v>
      </x:c>
      <x:c r="B261" s="12" t="str">
        <x:v>RSP-0260</x:v>
      </x:c>
      <x:c r="C261" s="12" t="str">
        <x:v>Proposed to address</x:v>
      </x:c>
      <x:c r="D261" s="12" t="str">
        <x:v>Unknown</x:v>
      </x:c>
    </x:row>
    <x:row r="262">
      <x:c r="A262" s="12" t="str">
        <x:v>NEED-0181</x:v>
      </x:c>
      <x:c r="B262" s="12" t="str">
        <x:v>RSP-0261</x:v>
      </x:c>
      <x:c r="C262" s="12" t="str">
        <x:v>Proposed to address</x:v>
      </x:c>
      <x:c r="D262" s="12" t="str">
        <x:v>Unknown</x:v>
      </x:c>
    </x:row>
    <x:row r="263">
      <x:c r="A263" s="12" t="str">
        <x:v>NEED-0119</x:v>
      </x:c>
      <x:c r="B263" s="12" t="str">
        <x:v>RSP-0262</x:v>
      </x:c>
      <x:c r="C263" s="12" t="str">
        <x:v>Proposed to address</x:v>
      </x:c>
      <x:c r="D263" s="12" t="str">
        <x:v>Unknown</x:v>
      </x:c>
    </x:row>
    <x:row r="264">
      <x:c r="A264" s="12" t="str">
        <x:v>NEED-0141</x:v>
      </x:c>
      <x:c r="B264" s="12" t="str">
        <x:v>RSP-0263</x:v>
      </x:c>
      <x:c r="C264" s="12" t="str">
        <x:v>Proposed to address</x:v>
      </x:c>
      <x:c r="D264" s="12" t="str">
        <x:v>Unknown</x:v>
      </x:c>
    </x:row>
    <x:row r="265">
      <x:c r="A265" s="12" t="str">
        <x:v>NEED-0024</x:v>
      </x:c>
      <x:c r="B265" s="12" t="str">
        <x:v>RSP-0264</x:v>
      </x:c>
      <x:c r="C265" s="12" t="str">
        <x:v>Proposed to address</x:v>
      </x:c>
      <x:c r="D265" s="12" t="str">
        <x:v>Unknown</x:v>
      </x:c>
    </x:row>
    <x:row r="266">
      <x:c r="A266" s="12" t="str">
        <x:v>NEED-0169</x:v>
      </x:c>
      <x:c r="B266" s="12" t="str">
        <x:v>RSP-0265</x:v>
      </x:c>
      <x:c r="C266" s="12" t="str">
        <x:v>Proposed to address</x:v>
      </x:c>
      <x:c r="D266" s="12" t="str">
        <x:v>Unknown</x:v>
      </x:c>
    </x:row>
    <x:row r="267">
      <x:c r="A267" s="12" t="str">
        <x:v>NEED-0126</x:v>
      </x:c>
      <x:c r="B267" s="12" t="str">
        <x:v>RSP-0266</x:v>
      </x:c>
      <x:c r="C267" s="12" t="str">
        <x:v>Proposed to address</x:v>
      </x:c>
      <x:c r="D267" s="12" t="str">
        <x:v>Unknown</x:v>
      </x:c>
    </x:row>
    <x:row r="268">
      <x:c r="A268" s="12" t="str">
        <x:v>NEED-0127</x:v>
      </x:c>
      <x:c r="B268" s="12" t="str">
        <x:v>RSP-0267</x:v>
      </x:c>
      <x:c r="C268" s="12" t="str">
        <x:v>Proposed to address</x:v>
      </x:c>
      <x:c r="D268" s="12" t="str">
        <x:v>Unknown</x:v>
      </x:c>
    </x:row>
    <x:row r="269">
      <x:c r="A269" s="12" t="str">
        <x:v>NEED-0119</x:v>
      </x:c>
      <x:c r="B269" s="12" t="str">
        <x:v>RSP-0268</x:v>
      </x:c>
      <x:c r="C269" s="12" t="str">
        <x:v>Proposed to address</x:v>
      </x:c>
      <x:c r="D269" s="12" t="str">
        <x:v>Unknown</x:v>
      </x:c>
    </x:row>
    <x:row r="270">
      <x:c r="A270" s="12" t="str">
        <x:v>NEED-0126</x:v>
      </x:c>
      <x:c r="B270" s="12" t="str">
        <x:v>RSP-0269</x:v>
      </x:c>
      <x:c r="C270" s="12" t="str">
        <x:v>Proposed to address</x:v>
      </x:c>
      <x:c r="D270" s="12" t="str">
        <x:v>Unknown</x:v>
      </x:c>
    </x:row>
    <x:row r="271">
      <x:c r="A271" s="12" t="str">
        <x:v>NEED-0126</x:v>
      </x:c>
      <x:c r="B271" s="12" t="str">
        <x:v>RSP-0270</x:v>
      </x:c>
      <x:c r="C271" s="12" t="str">
        <x:v>Proposed to address</x:v>
      </x:c>
      <x:c r="D271" s="12" t="str">
        <x:v>Unknown</x:v>
      </x:c>
    </x:row>
    <x:row r="272">
      <x:c r="A272" s="12" t="str">
        <x:v>NEED-0097</x:v>
      </x:c>
      <x:c r="B272" s="12" t="str">
        <x:v>RSP-0271</x:v>
      </x:c>
      <x:c r="C272" s="12" t="str">
        <x:v>Proposed to address</x:v>
      </x:c>
      <x:c r="D272" s="12" t="str">
        <x:v>Unknown</x:v>
      </x:c>
    </x:row>
    <x:row r="273">
      <x:c r="A273" s="12" t="str">
        <x:v>NEED-0125</x:v>
      </x:c>
      <x:c r="B273" s="12" t="str">
        <x:v>RSP-0272</x:v>
      </x:c>
      <x:c r="C273" s="12" t="str">
        <x:v>Proposed to address</x:v>
      </x:c>
      <x:c r="D273" s="12" t="str">
        <x:v>Unknown</x:v>
      </x:c>
    </x:row>
    <x:row r="274">
      <x:c r="A274" s="12" t="str">
        <x:v>NEED-0201</x:v>
      </x:c>
      <x:c r="B274" s="12" t="str">
        <x:v>RSP-0273</x:v>
      </x:c>
      <x:c r="C274" s="12" t="str">
        <x:v>Proposed to address</x:v>
      </x:c>
      <x:c r="D274" s="12" t="str">
        <x:v>Unknown</x:v>
      </x:c>
    </x:row>
    <x:row r="275">
      <x:c r="A275" s="12" t="str">
        <x:v>NEED-0108</x:v>
      </x:c>
      <x:c r="B275" s="12" t="str">
        <x:v>RSP-0274</x:v>
      </x:c>
      <x:c r="C275" s="12" t="str">
        <x:v>Proposed to address</x:v>
      </x:c>
      <x:c r="D275" s="12" t="str">
        <x:v>Unknown</x:v>
      </x:c>
    </x:row>
    <x:row r="276">
      <x:c r="A276" s="12" t="str">
        <x:v>NEED-0120</x:v>
      </x:c>
      <x:c r="B276" s="12" t="str">
        <x:v>RSP-0275</x:v>
      </x:c>
      <x:c r="C276" s="12" t="str">
        <x:v>Proposed to address</x:v>
      </x:c>
      <x:c r="D276" s="12" t="str">
        <x:v>Unknown</x:v>
      </x:c>
    </x:row>
    <x:row r="277">
      <x:c r="A277" s="12" t="str">
        <x:v>NEED-0097</x:v>
      </x:c>
      <x:c r="B277" s="12" t="str">
        <x:v>RSP-0276</x:v>
      </x:c>
      <x:c r="C277" s="12" t="str">
        <x:v>Proposed to address</x:v>
      </x:c>
      <x:c r="D277" s="12" t="str">
        <x:v>Unknown</x:v>
      </x:c>
    </x:row>
    <x:row r="278">
      <x:c r="A278" s="12" t="str">
        <x:v>NEED-0154</x:v>
      </x:c>
      <x:c r="B278" s="12" t="str">
        <x:v>RSP-0277</x:v>
      </x:c>
      <x:c r="C278" s="12" t="str">
        <x:v>Proposed to address</x:v>
      </x:c>
      <x:c r="D278" s="12" t="str">
        <x:v>Unknown</x:v>
      </x:c>
    </x:row>
    <x:row r="279">
      <x:c r="A279" s="12" t="str">
        <x:v>NEED-0173</x:v>
      </x:c>
      <x:c r="B279" s="12" t="str">
        <x:v>RSP-0278</x:v>
      </x:c>
      <x:c r="C279" s="12" t="str">
        <x:v>Proposed to address</x:v>
      </x:c>
      <x:c r="D279" s="12" t="str">
        <x:v>Unknown</x:v>
      </x:c>
    </x:row>
    <x:row r="280">
      <x:c r="A280" s="12" t="str">
        <x:v>NEED-0003</x:v>
      </x:c>
      <x:c r="B280" s="12" t="str">
        <x:v>RSP-0279</x:v>
      </x:c>
      <x:c r="C280" s="12" t="str">
        <x:v>Proposed to address</x:v>
      </x:c>
      <x:c r="D280" s="12" t="str">
        <x:v>Unknown</x:v>
      </x:c>
    </x:row>
    <x:row r="281">
      <x:c r="A281" s="12" t="str">
        <x:v>NEED-0003</x:v>
      </x:c>
      <x:c r="B281" s="12" t="str">
        <x:v>RSP-0280</x:v>
      </x:c>
      <x:c r="C281" s="12" t="str">
        <x:v>Proposed to address</x:v>
      </x:c>
      <x:c r="D281" s="12" t="str">
        <x:v>Unknown</x:v>
      </x:c>
    </x:row>
    <x:row r="282">
      <x:c r="A282" s="12" t="str">
        <x:v>NEED-0005</x:v>
      </x:c>
      <x:c r="B282" s="12" t="str">
        <x:v>RSP-0281</x:v>
      </x:c>
      <x:c r="C282" s="12" t="str">
        <x:v>Proposed to address</x:v>
      </x:c>
      <x:c r="D282" s="12" t="str">
        <x:v>Unknown</x:v>
      </x:c>
    </x:row>
    <x:row r="283">
      <x:c r="A283" s="12" t="str">
        <x:v>NEED-0007</x:v>
      </x:c>
      <x:c r="B283" s="12" t="str">
        <x:v>RSP-0282</x:v>
      </x:c>
      <x:c r="C283" s="12" t="str">
        <x:v>Proposed to address</x:v>
      </x:c>
      <x:c r="D283" s="12" t="str">
        <x:v>Unknown</x:v>
      </x:c>
    </x:row>
    <x:row r="284">
      <x:c r="A284" s="12" t="str">
        <x:v>NEED-0018</x:v>
      </x:c>
      <x:c r="B284" s="12" t="str">
        <x:v>RSP-0283</x:v>
      </x:c>
      <x:c r="C284" s="12" t="str">
        <x:v>Proposed to address</x:v>
      </x:c>
      <x:c r="D284" s="12" t="str">
        <x:v>Unknown</x:v>
      </x:c>
    </x:row>
    <x:row r="285">
      <x:c r="A285" s="12" t="str">
        <x:v>NEED-0008</x:v>
      </x:c>
      <x:c r="B285" s="12" t="str">
        <x:v>RSP-0284</x:v>
      </x:c>
      <x:c r="C285" s="12" t="str">
        <x:v>Proposed to address</x:v>
      </x:c>
      <x:c r="D285" s="12" t="str">
        <x:v>Unknown</x:v>
      </x:c>
    </x:row>
    <x:row r="286">
      <x:c r="A286" s="12" t="str">
        <x:v>NEED-0017</x:v>
      </x:c>
      <x:c r="B286" s="12" t="str">
        <x:v>RSP-0285</x:v>
      </x:c>
      <x:c r="C286" s="12" t="str">
        <x:v>Proposed to address</x:v>
      </x:c>
      <x:c r="D286" s="12" t="str">
        <x:v>Unknown</x:v>
      </x:c>
    </x:row>
    <x:row r="287">
      <x:c r="A287" s="12" t="str">
        <x:v>NEED-0126</x:v>
      </x:c>
      <x:c r="B287" s="12" t="str">
        <x:v>RSP-0286</x:v>
      </x:c>
      <x:c r="C287" s="12" t="str">
        <x:v>Proposed to address</x:v>
      </x:c>
      <x:c r="D287" s="12" t="str">
        <x:v>Unknown</x:v>
      </x:c>
    </x:row>
    <x:row r="288">
      <x:c r="A288" s="12" t="str">
        <x:v>NEED-0213</x:v>
      </x:c>
      <x:c r="B288" s="12" t="str">
        <x:v>RSP-0287</x:v>
      </x:c>
      <x:c r="C288" s="12" t="str">
        <x:v>Proposed to address</x:v>
      </x:c>
      <x:c r="D288" s="12" t="str">
        <x:v>Unknown</x:v>
      </x:c>
    </x:row>
    <x:row r="289">
      <x:c r="A289" s="12" t="str">
        <x:v>NEED-0057</x:v>
      </x:c>
      <x:c r="B289" s="12" t="str">
        <x:v>RSP-0288</x:v>
      </x:c>
      <x:c r="C289" s="12" t="str">
        <x:v>Proposed to address</x:v>
      </x:c>
      <x:c r="D289" s="12" t="str">
        <x:v>Unknown</x:v>
      </x:c>
    </x:row>
    <x:row r="290">
      <x:c r="A290" s="12" t="str">
        <x:v>NEED-0129</x:v>
      </x:c>
      <x:c r="B290" s="12" t="str">
        <x:v>RSP-0289</x:v>
      </x:c>
      <x:c r="C290" s="12" t="str">
        <x:v>Proposed to address</x:v>
      </x:c>
      <x:c r="D290" s="12" t="str">
        <x:v>Unknown</x:v>
      </x:c>
    </x:row>
    <x:row r="291">
      <x:c r="A291" s="12" t="str">
        <x:v>NEED-0191</x:v>
      </x:c>
      <x:c r="B291" s="12" t="str">
        <x:v>RSP-0290</x:v>
      </x:c>
      <x:c r="C291" s="12" t="str">
        <x:v>Proposed to address</x:v>
      </x:c>
      <x:c r="D291" s="12" t="str">
        <x:v>Unknown</x:v>
      </x:c>
    </x:row>
    <x:row r="292">
      <x:c r="A292" s="12" t="str">
        <x:v>NEED-0134</x:v>
      </x:c>
      <x:c r="B292" s="12" t="str">
        <x:v>RSP-0291</x:v>
      </x:c>
      <x:c r="C292" s="12" t="str">
        <x:v>Proposed to address</x:v>
      </x:c>
      <x:c r="D292" s="12" t="str">
        <x:v>Unknown</x:v>
      </x:c>
    </x:row>
    <x:row r="293">
      <x:c r="A293" s="12" t="str">
        <x:v>NEED-0023</x:v>
      </x:c>
      <x:c r="B293" s="12" t="str">
        <x:v>RSP-0292</x:v>
      </x:c>
      <x:c r="C293" s="12" t="str">
        <x:v>Proposed to address</x:v>
      </x:c>
      <x:c r="D293" s="12" t="str">
        <x:v>Unknown</x:v>
      </x:c>
    </x:row>
    <x:row r="294">
      <x:c r="A294" s="12" t="str">
        <x:v>NEED-0123</x:v>
      </x:c>
      <x:c r="B294" s="12" t="str">
        <x:v>RSP-0293</x:v>
      </x:c>
      <x:c r="C294" s="12" t="str">
        <x:v>Proposed to address</x:v>
      </x:c>
      <x:c r="D294" s="12" t="str">
        <x:v>Unknown</x:v>
      </x:c>
    </x:row>
    <x:row r="295">
      <x:c r="A295" s="12" t="str">
        <x:v>NEED-0074</x:v>
      </x:c>
      <x:c r="B295" s="12" t="str">
        <x:v>RSP-0294</x:v>
      </x:c>
      <x:c r="C295" s="12" t="str">
        <x:v>Proposed to address</x:v>
      </x:c>
      <x:c r="D295" s="12" t="str">
        <x:v>Unknown</x:v>
      </x:c>
    </x:row>
    <x:row r="296">
      <x:c r="A296" s="12" t="str">
        <x:v>NEED-0120</x:v>
      </x:c>
      <x:c r="B296" s="12" t="str">
        <x:v>RSP-0295</x:v>
      </x:c>
      <x:c r="C296" s="12" t="str">
        <x:v>Proposed to address</x:v>
      </x:c>
      <x:c r="D296" s="12" t="str">
        <x:v>Unknown</x:v>
      </x:c>
    </x:row>
    <x:row r="297">
      <x:c r="A297" s="12" t="str">
        <x:v>NEED-0128</x:v>
      </x:c>
      <x:c r="B297" s="12" t="str">
        <x:v>RSP-0296</x:v>
      </x:c>
      <x:c r="C297" s="12" t="str">
        <x:v>Proposed to address</x:v>
      </x:c>
      <x:c r="D297" s="12" t="str">
        <x:v>Unknown</x:v>
      </x:c>
    </x:row>
    <x:row r="298">
      <x:c r="A298" s="12" t="str">
        <x:v>NEED-0089</x:v>
      </x:c>
      <x:c r="B298" s="12" t="str">
        <x:v>RSP-0297</x:v>
      </x:c>
      <x:c r="C298" s="12" t="str">
        <x:v>Proposed to address</x:v>
      </x:c>
      <x:c r="D298" s="12" t="str">
        <x:v>Unknown</x:v>
      </x:c>
    </x:row>
    <x:row r="299">
      <x:c r="A299" s="12" t="str">
        <x:v>NEED-0092</x:v>
      </x:c>
      <x:c r="B299" s="12" t="str">
        <x:v>RSP-0298</x:v>
      </x:c>
      <x:c r="C299" s="12" t="str">
        <x:v>Proposed to address</x:v>
      </x:c>
      <x:c r="D299" s="12" t="str">
        <x:v>Unknown</x:v>
      </x:c>
    </x:row>
    <x:row r="300">
      <x:c r="A300" s="12" t="str">
        <x:v>NEED-0092</x:v>
      </x:c>
      <x:c r="B300" s="12" t="str">
        <x:v>RSP-0299</x:v>
      </x:c>
      <x:c r="C300" s="12" t="str">
        <x:v>Proposed to address</x:v>
      </x:c>
      <x:c r="D300" s="12" t="str">
        <x:v>Unknown</x:v>
      </x:c>
    </x:row>
    <x:row r="301">
      <x:c r="A301" s="12" t="str">
        <x:v>NEED-0176</x:v>
      </x:c>
      <x:c r="B301" s="12" t="str">
        <x:v>RSP-0300</x:v>
      </x:c>
      <x:c r="C301" s="12" t="str">
        <x:v>Proposed to address</x:v>
      </x:c>
      <x:c r="D301" s="12" t="str">
        <x:v>Unknown</x:v>
      </x:c>
    </x:row>
    <x:row r="302">
      <x:c r="A302" s="12" t="str">
        <x:v>NEED-0089</x:v>
      </x:c>
      <x:c r="B302" s="12" t="str">
        <x:v>RSP-0301</x:v>
      </x:c>
      <x:c r="C302" s="12" t="str">
        <x:v>Proposed to address</x:v>
      </x:c>
      <x:c r="D302" s="12" t="str">
        <x:v>Unknown</x:v>
      </x:c>
    </x:row>
    <x:row r="303">
      <x:c r="A303" s="12" t="str">
        <x:v>NEED-0074</x:v>
      </x:c>
      <x:c r="B303" s="12" t="str">
        <x:v>RSP-0302</x:v>
      </x:c>
      <x:c r="C303" s="12" t="str">
        <x:v>Proposed to address</x:v>
      </x:c>
      <x:c r="D303" s="12" t="str">
        <x:v>Unknown</x:v>
      </x:c>
    </x:row>
    <x:row r="304">
      <x:c r="A304" s="12" t="str">
        <x:v>NEED-0086</x:v>
      </x:c>
      <x:c r="B304" s="12" t="str">
        <x:v>RSP-0303</x:v>
      </x:c>
      <x:c r="C304" s="12" t="str">
        <x:v>Proposed to address</x:v>
      </x:c>
      <x:c r="D304" s="12" t="str">
        <x:v>Unknown</x:v>
      </x:c>
    </x:row>
    <x:row r="305">
      <x:c r="A305" s="12" t="str">
        <x:v>NEED-0086</x:v>
      </x:c>
      <x:c r="B305" s="12" t="str">
        <x:v>RSP-0304</x:v>
      </x:c>
      <x:c r="C305" s="12" t="str">
        <x:v>Proposed to address</x:v>
      </x:c>
      <x:c r="D305" s="12" t="str">
        <x:v>Unknown</x:v>
      </x:c>
    </x:row>
    <x:row r="306">
      <x:c r="A306" s="12" t="str">
        <x:v>NEED-0086</x:v>
      </x:c>
      <x:c r="B306" s="12" t="str">
        <x:v>RSP-0305</x:v>
      </x:c>
      <x:c r="C306" s="12" t="str">
        <x:v>Proposed to address</x:v>
      </x:c>
      <x:c r="D306" s="12" t="str">
        <x:v>Unknown</x:v>
      </x:c>
    </x:row>
    <x:row r="307">
      <x:c r="A307" s="12" t="str">
        <x:v>NEED-0086</x:v>
      </x:c>
      <x:c r="B307" s="12" t="str">
        <x:v>RSP-0306</x:v>
      </x:c>
      <x:c r="C307" s="12" t="str">
        <x:v>Proposed to address</x:v>
      </x:c>
      <x:c r="D307" s="12" t="str">
        <x:v>Unknown</x:v>
      </x:c>
    </x:row>
    <x:row r="308">
      <x:c r="A308" s="12" t="str">
        <x:v>NEED-0086</x:v>
      </x:c>
      <x:c r="B308" s="12" t="str">
        <x:v>RSP-0307</x:v>
      </x:c>
      <x:c r="C308" s="12" t="str">
        <x:v>Proposed to address</x:v>
      </x:c>
      <x:c r="D308" s="12" t="str">
        <x:v>Unknown</x:v>
      </x:c>
    </x:row>
    <x:row r="309">
      <x:c r="A309" s="12" t="str">
        <x:v>NEED-0182</x:v>
      </x:c>
      <x:c r="B309" s="12" t="str">
        <x:v>RSP-0308</x:v>
      </x:c>
      <x:c r="C309" s="12" t="str">
        <x:v>Proposed to address</x:v>
      </x:c>
      <x:c r="D309" s="12" t="str">
        <x:v>Unknown</x:v>
      </x:c>
    </x:row>
    <x:row r="310">
      <x:c r="A310" s="12" t="str">
        <x:v>NEED-0176</x:v>
      </x:c>
      <x:c r="B310" s="12" t="str">
        <x:v>RSP-0309</x:v>
      </x:c>
      <x:c r="C310" s="12" t="str">
        <x:v>Proposed to address</x:v>
      </x:c>
      <x:c r="D310" s="12" t="str">
        <x:v>Unknown</x:v>
      </x:c>
    </x:row>
    <x:row r="311">
      <x:c r="A311" s="12" t="str">
        <x:v>NEED-0118</x:v>
      </x:c>
      <x:c r="B311" s="12" t="str">
        <x:v>RSP-0310</x:v>
      </x:c>
      <x:c r="C311" s="12" t="str">
        <x:v>Proposed to address</x:v>
      </x:c>
      <x:c r="D311" s="12" t="str">
        <x:v>Unknown</x:v>
      </x:c>
    </x:row>
    <x:row r="312">
      <x:c r="A312" s="12" t="str">
        <x:v>NEED-0033</x:v>
      </x:c>
      <x:c r="B312" s="12" t="str">
        <x:v>RSP-0311</x:v>
      </x:c>
      <x:c r="C312" s="12" t="str">
        <x:v>Proposed to address</x:v>
      </x:c>
      <x:c r="D312" s="12" t="str">
        <x:v>Unknown</x:v>
      </x:c>
    </x:row>
    <x:row r="313">
      <x:c r="A313" s="12" t="str">
        <x:v>NEED-0128</x:v>
      </x:c>
      <x:c r="B313" s="12" t="str">
        <x:v>RSP-0312</x:v>
      </x:c>
      <x:c r="C313" s="12" t="str">
        <x:v>Proposed to address</x:v>
      </x:c>
      <x:c r="D313" s="12" t="str">
        <x:v>Unknown</x:v>
      </x:c>
    </x:row>
    <x:row r="314">
      <x:c r="A314" s="12" t="str">
        <x:v>NEED-0123</x:v>
      </x:c>
      <x:c r="B314" s="12" t="str">
        <x:v>RSP-0313</x:v>
      </x:c>
      <x:c r="C314" s="12" t="str">
        <x:v>Proposed to address</x:v>
      </x:c>
      <x:c r="D314" s="12" t="str">
        <x:v>Unknown</x:v>
      </x:c>
    </x:row>
    <x:row r="315">
      <x:c r="A315" s="12" t="str">
        <x:v>NEED-0121</x:v>
      </x:c>
      <x:c r="B315" s="12" t="str">
        <x:v>RSP-0314</x:v>
      </x:c>
      <x:c r="C315" s="12" t="str">
        <x:v>Proposed to address</x:v>
      </x:c>
      <x:c r="D315" s="12" t="str">
        <x:v>Unknown</x:v>
      </x:c>
    </x:row>
    <x:row r="316">
      <x:c r="A316" s="12" t="str">
        <x:v>NEED-0124</x:v>
      </x:c>
      <x:c r="B316" s="12" t="str">
        <x:v>RSP-0315</x:v>
      </x:c>
      <x:c r="C316" s="12" t="str">
        <x:v>Proposed to address</x:v>
      </x:c>
      <x:c r="D316" s="12" t="str">
        <x:v>Unknown</x:v>
      </x:c>
    </x:row>
    <x:row r="317">
      <x:c r="A317" s="12" t="str">
        <x:v>NEED-0124</x:v>
      </x:c>
      <x:c r="B317" s="12" t="str">
        <x:v>RSP-0316</x:v>
      </x:c>
      <x:c r="C317" s="12" t="str">
        <x:v>Proposed to address</x:v>
      </x:c>
      <x:c r="D317" s="12" t="str">
        <x:v>Unknown</x:v>
      </x:c>
    </x:row>
    <x:row r="318">
      <x:c r="A318" s="12" t="str">
        <x:v>NEED-0190</x:v>
      </x:c>
      <x:c r="B318" s="12" t="str">
        <x:v>RSP-0317</x:v>
      </x:c>
      <x:c r="C318" s="12" t="str">
        <x:v>Proposed to address</x:v>
      </x:c>
      <x:c r="D318" s="12" t="str">
        <x:v>Unknown</x:v>
      </x:c>
    </x:row>
    <x:row r="319">
      <x:c r="A319" s="12" t="str">
        <x:v>NEED-0137</x:v>
      </x:c>
      <x:c r="B319" s="12" t="str">
        <x:v>RSP-0318</x:v>
      </x:c>
      <x:c r="C319" s="12" t="str">
        <x:v>Proposed to address</x:v>
      </x:c>
      <x:c r="D319" s="12" t="str">
        <x:v>Unknown</x:v>
      </x:c>
    </x:row>
    <x:row r="320">
      <x:c r="A320" s="12" t="str">
        <x:v>NEED-0128</x:v>
      </x:c>
      <x:c r="B320" s="12" t="str">
        <x:v>RSP-0319</x:v>
      </x:c>
      <x:c r="C320" s="12" t="str">
        <x:v>Proposed to address</x:v>
      </x:c>
      <x:c r="D320" s="12" t="str">
        <x:v>Unknown</x:v>
      </x:c>
    </x:row>
    <x:row r="321">
      <x:c r="A321" s="12" t="str">
        <x:v>NEED-0121</x:v>
      </x:c>
      <x:c r="B321" s="12" t="str">
        <x:v>RSP-0320</x:v>
      </x:c>
      <x:c r="C321" s="12" t="str">
        <x:v>Proposed to address</x:v>
      </x:c>
      <x:c r="D321" s="12" t="str">
        <x:v>Unknown</x:v>
      </x:c>
    </x:row>
    <x:row r="322">
      <x:c r="A322" s="12" t="str">
        <x:v>NEED-0026</x:v>
      </x:c>
      <x:c r="B322" s="12" t="str">
        <x:v>RSP-0321</x:v>
      </x:c>
      <x:c r="C322" s="12" t="str">
        <x:v>Proposed to address</x:v>
      </x:c>
      <x:c r="D322" s="12" t="str">
        <x:v>Unknown</x:v>
      </x:c>
    </x:row>
    <x:row r="323">
      <x:c r="A323" s="12" t="str">
        <x:v>NEED-0080</x:v>
      </x:c>
      <x:c r="B323" s="12" t="str">
        <x:v>RSP-0322</x:v>
      </x:c>
      <x:c r="C323" s="12" t="str">
        <x:v>Proposed to address</x:v>
      </x:c>
      <x:c r="D323" s="12" t="str">
        <x:v>Unknown</x:v>
      </x:c>
    </x:row>
    <x:row r="324">
      <x:c r="A324" s="12" t="str">
        <x:v>NEED-0133</x:v>
      </x:c>
      <x:c r="B324" s="12" t="str">
        <x:v>RSP-0323</x:v>
      </x:c>
      <x:c r="C324" s="12" t="str">
        <x:v>Proposed to address</x:v>
      </x:c>
      <x:c r="D324" s="12" t="str">
        <x:v>Unknown</x:v>
      </x:c>
    </x:row>
    <x:row r="325">
      <x:c r="A325" s="12" t="str">
        <x:v>NEED-0197</x:v>
      </x:c>
      <x:c r="B325" s="12" t="str">
        <x:v>RSP-0324</x:v>
      </x:c>
      <x:c r="C325" s="12" t="str">
        <x:v>Proposed to address</x:v>
      </x:c>
      <x:c r="D325" s="12" t="str">
        <x:v>Unknown</x:v>
      </x:c>
    </x:row>
    <x:row r="326">
      <x:c r="A326" s="12" t="str">
        <x:v>NEED-0124</x:v>
      </x:c>
      <x:c r="B326" s="12" t="str">
        <x:v>RSP-0325</x:v>
      </x:c>
      <x:c r="C326" s="12" t="str">
        <x:v>Proposed to address</x:v>
      </x:c>
      <x:c r="D326" s="12" t="str">
        <x:v>Unknown</x:v>
      </x:c>
    </x:row>
    <x:row r="327">
      <x:c r="A327" s="12" t="str">
        <x:v>NEED-0124</x:v>
      </x:c>
      <x:c r="B327" s="12" t="str">
        <x:v>RSP-0326</x:v>
      </x:c>
      <x:c r="C327" s="12" t="str">
        <x:v>Proposed to address</x:v>
      </x:c>
      <x:c r="D327" s="12" t="str">
        <x:v>Unknown</x:v>
      </x:c>
    </x:row>
    <x:row r="328">
      <x:c r="A328" s="12" t="str">
        <x:v>NEED-0103</x:v>
      </x:c>
      <x:c r="B328" s="12" t="str">
        <x:v>RSP-0327</x:v>
      </x:c>
      <x:c r="C328" s="12" t="str">
        <x:v>Proposed to address</x:v>
      </x:c>
      <x:c r="D328" s="12" t="str">
        <x:v>Unknown</x:v>
      </x:c>
    </x:row>
    <x:row r="329">
      <x:c r="A329" s="12" t="str">
        <x:v>NEED-0026</x:v>
      </x:c>
      <x:c r="B329" s="12" t="str">
        <x:v>RSP-0328</x:v>
      </x:c>
      <x:c r="C329" s="12" t="str">
        <x:v>Proposed to address</x:v>
      </x:c>
      <x:c r="D329" s="12" t="str">
        <x:v>Unknown</x:v>
      </x:c>
    </x:row>
    <x:row r="330">
      <x:c r="A330" s="12" t="str">
        <x:v>NEED-0137</x:v>
      </x:c>
      <x:c r="B330" s="12" t="str">
        <x:v>RSP-0329</x:v>
      </x:c>
      <x:c r="C330" s="12" t="str">
        <x:v>Proposed to address</x:v>
      </x:c>
      <x:c r="D330" s="12" t="str">
        <x:v>Unknown</x:v>
      </x:c>
    </x:row>
    <x:row r="331">
      <x:c r="A331" s="12" t="str">
        <x:v>NEED-0026</x:v>
      </x:c>
      <x:c r="B331" s="12" t="str">
        <x:v>RSP-0330</x:v>
      </x:c>
      <x:c r="C331" s="12" t="str">
        <x:v>Proposed to address</x:v>
      </x:c>
      <x:c r="D331" s="12" t="str">
        <x:v>Unknown</x:v>
      </x:c>
    </x:row>
    <x:row r="332">
      <x:c r="A332" s="12" t="str">
        <x:v>NEED-0120</x:v>
      </x:c>
      <x:c r="B332" s="12" t="str">
        <x:v>RSP-0331</x:v>
      </x:c>
      <x:c r="C332" s="12" t="str">
        <x:v>Proposed to address</x:v>
      </x:c>
      <x:c r="D332" s="12" t="str">
        <x:v>Unknown</x:v>
      </x:c>
    </x:row>
    <x:row r="333">
      <x:c r="A333" s="12" t="str">
        <x:v>NEED-0205</x:v>
      </x:c>
      <x:c r="B333" s="12" t="str">
        <x:v>RSP-0332</x:v>
      </x:c>
      <x:c r="C333" s="12" t="str">
        <x:v>Proposed to address</x:v>
      </x:c>
      <x:c r="D333" s="12" t="str">
        <x:v>Unknown</x:v>
      </x:c>
    </x:row>
    <x:row r="334">
      <x:c r="A334" s="12" t="str">
        <x:v>NEED-0098</x:v>
      </x:c>
      <x:c r="B334" s="12" t="str">
        <x:v>RSP-0333</x:v>
      </x:c>
      <x:c r="C334" s="12" t="str">
        <x:v>Proposed to address</x:v>
      </x:c>
      <x:c r="D334" s="12" t="str">
        <x:v>Unknown</x:v>
      </x:c>
    </x:row>
    <x:row r="335">
      <x:c r="A335" s="12" t="str">
        <x:v>NEED-0133</x:v>
      </x:c>
      <x:c r="B335" s="12" t="str">
        <x:v>RSP-0334</x:v>
      </x:c>
      <x:c r="C335" s="12" t="str">
        <x:v>Proposed to address</x:v>
      </x:c>
      <x:c r="D335" s="12" t="str">
        <x:v>Unknown</x:v>
      </x:c>
    </x:row>
    <x:row r="336">
      <x:c r="A336" s="12" t="str">
        <x:v>NEED-0197</x:v>
      </x:c>
      <x:c r="B336" s="12" t="str">
        <x:v>RSP-0335</x:v>
      </x:c>
      <x:c r="C336" s="12" t="str">
        <x:v>Proposed to address</x:v>
      </x:c>
      <x:c r="D336" s="12" t="str">
        <x:v>Unknown</x:v>
      </x:c>
    </x:row>
    <x:row r="337">
      <x:c r="A337" s="12" t="str">
        <x:v>NEED-0047</x:v>
      </x:c>
      <x:c r="B337" s="12" t="str">
        <x:v>RSP-0336</x:v>
      </x:c>
      <x:c r="C337" s="12" t="str">
        <x:v>Proposed to address</x:v>
      </x:c>
      <x:c r="D337" s="12" t="str">
        <x:v>Unknown</x:v>
      </x:c>
    </x:row>
    <x:row r="338">
      <x:c r="A338" s="12" t="str">
        <x:v>NEED-0122</x:v>
      </x:c>
      <x:c r="B338" s="12" t="str">
        <x:v>RSP-0337</x:v>
      </x:c>
      <x:c r="C338" s="12" t="str">
        <x:v>Proposed to address</x:v>
      </x:c>
      <x:c r="D338" s="12" t="str">
        <x:v>Unknown</x:v>
      </x:c>
    </x:row>
    <x:row r="339">
      <x:c r="A339" s="12" t="str">
        <x:v>NEED-0080</x:v>
      </x:c>
      <x:c r="B339" s="12" t="str">
        <x:v>RSP-0338</x:v>
      </x:c>
      <x:c r="C339" s="12" t="str">
        <x:v>Proposed to address</x:v>
      </x:c>
      <x:c r="D339" s="12" t="str">
        <x:v>Unknown</x:v>
      </x:c>
    </x:row>
    <x:row r="340">
      <x:c r="A340" s="12" t="str">
        <x:v>NEED-0071</x:v>
      </x:c>
      <x:c r="B340" s="12" t="str">
        <x:v>RSP-0339</x:v>
      </x:c>
      <x:c r="C340" s="12" t="str">
        <x:v>Proposed to address</x:v>
      </x:c>
      <x:c r="D340" s="12" t="str">
        <x:v>Unknown</x:v>
      </x:c>
    </x:row>
    <x:row r="341">
      <x:c r="A341" s="12" t="str">
        <x:v>NEED-0134</x:v>
      </x:c>
      <x:c r="B341" s="12" t="str">
        <x:v>RSP-0340</x:v>
      </x:c>
      <x:c r="C341" s="12" t="str">
        <x:v>Proposed to address</x:v>
      </x:c>
      <x:c r="D341" s="12" t="str">
        <x:v>Unknown</x:v>
      </x:c>
    </x:row>
    <x:row r="342">
      <x:c r="A342" s="12" t="str">
        <x:v>NEED-0026</x:v>
      </x:c>
      <x:c r="B342" s="12" t="str">
        <x:v>RSP-0341</x:v>
      </x:c>
      <x:c r="C342" s="12" t="str">
        <x:v>Proposed to address</x:v>
      </x:c>
      <x:c r="D342" s="12" t="str">
        <x:v>Unknown</x:v>
      </x:c>
    </x:row>
    <x:row r="343">
      <x:c r="A343" s="12" t="str">
        <x:v>NEED-0137</x:v>
      </x:c>
      <x:c r="B343" s="12" t="str">
        <x:v>RSP-0342</x:v>
      </x:c>
      <x:c r="C343" s="12" t="str">
        <x:v>Proposed to address</x:v>
      </x:c>
      <x:c r="D343" s="12" t="str">
        <x:v>Unknown</x:v>
      </x:c>
    </x:row>
    <x:row r="344">
      <x:c r="A344" s="12" t="str">
        <x:v>NEED-0190</x:v>
      </x:c>
      <x:c r="B344" s="12" t="str">
        <x:v>RSP-0343</x:v>
      </x:c>
      <x:c r="C344" s="12" t="str">
        <x:v>Proposed to address</x:v>
      </x:c>
      <x:c r="D344" s="12" t="str">
        <x:v>Unknown</x:v>
      </x:c>
    </x:row>
    <x:row r="345">
      <x:c r="A345" s="12" t="str">
        <x:v>NEED-0038</x:v>
      </x:c>
      <x:c r="B345" s="12" t="str">
        <x:v>RSP-0344</x:v>
      </x:c>
      <x:c r="C345" s="12" t="str">
        <x:v>Proposed to address</x:v>
      </x:c>
      <x:c r="D345" s="12" t="str">
        <x:v>Unknown</x:v>
      </x:c>
    </x:row>
    <x:row r="346">
      <x:c r="A346" s="12" t="str">
        <x:v>NEED-0038</x:v>
      </x:c>
      <x:c r="B346" s="12" t="str">
        <x:v>RSP-0345</x:v>
      </x:c>
      <x:c r="C346" s="12" t="str">
        <x:v>Proposed to address</x:v>
      </x:c>
      <x:c r="D346" s="12" t="str">
        <x:v>Unknown</x:v>
      </x:c>
    </x:row>
    <x:row r="347">
      <x:c r="A347" s="12" t="str">
        <x:v>NEED-0178</x:v>
      </x:c>
      <x:c r="B347" s="12" t="str">
        <x:v>RSP-0346</x:v>
      </x:c>
      <x:c r="C347" s="12" t="str">
        <x:v>Proposed to address</x:v>
      </x:c>
      <x:c r="D347" s="12" t="str">
        <x:v>Unknown</x:v>
      </x:c>
    </x:row>
    <x:row r="348">
      <x:c r="A348" s="12" t="str">
        <x:v>NEED-0120</x:v>
      </x:c>
      <x:c r="B348" s="12" t="str">
        <x:v>RSP-0347</x:v>
      </x:c>
      <x:c r="C348" s="12" t="str">
        <x:v>Proposed to address</x:v>
      </x:c>
      <x:c r="D348" s="12" t="str">
        <x:v>Unknown</x:v>
      </x:c>
    </x:row>
    <x:row r="349">
      <x:c r="A349" s="12" t="str">
        <x:v>NEED-0110</x:v>
      </x:c>
      <x:c r="B349" s="12" t="str">
        <x:v>RSP-0348</x:v>
      </x:c>
      <x:c r="C349" s="12" t="str">
        <x:v>Proposed to address</x:v>
      </x:c>
      <x:c r="D349" s="12" t="str">
        <x:v>Unknown</x:v>
      </x:c>
    </x:row>
    <x:row r="350">
      <x:c r="A350" s="12" t="str">
        <x:v>NEED-0084</x:v>
      </x:c>
      <x:c r="B350" s="12" t="str">
        <x:v>RSP-0349</x:v>
      </x:c>
      <x:c r="C350" s="12" t="str">
        <x:v>Proposed to address</x:v>
      </x:c>
      <x:c r="D350" s="12" t="str">
        <x:v>Unknown</x:v>
      </x:c>
    </x:row>
    <x:row r="351">
      <x:c r="A351" s="12" t="str">
        <x:v>NEED-0080</x:v>
      </x:c>
      <x:c r="B351" s="12" t="str">
        <x:v>RSP-0350</x:v>
      </x:c>
      <x:c r="C351" s="12" t="str">
        <x:v>Proposed to address</x:v>
      </x:c>
      <x:c r="D351" s="12" t="str">
        <x:v>Unknown</x:v>
      </x:c>
    </x:row>
    <x:row r="352">
      <x:c r="A352" s="12" t="str">
        <x:v>NEED-0049</x:v>
      </x:c>
      <x:c r="B352" s="12" t="str">
        <x:v>RSP-0351</x:v>
      </x:c>
      <x:c r="C352" s="12" t="str">
        <x:v>Proposed to address</x:v>
      </x:c>
      <x:c r="D352" s="12" t="str">
        <x:v>Unknown</x:v>
      </x:c>
    </x:row>
    <x:row r="353">
      <x:c r="A353" s="12" t="str">
        <x:v>NEED-0141</x:v>
      </x:c>
      <x:c r="B353" s="12" t="str">
        <x:v>RSP-0352</x:v>
      </x:c>
      <x:c r="C353" s="12" t="str">
        <x:v>Proposed to address</x:v>
      </x:c>
      <x:c r="D353" s="12" t="str">
        <x:v>Unknown</x:v>
      </x:c>
    </x:row>
    <x:row r="354">
      <x:c r="A354" s="12" t="str">
        <x:v>NEED-0029</x:v>
      </x:c>
      <x:c r="B354" s="12" t="str">
        <x:v>RSP-0353</x:v>
      </x:c>
      <x:c r="C354" s="12" t="str">
        <x:v>Proposed to address</x:v>
      </x:c>
      <x:c r="D354" s="12" t="str">
        <x:v>Unknown</x:v>
      </x:c>
    </x:row>
    <x:row r="355">
      <x:c r="A355" s="12" t="str">
        <x:v>NEED-0052</x:v>
      </x:c>
      <x:c r="B355" s="12" t="str">
        <x:v>RSP-0354</x:v>
      </x:c>
      <x:c r="C355" s="12" t="str">
        <x:v>Proposed to address</x:v>
      </x:c>
      <x:c r="D355" s="12" t="str">
        <x:v>Unknown</x:v>
      </x:c>
    </x:row>
    <x:row r="356">
      <x:c r="A356" s="12" t="str">
        <x:v>NEED-0055</x:v>
      </x:c>
      <x:c r="B356" s="12" t="str">
        <x:v>RSP-0355</x:v>
      </x:c>
      <x:c r="C356" s="12" t="str">
        <x:v>Proposed to address</x:v>
      </x:c>
      <x:c r="D356" s="12" t="str">
        <x:v>Unknown</x:v>
      </x:c>
    </x:row>
    <x:row r="357">
      <x:c r="A357" s="12" t="str">
        <x:v>NEED-0125</x:v>
      </x:c>
      <x:c r="B357" s="12" t="str">
        <x:v>RSP-0356</x:v>
      </x:c>
      <x:c r="C357" s="12" t="str">
        <x:v>Proposed to address</x:v>
      </x:c>
      <x:c r="D357" s="12" t="str">
        <x:v>Unknown</x:v>
      </x:c>
    </x:row>
    <x:row r="358">
      <x:c r="A358" s="12" t="str">
        <x:v>NEED-0023</x:v>
      </x:c>
      <x:c r="B358" s="12" t="str">
        <x:v>RSP-0357</x:v>
      </x:c>
      <x:c r="C358" s="12" t="str">
        <x:v>Proposed to address</x:v>
      </x:c>
      <x:c r="D358" s="12" t="str">
        <x:v>Unknown</x:v>
      </x:c>
    </x:row>
    <x:row r="359">
      <x:c r="A359" s="12" t="str">
        <x:v>NEED-0039</x:v>
      </x:c>
      <x:c r="B359" s="12" t="str">
        <x:v>RSP-0358</x:v>
      </x:c>
      <x:c r="C359" s="12" t="str">
        <x:v>Proposed to address</x:v>
      </x:c>
      <x:c r="D359" s="12" t="str">
        <x:v>Unknown</x:v>
      </x:c>
    </x:row>
    <x:row r="360">
      <x:c r="A360" s="12" t="str">
        <x:v>NEED-0148</x:v>
      </x:c>
      <x:c r="B360" s="12" t="str">
        <x:v>RSP-0359</x:v>
      </x:c>
      <x:c r="C360" s="12" t="str">
        <x:v>Proposed to address</x:v>
      </x:c>
      <x:c r="D360" s="12" t="str">
        <x:v>Unknown</x:v>
      </x:c>
    </x:row>
    <x:row r="361">
      <x:c r="A361" s="12" t="str">
        <x:v>NEED-0148</x:v>
      </x:c>
      <x:c r="B361" s="12" t="str">
        <x:v>RSP-0360</x:v>
      </x:c>
      <x:c r="C361" s="12" t="str">
        <x:v>Proposed to address</x:v>
      </x:c>
      <x:c r="D361" s="12" t="str">
        <x:v>Unknown</x:v>
      </x:c>
    </x:row>
    <x:row r="362">
      <x:c r="A362" s="12" t="str">
        <x:v>NEED-0167</x:v>
      </x:c>
      <x:c r="B362" s="12" t="str">
        <x:v>RSP-0361</x:v>
      </x:c>
      <x:c r="C362" s="12" t="str">
        <x:v>Proposed to address</x:v>
      </x:c>
      <x:c r="D362" s="12" t="str">
        <x:v>Unknown</x:v>
      </x:c>
    </x:row>
    <x:row r="363">
      <x:c r="A363" s="12" t="str">
        <x:v>NEED-0130</x:v>
      </x:c>
      <x:c r="B363" s="12" t="str">
        <x:v>RSP-0362</x:v>
      </x:c>
      <x:c r="C363" s="12" t="str">
        <x:v>Proposed to address</x:v>
      </x:c>
      <x:c r="D363" s="12" t="str">
        <x:v>Unknown</x:v>
      </x:c>
    </x:row>
    <x:row r="364">
      <x:c r="A364" s="12" t="str">
        <x:v>NEED-0167</x:v>
      </x:c>
      <x:c r="B364" s="12" t="str">
        <x:v>RSP-0363</x:v>
      </x:c>
      <x:c r="C364" s="12" t="str">
        <x:v>Proposed to address</x:v>
      </x:c>
      <x:c r="D364" s="12" t="str">
        <x:v>Unknown</x:v>
      </x:c>
    </x:row>
    <x:row r="365">
      <x:c r="A365" s="12" t="str">
        <x:v>NEED-0074</x:v>
      </x:c>
      <x:c r="B365" s="12" t="str">
        <x:v>RSP-0364</x:v>
      </x:c>
      <x:c r="C365" s="12" t="str">
        <x:v>Proposed to address</x:v>
      </x:c>
      <x:c r="D365" s="12" t="str">
        <x:v>Unknown</x:v>
      </x:c>
    </x:row>
    <x:row r="366">
      <x:c r="A366" s="12" t="str">
        <x:v>NEED-0167</x:v>
      </x:c>
      <x:c r="B366" s="12" t="str">
        <x:v>RSP-0365</x:v>
      </x:c>
      <x:c r="C366" s="12" t="str">
        <x:v>Proposed to address</x:v>
      </x:c>
      <x:c r="D366" s="12" t="str">
        <x:v>Unknown</x:v>
      </x:c>
    </x:row>
    <x:row r="367">
      <x:c r="A367" s="12" t="str">
        <x:v>NEED-0129</x:v>
      </x:c>
      <x:c r="B367" s="12" t="str">
        <x:v>RSP-0366</x:v>
      </x:c>
      <x:c r="C367" s="12" t="str">
        <x:v>Proposed to address</x:v>
      </x:c>
      <x:c r="D367" s="12" t="str">
        <x:v>Unknown</x:v>
      </x:c>
    </x:row>
    <x:row r="368">
      <x:c r="A368" s="12" t="str">
        <x:v>NEED-0088</x:v>
      </x:c>
      <x:c r="B368" s="12" t="str">
        <x:v>RSP-0367</x:v>
      </x:c>
      <x:c r="C368" s="12" t="str">
        <x:v>Proposed to address</x:v>
      </x:c>
      <x:c r="D368" s="12" t="str">
        <x:v>Unknown</x:v>
      </x:c>
    </x:row>
    <x:row r="369">
      <x:c r="A369" s="12" t="str">
        <x:v>NEED-0046</x:v>
      </x:c>
      <x:c r="B369" s="12" t="str">
        <x:v>RSP-0368</x:v>
      </x:c>
      <x:c r="C369" s="12" t="str">
        <x:v>Proposed to address</x:v>
      </x:c>
      <x:c r="D369" s="12" t="str">
        <x:v>Unknown</x:v>
      </x:c>
    </x:row>
    <x:row r="370">
      <x:c r="A370" s="12" t="str">
        <x:v>NEED-0023</x:v>
      </x:c>
      <x:c r="B370" s="12" t="str">
        <x:v>RSP-0369</x:v>
      </x:c>
      <x:c r="C370" s="12" t="str">
        <x:v>Proposed to address</x:v>
      </x:c>
      <x:c r="D370" s="12" t="str">
        <x:v>Unknown</x:v>
      </x:c>
    </x:row>
    <x:row r="371">
      <x:c r="A371" s="12" t="str">
        <x:v>NEED-0204</x:v>
      </x:c>
      <x:c r="B371" s="12" t="str">
        <x:v>RSP-0370</x:v>
      </x:c>
      <x:c r="C371" s="12" t="str">
        <x:v>Proposed to address</x:v>
      </x:c>
      <x:c r="D371" s="12" t="str">
        <x:v>Unknown</x:v>
      </x:c>
    </x:row>
    <x:row r="372">
      <x:c r="A372" s="12" t="str">
        <x:v>NEED-0169</x:v>
      </x:c>
      <x:c r="B372" s="12" t="str">
        <x:v>RSP-0371</x:v>
      </x:c>
      <x:c r="C372" s="12" t="str">
        <x:v>Proposed to address</x:v>
      </x:c>
      <x:c r="D372" s="12" t="str">
        <x:v>Unknown</x:v>
      </x:c>
    </x:row>
    <x:row r="373">
      <x:c r="A373" s="12" t="str">
        <x:v>NEED-0141</x:v>
      </x:c>
      <x:c r="B373" s="12" t="str">
        <x:v>RSP-0372</x:v>
      </x:c>
      <x:c r="C373" s="12" t="str">
        <x:v>Proposed to address</x:v>
      </x:c>
      <x:c r="D373" s="12" t="str">
        <x:v>Unknown</x:v>
      </x:c>
    </x:row>
    <x:row r="374">
      <x:c r="A374" s="12" t="str">
        <x:v>NEED-0011</x:v>
      </x:c>
      <x:c r="B374" s="12" t="str">
        <x:v>RSP-0373</x:v>
      </x:c>
      <x:c r="C374" s="12" t="str">
        <x:v>Proposed to address</x:v>
      </x:c>
      <x:c r="D374" s="12" t="str">
        <x:v>Unknown</x:v>
      </x:c>
    </x:row>
    <x:row r="375">
      <x:c r="A375" s="12" t="str">
        <x:v>NEED-0006</x:v>
      </x:c>
      <x:c r="B375" s="12" t="str">
        <x:v>RSP-0374</x:v>
      </x:c>
      <x:c r="C375" s="12" t="str">
        <x:v>Proposed to address</x:v>
      </x:c>
      <x:c r="D375" s="12" t="str">
        <x:v>Unknown</x:v>
      </x:c>
    </x:row>
    <x:row r="376">
      <x:c r="A376" s="12" t="str">
        <x:v>NEED-0006</x:v>
      </x:c>
      <x:c r="B376" s="12" t="str">
        <x:v>RSP-0375</x:v>
      </x:c>
      <x:c r="C376" s="12" t="str">
        <x:v>Proposed to address</x:v>
      </x:c>
      <x:c r="D376" s="12" t="str">
        <x:v>Unknown</x:v>
      </x:c>
    </x:row>
    <x:row r="377">
      <x:c r="A377" s="12" t="str">
        <x:v>NEED-0006</x:v>
      </x:c>
      <x:c r="B377" s="12" t="str">
        <x:v>RSP-0376</x:v>
      </x:c>
      <x:c r="C377" s="12" t="str">
        <x:v>Proposed to address</x:v>
      </x:c>
      <x:c r="D377" s="12" t="str">
        <x:v>Unknown</x:v>
      </x:c>
    </x:row>
    <x:row r="378">
      <x:c r="A378" s="12" t="str">
        <x:v>NEED-0167</x:v>
      </x:c>
      <x:c r="B378" s="12" t="str">
        <x:v>RSP-0377</x:v>
      </x:c>
      <x:c r="C378" s="12" t="str">
        <x:v>Proposed to address</x:v>
      </x:c>
      <x:c r="D378" s="12" t="str">
        <x:v>Unknown</x:v>
      </x:c>
    </x:row>
    <x:row r="379">
      <x:c r="A379" s="12" t="str">
        <x:v>NEED-0060</x:v>
      </x:c>
      <x:c r="B379" s="12" t="str">
        <x:v>RSP-0378</x:v>
      </x:c>
      <x:c r="C379" s="12" t="str">
        <x:v>Proposed to address</x:v>
      </x:c>
      <x:c r="D379" s="12" t="str">
        <x:v>Unknown</x:v>
      </x:c>
    </x:row>
    <x:row r="380">
      <x:c r="A380" s="12" t="str">
        <x:v>NEED-0148</x:v>
      </x:c>
      <x:c r="B380" s="12" t="str">
        <x:v>RSP-0379</x:v>
      </x:c>
      <x:c r="C380" s="12" t="str">
        <x:v>Proposed to address</x:v>
      </x:c>
      <x:c r="D380" s="12" t="str">
        <x:v>Unknown</x:v>
      </x:c>
    </x:row>
    <x:row r="381">
      <x:c r="A381" s="12" t="str">
        <x:v>NEED-0140</x:v>
      </x:c>
      <x:c r="B381" s="12" t="str">
        <x:v>RSP-0380</x:v>
      </x:c>
      <x:c r="C381" s="12" t="str">
        <x:v>Proposed to address</x:v>
      </x:c>
      <x:c r="D381" s="12" t="str">
        <x:v>Unknown</x:v>
      </x:c>
    </x:row>
    <x:row r="382">
      <x:c r="A382" s="12" t="str">
        <x:v>NEED-0198</x:v>
      </x:c>
      <x:c r="B382" s="12" t="str">
        <x:v>RSP-0381</x:v>
      </x:c>
      <x:c r="C382" s="12" t="str">
        <x:v>Proposed to address</x:v>
      </x:c>
      <x:c r="D382" s="12" t="str">
        <x:v>Unknown</x:v>
      </x:c>
    </x:row>
    <x:row r="383">
      <x:c r="A383" s="12" t="str">
        <x:v>NEED-0198</x:v>
      </x:c>
      <x:c r="B383" s="12" t="str">
        <x:v>RSP-0382</x:v>
      </x:c>
      <x:c r="C383" s="12" t="str">
        <x:v>Proposed to address</x:v>
      </x:c>
      <x:c r="D383" s="12" t="str">
        <x:v>Unknown</x:v>
      </x:c>
    </x:row>
    <x:row r="384">
      <x:c r="A384" s="12" t="str">
        <x:v>NEED-0198</x:v>
      </x:c>
      <x:c r="B384" s="12" t="str">
        <x:v>RSP-0383</x:v>
      </x:c>
      <x:c r="C384" s="12" t="str">
        <x:v>Proposed to address</x:v>
      </x:c>
      <x:c r="D384" s="12" t="str">
        <x:v>Unknown</x:v>
      </x:c>
    </x:row>
    <x:row r="385">
      <x:c r="A385" s="12" t="str">
        <x:v>NEED-0198</x:v>
      </x:c>
      <x:c r="B385" s="12" t="str">
        <x:v>RSP-0384</x:v>
      </x:c>
      <x:c r="C385" s="12" t="str">
        <x:v>Proposed to address</x:v>
      </x:c>
      <x:c r="D385" s="12" t="str">
        <x:v>Unknown</x:v>
      </x:c>
    </x:row>
    <x:row r="386">
      <x:c r="A386" s="12" t="str">
        <x:v>NEED-0198</x:v>
      </x:c>
      <x:c r="B386" s="12" t="str">
        <x:v>RSP-0385</x:v>
      </x:c>
      <x:c r="C386" s="12" t="str">
        <x:v>Proposed to address</x:v>
      </x:c>
      <x:c r="D386" s="12" t="str">
        <x:v>Unknown</x:v>
      </x:c>
    </x:row>
    <x:row r="387">
      <x:c r="A387" s="12" t="str">
        <x:v>NEED-0022</x:v>
      </x:c>
      <x:c r="B387" s="12" t="str">
        <x:v>RSP-0386</x:v>
      </x:c>
      <x:c r="C387" s="12" t="str">
        <x:v>Proposed to address</x:v>
      </x:c>
      <x:c r="D387" s="12" t="str">
        <x:v>Unknown</x:v>
      </x:c>
    </x:row>
    <x:row r="388">
      <x:c r="A388" s="12" t="str">
        <x:v>NEED-0011</x:v>
      </x:c>
      <x:c r="B388" s="12" t="str">
        <x:v>RSP-0387</x:v>
      </x:c>
      <x:c r="C388" s="12" t="str">
        <x:v>Proposed to address</x:v>
      </x:c>
      <x:c r="D388" s="12" t="str">
        <x:v>Unknown</x:v>
      </x:c>
    </x:row>
    <x:row r="389">
      <x:c r="A389" s="12" t="str">
        <x:v>NEED-0209</x:v>
      </x:c>
      <x:c r="B389" s="12" t="str">
        <x:v>RSP-0388</x:v>
      </x:c>
      <x:c r="C389" s="12" t="str">
        <x:v>Proposed to address</x:v>
      </x:c>
      <x:c r="D389" s="12" t="str">
        <x:v>Unknown</x:v>
      </x:c>
    </x:row>
    <x:row r="390">
      <x:c r="A390" s="12" t="str">
        <x:v>NEED-0186</x:v>
      </x:c>
      <x:c r="B390" s="12" t="str">
        <x:v>RSP-0389</x:v>
      </x:c>
      <x:c r="C390" s="12" t="str">
        <x:v>Proposed to address</x:v>
      </x:c>
      <x:c r="D390" s="12" t="str">
        <x:v>Unknown</x:v>
      </x:c>
    </x:row>
    <x:row r="391">
      <x:c r="A391" s="12" t="str">
        <x:v>NEED-0022</x:v>
      </x:c>
      <x:c r="B391" s="12" t="str">
        <x:v>RSP-0390</x:v>
      </x:c>
      <x:c r="C391" s="12" t="str">
        <x:v>Proposed to address</x:v>
      </x:c>
      <x:c r="D391" s="12" t="str">
        <x:v>Unknown</x:v>
      </x:c>
    </x:row>
    <x:row r="392">
      <x:c r="A392" s="12" t="str">
        <x:v>NEED-0186</x:v>
      </x:c>
      <x:c r="B392" s="12" t="str">
        <x:v>RSP-0391</x:v>
      </x:c>
      <x:c r="C392" s="12" t="str">
        <x:v>Proposed to address</x:v>
      </x:c>
      <x:c r="D392" s="12" t="str">
        <x:v>Unknown</x:v>
      </x:c>
    </x:row>
    <x:row r="393">
      <x:c r="A393" s="12" t="str">
        <x:v>NEED-0156</x:v>
      </x:c>
      <x:c r="B393" s="12" t="str">
        <x:v>RSP-0392</x:v>
      </x:c>
      <x:c r="C393" s="12" t="str">
        <x:v>Proposed to address</x:v>
      </x:c>
      <x:c r="D393" s="12" t="str">
        <x:v>Unknown</x:v>
      </x:c>
    </x:row>
    <x:row r="394">
      <x:c r="A394" s="12" t="str">
        <x:v>NEED-0160</x:v>
      </x:c>
      <x:c r="B394" s="12" t="str">
        <x:v>RSP-0393</x:v>
      </x:c>
      <x:c r="C394" s="12" t="str">
        <x:v>Proposed to address</x:v>
      </x:c>
      <x:c r="D394" s="12" t="str">
        <x:v>Unknown</x:v>
      </x:c>
    </x:row>
    <x:row r="395">
      <x:c r="A395" s="12" t="str">
        <x:v>NEED-0066</x:v>
      </x:c>
      <x:c r="B395" s="12" t="str">
        <x:v>RSP-0394</x:v>
      </x:c>
      <x:c r="C395" s="12" t="str">
        <x:v>Proposed to address</x:v>
      </x:c>
      <x:c r="D395" s="12" t="str">
        <x:v>Unknown</x:v>
      </x:c>
    </x:row>
    <x:row r="396">
      <x:c r="A396" s="12" t="str">
        <x:v>NEED-0209</x:v>
      </x:c>
      <x:c r="B396" s="12" t="str">
        <x:v>RSP-0395</x:v>
      </x:c>
      <x:c r="C396" s="12" t="str">
        <x:v>Proposed to address</x:v>
      </x:c>
      <x:c r="D396" s="12" t="str">
        <x:v>Unknown</x:v>
      </x:c>
    </x:row>
    <x:row r="397">
      <x:c r="A397" s="12" t="str">
        <x:v>NEED-0134</x:v>
      </x:c>
      <x:c r="B397" s="12" t="str">
        <x:v>RSP-0396</x:v>
      </x:c>
      <x:c r="C397" s="12" t="str">
        <x:v>Proposed to address</x:v>
      </x:c>
      <x:c r="D397" s="12" t="str">
        <x:v>Unknown</x:v>
      </x:c>
    </x:row>
    <x:row r="398">
      <x:c r="A398" s="12" t="str">
        <x:v>NEED-0078</x:v>
      </x:c>
      <x:c r="B398" s="12" t="str">
        <x:v>RSP-0397</x:v>
      </x:c>
      <x:c r="C398" s="12" t="str">
        <x:v>Proposed to address</x:v>
      </x:c>
      <x:c r="D398" s="12" t="str">
        <x:v>Unknown</x:v>
      </x:c>
    </x:row>
    <x:row r="399">
      <x:c r="A399" s="12" t="str">
        <x:v>NEED-0124</x:v>
      </x:c>
      <x:c r="B399" s="12" t="str">
        <x:v>RSP-0398</x:v>
      </x:c>
      <x:c r="C399" s="12" t="str">
        <x:v>Proposed to address</x:v>
      </x:c>
      <x:c r="D399" s="12" t="str">
        <x:v>Unknown</x:v>
      </x:c>
    </x:row>
    <x:row r="400">
      <x:c r="A400" s="12" t="str">
        <x:v>NEED-0124</x:v>
      </x:c>
      <x:c r="B400" s="12" t="str">
        <x:v>RSP-0399</x:v>
      </x:c>
      <x:c r="C400" s="12" t="str">
        <x:v>Proposed to address</x:v>
      </x:c>
      <x:c r="D400" s="12" t="str">
        <x:v>Unknown</x:v>
      </x:c>
    </x:row>
    <x:row r="401">
      <x:c r="A401" s="12" t="str">
        <x:v>NEED-0124</x:v>
      </x:c>
      <x:c r="B401" s="12" t="str">
        <x:v>RSP-0400</x:v>
      </x:c>
      <x:c r="C401" s="12" t="str">
        <x:v>Proposed to address</x:v>
      </x:c>
      <x:c r="D401" s="12" t="str">
        <x:v>Unknown</x:v>
      </x:c>
    </x:row>
    <x:row r="402">
      <x:c r="A402" s="12" t="str">
        <x:v>NEED-0093</x:v>
      </x:c>
      <x:c r="B402" s="12" t="str">
        <x:v>RSP-0401</x:v>
      </x:c>
      <x:c r="C402" s="12" t="str">
        <x:v>Proposed to address</x:v>
      </x:c>
      <x:c r="D402" s="12" t="str">
        <x:v>Unknown</x:v>
      </x:c>
    </x:row>
    <x:row r="403">
      <x:c r="A403" s="12" t="str">
        <x:v>NEED-0173</x:v>
      </x:c>
      <x:c r="B403" s="12" t="str">
        <x:v>RSP-0402</x:v>
      </x:c>
      <x:c r="C403" s="12" t="str">
        <x:v>Proposed to address</x:v>
      </x:c>
      <x:c r="D403" s="12" t="str">
        <x:v>Unknown</x:v>
      </x:c>
    </x:row>
    <x:row r="404">
      <x:c r="A404" s="12" t="str">
        <x:v>NEED-0149</x:v>
      </x:c>
      <x:c r="B404" s="12" t="str">
        <x:v>RSP-0403</x:v>
      </x:c>
      <x:c r="C404" s="12" t="str">
        <x:v>Proposed to address</x:v>
      </x:c>
      <x:c r="D404" s="12" t="str">
        <x:v>Unknown</x:v>
      </x:c>
    </x:row>
    <x:row r="405">
      <x:c r="A405" s="12" t="str">
        <x:v>NEED-0201</x:v>
      </x:c>
      <x:c r="B405" s="12" t="str">
        <x:v>RSP-0404</x:v>
      </x:c>
      <x:c r="C405" s="12" t="str">
        <x:v>Proposed to address</x:v>
      </x:c>
      <x:c r="D405" s="12" t="str">
        <x:v>Unknown</x:v>
      </x:c>
    </x:row>
    <x:row r="406">
      <x:c r="A406" s="12" t="str">
        <x:v>NEED-0160</x:v>
      </x:c>
      <x:c r="B406" s="12" t="str">
        <x:v>RSP-0405</x:v>
      </x:c>
      <x:c r="C406" s="12" t="str">
        <x:v>Proposed to address</x:v>
      </x:c>
      <x:c r="D406" s="12" t="str">
        <x:v>Unknown</x:v>
      </x:c>
    </x:row>
    <x:row r="407">
      <x:c r="A407" s="12" t="str">
        <x:v>NEED-0119</x:v>
      </x:c>
      <x:c r="B407" s="12" t="str">
        <x:v>RSP-0406</x:v>
      </x:c>
      <x:c r="C407" s="12" t="str">
        <x:v>Proposed to address</x:v>
      </x:c>
      <x:c r="D407" s="12" t="str">
        <x:v>Unknown</x:v>
      </x:c>
    </x:row>
    <x:row r="408">
      <x:c r="A408" s="12" t="str">
        <x:v>NEED-0161</x:v>
      </x:c>
      <x:c r="B408" s="12" t="str">
        <x:v>RSP-0407</x:v>
      </x:c>
      <x:c r="C408" s="12" t="str">
        <x:v>Proposed to address</x:v>
      </x:c>
      <x:c r="D408" s="12" t="str">
        <x:v>Unknown</x:v>
      </x:c>
    </x:row>
    <x:row r="409">
      <x:c r="A409" s="12" t="str">
        <x:v>NEED-0152</x:v>
      </x:c>
      <x:c r="B409" s="12" t="str">
        <x:v>RSP-0408</x:v>
      </x:c>
      <x:c r="C409" s="12" t="str">
        <x:v>Proposed to address</x:v>
      </x:c>
      <x:c r="D409" s="12" t="str">
        <x:v>Unknown</x:v>
      </x:c>
    </x:row>
    <x:row r="410">
      <x:c r="A410" s="12" t="str">
        <x:v>NEED-0001</x:v>
      </x:c>
      <x:c r="B410" s="12" t="str">
        <x:v>RSP-0409</x:v>
      </x:c>
      <x:c r="C410" s="12" t="str">
        <x:v>Proposed to address</x:v>
      </x:c>
      <x:c r="D410" s="12" t="str">
        <x:v>Unknown</x:v>
      </x:c>
    </x:row>
    <x:row r="411">
      <x:c r="A411" s="12" t="str">
        <x:v>NEED-0058</x:v>
      </x:c>
      <x:c r="B411" s="12" t="str">
        <x:v>RSP-0410</x:v>
      </x:c>
      <x:c r="C411" s="12" t="str">
        <x:v>Proposed to address</x:v>
      </x:c>
      <x:c r="D411" s="12" t="str">
        <x:v>Unknown</x:v>
      </x:c>
    </x:row>
    <x:row r="412">
      <x:c r="A412" s="12" t="str">
        <x:v>NEED-0190</x:v>
      </x:c>
      <x:c r="B412" s="12" t="str">
        <x:v>RSP-0411</x:v>
      </x:c>
      <x:c r="C412" s="12" t="str">
        <x:v>Proposed to address</x:v>
      </x:c>
      <x:c r="D412" s="12" t="str">
        <x:v>Unknown</x:v>
      </x:c>
    </x:row>
    <x:row r="413">
      <x:c r="A413" s="12" t="str">
        <x:v>NEED-0123</x:v>
      </x:c>
      <x:c r="B413" s="12" t="str">
        <x:v>RSP-0412</x:v>
      </x:c>
      <x:c r="C413" s="12" t="str">
        <x:v>Proposed to address</x:v>
      </x:c>
      <x:c r="D413" s="12" t="str">
        <x:v>Unknown</x:v>
      </x:c>
    </x:row>
    <x:row r="414">
      <x:c r="A414" s="12" t="str">
        <x:v>NEED-0021</x:v>
      </x:c>
      <x:c r="B414" s="12" t="str">
        <x:v>RSP-0413</x:v>
      </x:c>
      <x:c r="C414" s="12" t="str">
        <x:v>Proposed to address</x:v>
      </x:c>
      <x:c r="D414" s="12" t="str">
        <x:v>Unknown</x:v>
      </x:c>
    </x:row>
    <x:row r="415">
      <x:c r="A415" s="12" t="str">
        <x:v>NEED-0121</x:v>
      </x:c>
      <x:c r="B415" s="12" t="str">
        <x:v>RSP-0414</x:v>
      </x:c>
      <x:c r="C415" s="12" t="str">
        <x:v>Proposed to address</x:v>
      </x:c>
      <x:c r="D415" s="12" t="str">
        <x:v>Unknown</x:v>
      </x:c>
    </x:row>
    <x:row r="416">
      <x:c r="A416" s="12" t="str">
        <x:v>NEED-0129</x:v>
      </x:c>
      <x:c r="B416" s="12" t="str">
        <x:v>RSP-0415</x:v>
      </x:c>
      <x:c r="C416" s="12" t="str">
        <x:v>Proposed to address</x:v>
      </x:c>
      <x:c r="D416" s="12" t="str">
        <x:v>Unknown</x:v>
      </x:c>
    </x:row>
    <x:row r="417">
      <x:c r="A417" s="12" t="str">
        <x:v>NEED-0095</x:v>
      </x:c>
      <x:c r="B417" s="12" t="str">
        <x:v>RSP-0416</x:v>
      </x:c>
      <x:c r="C417" s="12" t="str">
        <x:v>Proposed to address</x:v>
      </x:c>
      <x:c r="D417" s="12" t="str">
        <x:v>Unknown</x:v>
      </x:c>
    </x:row>
    <x:row r="418">
      <x:c r="A418" s="12" t="str">
        <x:v>NEED-0138</x:v>
      </x:c>
      <x:c r="B418" s="12" t="str">
        <x:v>RSP-0417</x:v>
      </x:c>
      <x:c r="C418" s="12" t="str">
        <x:v>Proposed to address</x:v>
      </x:c>
      <x:c r="D418" s="12" t="str">
        <x:v>Unknown</x:v>
      </x:c>
    </x:row>
    <x:row r="419">
      <x:c r="A419" s="12" t="str">
        <x:v>NEED-0142</x:v>
      </x:c>
      <x:c r="B419" s="12" t="str">
        <x:v>RSP-0418</x:v>
      </x:c>
      <x:c r="C419" s="12" t="str">
        <x:v>Proposed to address</x:v>
      </x:c>
      <x:c r="D419" s="12" t="str">
        <x:v>Unknown</x:v>
      </x:c>
    </x:row>
    <x:row r="420">
      <x:c r="A420" s="12" t="str">
        <x:v>NEED-0190</x:v>
      </x:c>
      <x:c r="B420" s="12" t="str">
        <x:v>RSP-0419</x:v>
      </x:c>
      <x:c r="C420" s="12" t="str">
        <x:v>Proposed to address</x:v>
      </x:c>
      <x:c r="D420" s="12" t="str">
        <x:v>Unknown</x:v>
      </x:c>
    </x:row>
    <x:row r="421">
      <x:c r="A421" s="12" t="str">
        <x:v>NEED-0027</x:v>
      </x:c>
      <x:c r="B421" s="12" t="str">
        <x:v>RSP-0420</x:v>
      </x:c>
      <x:c r="C421" s="12" t="str">
        <x:v>Proposed to address</x:v>
      </x:c>
      <x:c r="D421" s="12" t="str">
        <x:v>Unknown</x:v>
      </x:c>
    </x:row>
    <x:row r="422">
      <x:c r="A422" s="12" t="str">
        <x:v>NEED-0129</x:v>
      </x:c>
      <x:c r="B422" s="12" t="str">
        <x:v>RSP-0421</x:v>
      </x:c>
      <x:c r="C422" s="12" t="str">
        <x:v>Proposed to address</x:v>
      </x:c>
      <x:c r="D422" s="12" t="str">
        <x:v>Unknown</x:v>
      </x:c>
    </x:row>
    <x:row r="423">
      <x:c r="A423" s="12" t="str">
        <x:v>NEED-0085</x:v>
      </x:c>
      <x:c r="B423" s="12" t="str">
        <x:v>RSP-0422</x:v>
      </x:c>
      <x:c r="C423" s="12" t="str">
        <x:v>Proposed to address</x:v>
      </x:c>
      <x:c r="D423" s="12" t="str">
        <x:v>Unknown</x:v>
      </x:c>
    </x:row>
    <x:row r="424">
      <x:c r="A424" s="12" t="str">
        <x:v>NEED-0027</x:v>
      </x:c>
      <x:c r="B424" s="12" t="str">
        <x:v>RSP-0423</x:v>
      </x:c>
      <x:c r="C424" s="12" t="str">
        <x:v>Proposed to address</x:v>
      </x:c>
      <x:c r="D424" s="12" t="str">
        <x:v>Unknown</x:v>
      </x:c>
    </x:row>
    <x:row r="425">
      <x:c r="A425" s="12" t="str">
        <x:v>NEED-0123</x:v>
      </x:c>
      <x:c r="B425" s="12" t="str">
        <x:v>RSP-0424</x:v>
      </x:c>
      <x:c r="C425" s="12" t="str">
        <x:v>Proposed to address</x:v>
      </x:c>
      <x:c r="D425" s="12" t="str">
        <x:v>Unknown</x:v>
      </x:c>
    </x:row>
    <x:row r="426">
      <x:c r="A426" s="12" t="str">
        <x:v>NEED-0204</x:v>
      </x:c>
      <x:c r="B426" s="12" t="str">
        <x:v>RSP-0425</x:v>
      </x:c>
      <x:c r="C426" s="12" t="str">
        <x:v>Proposed to address</x:v>
      </x:c>
      <x:c r="D426" s="12" t="str">
        <x:v>Unknown</x:v>
      </x:c>
    </x:row>
    <x:row r="427">
      <x:c r="A427" s="12" t="str">
        <x:v>NEED-0144</x:v>
      </x:c>
      <x:c r="B427" s="12" t="str">
        <x:v>RSP-0426</x:v>
      </x:c>
      <x:c r="C427" s="12" t="str">
        <x:v>Proposed to address</x:v>
      </x:c>
      <x:c r="D427" s="12" t="str">
        <x:v>Unknown</x:v>
      </x:c>
    </x:row>
    <x:row r="428">
      <x:c r="A428" s="12" t="str">
        <x:v>NEED-0139</x:v>
      </x:c>
      <x:c r="B428" s="12" t="str">
        <x:v>RSP-0427</x:v>
      </x:c>
      <x:c r="C428" s="12" t="str">
        <x:v>Proposed to address</x:v>
      </x:c>
      <x:c r="D428" s="12" t="str">
        <x:v>Unknown</x:v>
      </x:c>
    </x:row>
    <x:row r="429">
      <x:c r="A429" s="12" t="str">
        <x:v>NEED-0114</x:v>
      </x:c>
      <x:c r="B429" s="12" t="str">
        <x:v>RSP-0428</x:v>
      </x:c>
      <x:c r="C429" s="12" t="str">
        <x:v>Proposed to address</x:v>
      </x:c>
      <x:c r="D429" s="12" t="str">
        <x:v>Unknown</x:v>
      </x:c>
    </x:row>
    <x:row r="430">
      <x:c r="A430" s="12" t="str">
        <x:v>NEED-0113</x:v>
      </x:c>
      <x:c r="B430" s="12" t="str">
        <x:v>RSP-0429</x:v>
      </x:c>
      <x:c r="C430" s="12" t="str">
        <x:v>Proposed to address</x:v>
      </x:c>
      <x:c r="D430" s="12" t="str">
        <x:v>Unknown</x:v>
      </x:c>
    </x:row>
    <x:row r="431">
      <x:c r="A431" s="12" t="str">
        <x:v>NEED-0113</x:v>
      </x:c>
      <x:c r="B431" s="12" t="str">
        <x:v>RSP-0430</x:v>
      </x:c>
      <x:c r="C431" s="12" t="str">
        <x:v>Proposed to address</x:v>
      </x:c>
      <x:c r="D431" s="12" t="str">
        <x:v>Unknown</x:v>
      </x:c>
    </x:row>
    <x:row r="432">
      <x:c r="A432" s="12" t="str">
        <x:v>NEED-0028</x:v>
      </x:c>
      <x:c r="B432" s="12" t="str">
        <x:v>RSP-0431</x:v>
      </x:c>
      <x:c r="C432" s="12" t="str">
        <x:v>Proposed to address</x:v>
      </x:c>
      <x:c r="D432" s="12" t="str">
        <x:v>Unknown</x:v>
      </x:c>
    </x:row>
    <x:row r="433">
      <x:c r="A433" s="12" t="str">
        <x:v>NEED-0113</x:v>
      </x:c>
      <x:c r="B433" s="12" t="str">
        <x:v>RSP-0432</x:v>
      </x:c>
      <x:c r="C433" s="12" t="str">
        <x:v>Proposed to address</x:v>
      </x:c>
      <x:c r="D433" s="12" t="str">
        <x:v>Unknown</x:v>
      </x:c>
    </x:row>
    <x:row r="434">
      <x:c r="A434" s="12" t="str">
        <x:v>NEED-0078</x:v>
      </x:c>
      <x:c r="B434" s="12" t="str">
        <x:v>RSP-0433</x:v>
      </x:c>
      <x:c r="C434" s="12" t="str">
        <x:v>Proposed to address</x:v>
      </x:c>
      <x:c r="D434" s="12" t="str">
        <x:v>Unknown</x:v>
      </x:c>
    </x:row>
    <x:row r="435">
      <x:c r="A435" s="12" t="str">
        <x:v>NEED-0126</x:v>
      </x:c>
      <x:c r="B435" s="12" t="str">
        <x:v>RSP-0434</x:v>
      </x:c>
      <x:c r="C435" s="12" t="str">
        <x:v>Proposed to address</x:v>
      </x:c>
      <x:c r="D435" s="12" t="str">
        <x:v>Unknown</x:v>
      </x:c>
    </x:row>
    <x:row r="436">
      <x:c r="A436" s="12" t="str">
        <x:v>NEED-0114</x:v>
      </x:c>
      <x:c r="B436" s="12" t="str">
        <x:v>RSP-0435</x:v>
      </x:c>
      <x:c r="C436" s="12" t="str">
        <x:v>Proposed to address</x:v>
      </x:c>
      <x:c r="D436" s="12" t="str">
        <x:v>Unknown</x:v>
      </x:c>
    </x:row>
    <x:row r="437">
      <x:c r="A437" s="12" t="str">
        <x:v>NEED-0114</x:v>
      </x:c>
      <x:c r="B437" s="12" t="str">
        <x:v>RSP-0436</x:v>
      </x:c>
      <x:c r="C437" s="12" t="str">
        <x:v>Proposed to address</x:v>
      </x:c>
      <x:c r="D437" s="12" t="str">
        <x:v>Unknown</x:v>
      </x:c>
    </x:row>
    <x:row r="438">
      <x:c r="A438" s="12" t="str">
        <x:v>NEED-0176</x:v>
      </x:c>
      <x:c r="B438" s="12" t="str">
        <x:v>RSP-0437</x:v>
      </x:c>
      <x:c r="C438" s="12" t="str">
        <x:v>Proposed to address</x:v>
      </x:c>
      <x:c r="D438" s="12" t="str">
        <x:v>Unknown</x:v>
      </x:c>
    </x:row>
    <x:row r="439">
      <x:c r="A439" s="12" t="str">
        <x:v>NEED-0115</x:v>
      </x:c>
      <x:c r="B439" s="12" t="str">
        <x:v>RSP-0438</x:v>
      </x:c>
      <x:c r="C439" s="12" t="str">
        <x:v>Proposed to address</x:v>
      </x:c>
      <x:c r="D439" s="12" t="str">
        <x:v>Unknown</x:v>
      </x:c>
    </x:row>
    <x:row r="440">
      <x:c r="A440" s="12" t="str">
        <x:v>NEED-0193</x:v>
      </x:c>
      <x:c r="B440" s="12" t="str">
        <x:v>RSP-0439</x:v>
      </x:c>
      <x:c r="C440" s="12" t="str">
        <x:v>Proposed to address</x:v>
      </x:c>
      <x:c r="D440" s="12" t="str">
        <x:v>Unknown</x:v>
      </x:c>
    </x:row>
    <x:row r="441">
      <x:c r="A441" s="12" t="str">
        <x:v>NEED-0089</x:v>
      </x:c>
      <x:c r="B441" s="12" t="str">
        <x:v>RSP-0440</x:v>
      </x:c>
      <x:c r="C441" s="12" t="str">
        <x:v>Proposed to address</x:v>
      </x:c>
      <x:c r="D441" s="12" t="str">
        <x:v>Unknown</x:v>
      </x:c>
    </x:row>
    <x:row r="442">
      <x:c r="A442" s="12" t="str">
        <x:v>NEED-0182</x:v>
      </x:c>
      <x:c r="B442" s="12" t="str">
        <x:v>RSP-0441</x:v>
      </x:c>
      <x:c r="C442" s="12" t="str">
        <x:v>Proposed to address</x:v>
      </x:c>
      <x:c r="D442" s="12" t="str">
        <x:v>Unknown</x:v>
      </x:c>
    </x:row>
    <x:row r="443">
      <x:c r="A443" s="12" t="str">
        <x:v>NEED-0119</x:v>
      </x:c>
      <x:c r="B443" s="12" t="str">
        <x:v>RSP-0442</x:v>
      </x:c>
      <x:c r="C443" s="12" t="str">
        <x:v>Proposed to address</x:v>
      </x:c>
      <x:c r="D443" s="12" t="str">
        <x:v>Unknown</x:v>
      </x:c>
    </x:row>
    <x:row r="444">
      <x:c r="A444" s="12" t="str">
        <x:v>NEED-0176</x:v>
      </x:c>
      <x:c r="B444" s="12" t="str">
        <x:v>RSP-0443</x:v>
      </x:c>
      <x:c r="C444" s="12" t="str">
        <x:v>Proposed to address</x:v>
      </x:c>
      <x:c r="D444" s="12" t="str">
        <x:v>Unknown</x:v>
      </x:c>
    </x:row>
    <x:row r="445">
      <x:c r="A445" s="12" t="str">
        <x:v>NEED-0126</x:v>
      </x:c>
      <x:c r="B445" s="12" t="str">
        <x:v>RSP-0444</x:v>
      </x:c>
      <x:c r="C445" s="12" t="str">
        <x:v>Proposed to address</x:v>
      </x:c>
      <x:c r="D445" s="12" t="str">
        <x:v>Unknown</x:v>
      </x:c>
    </x:row>
    <x:row r="446">
      <x:c r="A446" s="12" t="str">
        <x:v>NEED-0133</x:v>
      </x:c>
      <x:c r="B446" s="12" t="str">
        <x:v>RSP-0445</x:v>
      </x:c>
      <x:c r="C446" s="12" t="str">
        <x:v>Proposed to address</x:v>
      </x:c>
      <x:c r="D446" s="12" t="str">
        <x:v>Unknown</x:v>
      </x:c>
    </x:row>
    <x:row r="447">
      <x:c r="A447" s="12" t="str">
        <x:v>NEED-0017</x:v>
      </x:c>
      <x:c r="B447" s="12" t="str">
        <x:v>RSP-0446</x:v>
      </x:c>
      <x:c r="C447" s="12" t="str">
        <x:v>Proposed to address</x:v>
      </x:c>
      <x:c r="D447" s="12" t="str">
        <x:v>Unknown</x:v>
      </x:c>
    </x:row>
    <x:row r="448">
      <x:c r="A448" s="12" t="str">
        <x:v>NEED-0019</x:v>
      </x:c>
      <x:c r="B448" s="12" t="str">
        <x:v>RSP-0447</x:v>
      </x:c>
      <x:c r="C448" s="12" t="str">
        <x:v>Proposed to address</x:v>
      </x:c>
      <x:c r="D448" s="12" t="str">
        <x:v>Unknown</x:v>
      </x:c>
    </x:row>
    <x:row r="449">
      <x:c r="A449" s="12" t="str">
        <x:v>NEED-0188</x:v>
      </x:c>
      <x:c r="B449" s="12" t="str">
        <x:v>RSP-0448</x:v>
      </x:c>
      <x:c r="C449" s="12" t="str">
        <x:v>Proposed to address</x:v>
      </x:c>
      <x:c r="D449" s="12" t="str">
        <x:v>Unknown</x:v>
      </x:c>
    </x:row>
    <x:row r="450">
      <x:c r="A450" s="12" t="str">
        <x:v>NEED-0019</x:v>
      </x:c>
      <x:c r="B450" s="12" t="str">
        <x:v>RSP-0449</x:v>
      </x:c>
      <x:c r="C450" s="12" t="str">
        <x:v>Proposed to address</x:v>
      </x:c>
      <x:c r="D450" s="12" t="str">
        <x:v>Unknown</x:v>
      </x:c>
    </x:row>
    <x:row r="451">
      <x:c r="A451" s="12" t="str">
        <x:v>NEED-0133</x:v>
      </x:c>
      <x:c r="B451" s="12" t="str">
        <x:v>RSP-0450</x:v>
      </x:c>
      <x:c r="C451" s="12" t="str">
        <x:v>Proposed to address</x:v>
      </x:c>
      <x:c r="D451" s="12" t="str">
        <x:v>Unknown</x:v>
      </x:c>
    </x:row>
    <x:row r="452">
      <x:c r="A452" s="12" t="str">
        <x:v>NEED-0133</x:v>
      </x:c>
      <x:c r="B452" s="12" t="str">
        <x:v>RSP-0451</x:v>
      </x:c>
      <x:c r="C452" s="12" t="str">
        <x:v>Proposed to address</x:v>
      </x:c>
      <x:c r="D452" s="12" t="str">
        <x:v>Unknown</x:v>
      </x:c>
    </x:row>
    <x:row r="453">
      <x:c r="A453" s="12" t="str">
        <x:v>NEED-0073</x:v>
      </x:c>
      <x:c r="B453" s="12" t="str">
        <x:v>RSP-0452</x:v>
      </x:c>
      <x:c r="C453" s="12" t="str">
        <x:v>Proposed to address</x:v>
      </x:c>
      <x:c r="D453" s="12" t="str">
        <x:v>Unknown</x:v>
      </x:c>
    </x:row>
    <x:row r="454">
      <x:c r="A454" s="12" t="str">
        <x:v>NEED-0007</x:v>
      </x:c>
      <x:c r="B454" s="12" t="str">
        <x:v>RSP-0453</x:v>
      </x:c>
      <x:c r="C454" s="12" t="str">
        <x:v>Proposed to address</x:v>
      </x:c>
      <x:c r="D454" s="12" t="str">
        <x:v>Unknown</x:v>
      </x:c>
    </x:row>
    <x:row r="455">
      <x:c r="A455" s="12" t="str">
        <x:v>NEED-0052</x:v>
      </x:c>
      <x:c r="B455" s="12" t="str">
        <x:v>RSP-0454</x:v>
      </x:c>
      <x:c r="C455" s="12" t="str">
        <x:v>Proposed to address</x:v>
      </x:c>
      <x:c r="D455" s="12" t="str">
        <x:v>Unknown</x:v>
      </x:c>
    </x:row>
    <x:row r="456">
      <x:c r="A456" s="12" t="str">
        <x:v>NEED-0127</x:v>
      </x:c>
      <x:c r="B456" s="12" t="str">
        <x:v>RSP-0455</x:v>
      </x:c>
      <x:c r="C456" s="12" t="str">
        <x:v>Proposed to address</x:v>
      </x:c>
      <x:c r="D456" s="12" t="str">
        <x:v>Unknown</x:v>
      </x:c>
    </x:row>
    <x:row r="457">
      <x:c r="A457" s="12" t="str">
        <x:v>NEED-0125</x:v>
      </x:c>
      <x:c r="B457" s="12" t="str">
        <x:v>RSP-0456</x:v>
      </x:c>
      <x:c r="C457" s="12" t="str">
        <x:v>Proposed to address</x:v>
      </x:c>
      <x:c r="D457" s="12" t="str">
        <x:v>Unknown</x:v>
      </x:c>
    </x:row>
    <x:row r="458">
      <x:c r="A458" s="12" t="str">
        <x:v>NEED-0124</x:v>
      </x:c>
      <x:c r="B458" s="12" t="str">
        <x:v>RSP-0457</x:v>
      </x:c>
      <x:c r="C458" s="12" t="str">
        <x:v>Proposed to address</x:v>
      </x:c>
      <x:c r="D458" s="12" t="str">
        <x:v>Unknown</x:v>
      </x:c>
    </x:row>
    <x:row r="459">
      <x:c r="A459" s="12" t="str">
        <x:v>NEED-0007</x:v>
      </x:c>
      <x:c r="B459" s="12" t="str">
        <x:v>RSP-0458</x:v>
      </x:c>
      <x:c r="C459" s="12" t="str">
        <x:v>Proposed to address</x:v>
      </x:c>
      <x:c r="D459" s="12" t="str">
        <x:v>Unknown</x:v>
      </x:c>
    </x:row>
    <x:row r="460">
      <x:c r="A460" s="12" t="str">
        <x:v>NEED-0085</x:v>
      </x:c>
      <x:c r="B460" s="12" t="str">
        <x:v>RSP-0459</x:v>
      </x:c>
      <x:c r="C460" s="12" t="str">
        <x:v>Proposed to address</x:v>
      </x:c>
      <x:c r="D460" s="12" t="str">
        <x:v>Unknown</x:v>
      </x:c>
    </x:row>
    <x:row r="461">
      <x:c r="A461" s="12" t="str">
        <x:v>NEED-0132</x:v>
      </x:c>
      <x:c r="B461" s="12" t="str">
        <x:v>RSP-0460</x:v>
      </x:c>
      <x:c r="C461" s="12" t="str">
        <x:v>Proposed to address</x:v>
      </x:c>
      <x:c r="D461" s="12" t="str">
        <x:v>Unknown</x:v>
      </x:c>
    </x:row>
    <x:row r="462">
      <x:c r="A462" s="12" t="str">
        <x:v>NEED-0023</x:v>
      </x:c>
      <x:c r="B462" s="12" t="str">
        <x:v>RSP-0461</x:v>
      </x:c>
      <x:c r="C462" s="12" t="str">
        <x:v>Proposed to address</x:v>
      </x:c>
      <x:c r="D462" s="12" t="str">
        <x:v>Unknown</x:v>
      </x:c>
    </x:row>
    <x:row r="463">
      <x:c r="A463" s="12" t="str">
        <x:v>NEED-0154</x:v>
      </x:c>
      <x:c r="B463" s="12" t="str">
        <x:v>RSP-0462</x:v>
      </x:c>
      <x:c r="C463" s="12" t="str">
        <x:v>Proposed to address</x:v>
      </x:c>
      <x:c r="D463" s="12" t="str">
        <x:v>Unknown</x:v>
      </x:c>
    </x:row>
    <x:row r="464">
      <x:c r="A464" s="12" t="str">
        <x:v>NEED-0121</x:v>
      </x:c>
      <x:c r="B464" s="12" t="str">
        <x:v>RSP-0463</x:v>
      </x:c>
      <x:c r="C464" s="12" t="str">
        <x:v>Proposed to address</x:v>
      </x:c>
      <x:c r="D464" s="12" t="str">
        <x:v>Unknown</x:v>
      </x:c>
    </x:row>
    <x:row r="465">
      <x:c r="A465" s="12" t="str">
        <x:v>NEED-0196</x:v>
      </x:c>
      <x:c r="B465" s="12" t="str">
        <x:v>RSP-0464</x:v>
      </x:c>
      <x:c r="C465" s="12" t="str">
        <x:v>Proposed to address</x:v>
      </x:c>
      <x:c r="D465" s="12" t="str">
        <x:v>Unknown</x:v>
      </x:c>
    </x:row>
    <x:row r="466">
      <x:c r="A466" s="12" t="str">
        <x:v>NEED-0167</x:v>
      </x:c>
      <x:c r="B466" s="12" t="str">
        <x:v>RSP-0465</x:v>
      </x:c>
      <x:c r="C466" s="12" t="str">
        <x:v>Proposed to address</x:v>
      </x:c>
      <x:c r="D466" s="12" t="str">
        <x:v>Unknown</x:v>
      </x:c>
    </x:row>
    <x:row r="467">
      <x:c r="A467" s="12" t="str">
        <x:v>NEED-0204</x:v>
      </x:c>
      <x:c r="B467" s="12" t="str">
        <x:v>RSP-0466</x:v>
      </x:c>
      <x:c r="C467" s="12" t="str">
        <x:v>Proposed to address</x:v>
      </x:c>
      <x:c r="D467" s="12" t="str">
        <x:v>Unknown</x:v>
      </x:c>
    </x:row>
    <x:row r="468">
      <x:c r="A468" s="12" t="str">
        <x:v>NEED-0169</x:v>
      </x:c>
      <x:c r="B468" s="12" t="str">
        <x:v>RSP-0467</x:v>
      </x:c>
      <x:c r="C468" s="12" t="str">
        <x:v>Proposed to address</x:v>
      </x:c>
      <x:c r="D468" s="12" t="str">
        <x:v>Unknown</x:v>
      </x:c>
    </x:row>
    <x:row r="469">
      <x:c r="A469" s="12" t="str">
        <x:v>NEED-0125</x:v>
      </x:c>
      <x:c r="B469" s="12" t="str">
        <x:v>RSP-0468</x:v>
      </x:c>
      <x:c r="C469" s="12" t="str">
        <x:v>Proposed to address</x:v>
      </x:c>
      <x:c r="D469" s="12" t="str">
        <x:v>Unknown</x:v>
      </x:c>
    </x:row>
    <x:row r="470">
      <x:c r="A470" s="12" t="str">
        <x:v>NEED-0029</x:v>
      </x:c>
      <x:c r="B470" s="12" t="str">
        <x:v>RSP-0469</x:v>
      </x:c>
      <x:c r="C470" s="12" t="str">
        <x:v>Proposed to address</x:v>
      </x:c>
      <x:c r="D470" s="12" t="str">
        <x:v>Unknown</x:v>
      </x:c>
    </x:row>
    <x:row r="471">
      <x:c r="A471" s="12" t="str">
        <x:v>NEED-0129</x:v>
      </x:c>
      <x:c r="B471" s="12" t="str">
        <x:v>RSP-0470</x:v>
      </x:c>
      <x:c r="C471" s="12" t="str">
        <x:v>Proposed to address</x:v>
      </x:c>
      <x:c r="D471" s="12" t="str">
        <x:v>Unknown</x:v>
      </x:c>
    </x:row>
    <x:row r="472">
      <x:c r="A472" s="12" t="str">
        <x:v>NEED-0192</x:v>
      </x:c>
      <x:c r="B472" s="12" t="str">
        <x:v>RSP-0471</x:v>
      </x:c>
      <x:c r="C472" s="12" t="str">
        <x:v>Proposed to address</x:v>
      </x:c>
      <x:c r="D472" s="12" t="str">
        <x:v>Unknown</x:v>
      </x:c>
    </x:row>
    <x:row r="473">
      <x:c r="A473" s="12" t="str">
        <x:v>NEED-0060</x:v>
      </x:c>
      <x:c r="B473" s="12" t="str">
        <x:v>RSP-0472</x:v>
      </x:c>
      <x:c r="C473" s="12" t="str">
        <x:v>Proposed to address</x:v>
      </x:c>
      <x:c r="D473" s="12" t="str">
        <x:v>Unknown</x:v>
      </x:c>
    </x:row>
    <x:row r="474">
      <x:c r="A474" s="12" t="str">
        <x:v>NEED-0148</x:v>
      </x:c>
      <x:c r="B474" s="12" t="str">
        <x:v>RSP-0473</x:v>
      </x:c>
      <x:c r="C474" s="12" t="str">
        <x:v>Proposed to address</x:v>
      </x:c>
      <x:c r="D474" s="12" t="str">
        <x:v>Unknown</x:v>
      </x:c>
    </x:row>
    <x:row r="475">
      <x:c r="A475" s="12" t="str">
        <x:v>NEED-0124</x:v>
      </x:c>
      <x:c r="B475" s="12" t="str">
        <x:v>RSP-0474</x:v>
      </x:c>
      <x:c r="C475" s="12" t="str">
        <x:v>Proposed to address</x:v>
      </x:c>
      <x:c r="D475" s="12" t="str">
        <x:v>Unknown</x:v>
      </x:c>
    </x:row>
    <x:row r="476">
      <x:c r="A476" s="12" t="str">
        <x:v>NEED-0031</x:v>
      </x:c>
      <x:c r="B476" s="12" t="str">
        <x:v>RSP-0475</x:v>
      </x:c>
      <x:c r="C476" s="12" t="str">
        <x:v>Proposed to address</x:v>
      </x:c>
      <x:c r="D476" s="12" t="str">
        <x:v>Unknown</x:v>
      </x:c>
    </x:row>
    <x:row r="477">
      <x:c r="A477" s="12" t="str">
        <x:v>NEED-0140</x:v>
      </x:c>
      <x:c r="B477" s="12" t="str">
        <x:v>RSP-0476</x:v>
      </x:c>
      <x:c r="C477" s="12" t="str">
        <x:v>Proposed to address</x:v>
      </x:c>
      <x:c r="D477" s="12" t="str">
        <x:v>Unknown</x:v>
      </x:c>
    </x:row>
    <x:row r="478">
      <x:c r="A478" s="12" t="str">
        <x:v>NEED-0106</x:v>
      </x:c>
      <x:c r="B478" s="12" t="str">
        <x:v>RSP-0477</x:v>
      </x:c>
      <x:c r="C478" s="12" t="str">
        <x:v>Proposed to address</x:v>
      </x:c>
      <x:c r="D478" s="12" t="str">
        <x:v>Unknown</x:v>
      </x:c>
    </x:row>
    <x:row r="479">
      <x:c r="A479" s="12" t="str">
        <x:v>NEED-0170</x:v>
      </x:c>
      <x:c r="B479" s="12" t="str">
        <x:v>RSP-0478</x:v>
      </x:c>
      <x:c r="C479" s="12" t="str">
        <x:v>Proposed to address</x:v>
      </x:c>
      <x:c r="D479" s="12" t="str">
        <x:v>Unknown</x:v>
      </x:c>
    </x:row>
    <x:row r="480">
      <x:c r="A480" s="12" t="str">
        <x:v>NEED-0037</x:v>
      </x:c>
      <x:c r="B480" s="12" t="str">
        <x:v>RSP-0479</x:v>
      </x:c>
      <x:c r="C480" s="12" t="str">
        <x:v>Proposed to address</x:v>
      </x:c>
      <x:c r="D480" s="12" t="str">
        <x:v>Unknown</x:v>
      </x:c>
    </x:row>
    <x:row r="481">
      <x:c r="A481" s="12" t="str">
        <x:v>NEED-0140</x:v>
      </x:c>
      <x:c r="B481" s="12" t="str">
        <x:v>RSP-0480</x:v>
      </x:c>
      <x:c r="C481" s="12" t="str">
        <x:v>Proposed to address</x:v>
      </x:c>
      <x:c r="D481" s="12" t="str">
        <x:v>Unknown</x:v>
      </x:c>
    </x:row>
    <x:row r="482">
      <x:c r="A482" s="12" t="str">
        <x:v>NEED-0009</x:v>
      </x:c>
      <x:c r="B482" s="12" t="str">
        <x:v>RSP-0481</x:v>
      </x:c>
      <x:c r="C482" s="12" t="str">
        <x:v>Proposed to address</x:v>
      </x:c>
      <x:c r="D482" s="12" t="str">
        <x:v>Unknown</x:v>
      </x:c>
    </x:row>
    <x:row r="483">
      <x:c r="A483" s="12" t="str">
        <x:v>NEED-0050</x:v>
      </x:c>
      <x:c r="B483" s="12" t="str">
        <x:v>RSP-0482</x:v>
      </x:c>
      <x:c r="C483" s="12" t="str">
        <x:v>Proposed to address</x:v>
      </x:c>
      <x:c r="D483" s="12" t="str">
        <x:v>Unknown</x:v>
      </x:c>
    </x:row>
    <x:row r="484">
      <x:c r="A484" s="12" t="str">
        <x:v>NEED-0129</x:v>
      </x:c>
      <x:c r="B484" s="12" t="str">
        <x:v>RSP-0483</x:v>
      </x:c>
      <x:c r="C484" s="12" t="str">
        <x:v>Proposed to address</x:v>
      </x:c>
      <x:c r="D484" s="12" t="str">
        <x:v>Unknown</x:v>
      </x:c>
    </x:row>
    <x:row r="485">
      <x:c r="A485" s="12" t="str">
        <x:v>NEED-0082</x:v>
      </x:c>
      <x:c r="B485" s="12" t="str">
        <x:v>RSP-0484</x:v>
      </x:c>
      <x:c r="C485" s="12" t="str">
        <x:v>Proposed to address</x:v>
      </x:c>
      <x:c r="D485" s="12" t="str">
        <x:v>Unknown</x:v>
      </x:c>
    </x:row>
    <x:row r="486">
      <x:c r="A486" s="12" t="str">
        <x:v>NEED-0082</x:v>
      </x:c>
      <x:c r="B486" s="12" t="str">
        <x:v>RSP-0485</x:v>
      </x:c>
      <x:c r="C486" s="12" t="str">
        <x:v>Proposed to address</x:v>
      </x:c>
      <x:c r="D486" s="12" t="str">
        <x:v>Unknown</x:v>
      </x:c>
    </x:row>
    <x:row r="487">
      <x:c r="A487" s="12" t="str">
        <x:v>NEED-0034</x:v>
      </x:c>
      <x:c r="B487" s="12" t="str">
        <x:v>RSP-0486</x:v>
      </x:c>
      <x:c r="C487" s="12" t="str">
        <x:v>Proposed to address</x:v>
      </x:c>
      <x:c r="D487" s="12" t="str">
        <x:v>Unknown</x:v>
      </x:c>
    </x:row>
    <x:row r="488">
      <x:c r="A488" s="12" t="str">
        <x:v>NEED-0021</x:v>
      </x:c>
      <x:c r="B488" s="12" t="str">
        <x:v>RSP-0487</x:v>
      </x:c>
      <x:c r="C488" s="12" t="str">
        <x:v>Proposed to address</x:v>
      </x:c>
      <x:c r="D488" s="12" t="str">
        <x:v>Unknown</x:v>
      </x:c>
    </x:row>
    <x:row r="489">
      <x:c r="A489" s="12" t="str">
        <x:v>NEED-0021</x:v>
      </x:c>
      <x:c r="B489" s="12" t="str">
        <x:v>RSP-0488</x:v>
      </x:c>
      <x:c r="C489" s="12" t="str">
        <x:v>Proposed to address</x:v>
      </x:c>
      <x:c r="D489" s="12" t="str">
        <x:v>Unknown</x:v>
      </x:c>
    </x:row>
    <x:row r="490">
      <x:c r="A490" s="12" t="str">
        <x:v>NEED-0160</x:v>
      </x:c>
      <x:c r="B490" s="12" t="str">
        <x:v>RSP-0489</x:v>
      </x:c>
      <x:c r="C490" s="12" t="str">
        <x:v>Proposed to address</x:v>
      </x:c>
      <x:c r="D490" s="12" t="str">
        <x:v>Unknown</x:v>
      </x:c>
    </x:row>
    <x:row r="491">
      <x:c r="A491" s="12" t="str">
        <x:v>NEED-0104</x:v>
      </x:c>
      <x:c r="B491" s="12" t="str">
        <x:v>RSP-0490</x:v>
      </x:c>
      <x:c r="C491" s="12" t="str">
        <x:v>Proposed to address</x:v>
      </x:c>
      <x:c r="D491" s="12" t="str">
        <x:v>Unknown</x:v>
      </x:c>
    </x:row>
    <x:row r="492">
      <x:c r="A492" s="12" t="str">
        <x:v>NEED-0049</x:v>
      </x:c>
      <x:c r="B492" s="12" t="str">
        <x:v>RSP-0491</x:v>
      </x:c>
      <x:c r="C492" s="12" t="str">
        <x:v>Proposed to address</x:v>
      </x:c>
      <x:c r="D492" s="12" t="str">
        <x:v>Unknown</x:v>
      </x:c>
    </x:row>
    <x:row r="493">
      <x:c r="A493" s="12" t="str">
        <x:v>NEED-0053</x:v>
      </x:c>
      <x:c r="B493" s="12" t="str">
        <x:v>RSP-0492</x:v>
      </x:c>
      <x:c r="C493" s="12" t="str">
        <x:v>Proposed to address</x:v>
      </x:c>
      <x:c r="D493" s="12" t="str">
        <x:v>Unknown</x:v>
      </x:c>
    </x:row>
    <x:row r="494">
      <x:c r="A494" s="12" t="str">
        <x:v>NEED-0133</x:v>
      </x:c>
      <x:c r="B494" s="12" t="str">
        <x:v>RSP-0493</x:v>
      </x:c>
      <x:c r="C494" s="12" t="str">
        <x:v>Proposed to address</x:v>
      </x:c>
      <x:c r="D494" s="12" t="str">
        <x:v>Unknown</x:v>
      </x:c>
    </x:row>
    <x:row r="495">
      <x:c r="A495" s="12" t="str">
        <x:v>NEED-0008</x:v>
      </x:c>
      <x:c r="B495" s="12" t="str">
        <x:v>RSP-0494</x:v>
      </x:c>
      <x:c r="C495" s="12" t="str">
        <x:v>Proposed to address</x:v>
      </x:c>
      <x:c r="D495" s="12" t="str">
        <x:v>Unknown</x:v>
      </x:c>
    </x:row>
    <x:row r="496">
      <x:c r="A496" s="12" t="str">
        <x:v>NEED-0213</x:v>
      </x:c>
      <x:c r="B496" s="12" t="str">
        <x:v>RSP-0495</x:v>
      </x:c>
      <x:c r="C496" s="12" t="str">
        <x:v>Proposed to address</x:v>
      </x:c>
      <x:c r="D496" s="12" t="str">
        <x:v>Unknown</x:v>
      </x:c>
    </x:row>
    <x:row r="497">
      <x:c r="A497" s="12" t="str">
        <x:v>NEED-0175</x:v>
      </x:c>
      <x:c r="B497" s="12" t="str">
        <x:v>RSP-0496</x:v>
      </x:c>
      <x:c r="C497" s="12" t="str">
        <x:v>Proposed to address</x:v>
      </x:c>
      <x:c r="D497" s="12" t="str">
        <x:v>Unknown</x:v>
      </x:c>
    </x:row>
    <x:row r="498">
      <x:c r="A498" s="12" t="str">
        <x:v>NEED-0005</x:v>
      </x:c>
      <x:c r="B498" s="12" t="str">
        <x:v>RSP-0497</x:v>
      </x:c>
      <x:c r="C498" s="12" t="str">
        <x:v>Proposed to address</x:v>
      </x:c>
      <x:c r="D498" s="12" t="str">
        <x:v>Unknown</x:v>
      </x:c>
    </x:row>
    <x:row r="499">
      <x:c r="A499" s="12" t="str">
        <x:v>NEED-0007</x:v>
      </x:c>
      <x:c r="B499" s="12" t="str">
        <x:v>RSP-0498</x:v>
      </x:c>
      <x:c r="C499" s="12" t="str">
        <x:v>Proposed to address</x:v>
      </x:c>
      <x:c r="D499" s="12" t="str">
        <x:v>Unknown</x:v>
      </x:c>
    </x:row>
    <x:row r="500">
      <x:c r="A500" s="12" t="str">
        <x:v>NEED-0175</x:v>
      </x:c>
      <x:c r="B500" s="12" t="str">
        <x:v>RSP-0499</x:v>
      </x:c>
      <x:c r="C500" s="12" t="str">
        <x:v>Proposed to address</x:v>
      </x:c>
      <x:c r="D500" s="12" t="str">
        <x:v>Unknown</x:v>
      </x:c>
    </x:row>
    <x:row r="501">
      <x:c r="A501" s="12" t="str">
        <x:v>NEED-0022</x:v>
      </x:c>
      <x:c r="B501" s="12" t="str">
        <x:v>RSP-0500</x:v>
      </x:c>
      <x:c r="C501" s="12" t="str">
        <x:v>Proposed to address</x:v>
      </x:c>
      <x:c r="D501" s="12" t="str">
        <x:v>Unknown</x:v>
      </x:c>
    </x:row>
    <x:row r="502">
      <x:c r="A502" s="12" t="str">
        <x:v>NEED-0003</x:v>
      </x:c>
      <x:c r="B502" s="12" t="str">
        <x:v>RSP-0501</x:v>
      </x:c>
      <x:c r="C502" s="12" t="str">
        <x:v>Proposed to address</x:v>
      </x:c>
      <x:c r="D502" s="12" t="str">
        <x:v>Unknown</x:v>
      </x:c>
    </x:row>
    <x:row r="503">
      <x:c r="A503" s="12" t="str">
        <x:v>NEED-0177</x:v>
      </x:c>
      <x:c r="B503" s="12" t="str">
        <x:v>RSP-0502</x:v>
      </x:c>
      <x:c r="C503" s="12" t="str">
        <x:v>Proposed to address</x:v>
      </x:c>
      <x:c r="D503" s="12" t="str">
        <x:v>Unknown</x:v>
      </x:c>
    </x:row>
    <x:row r="504">
      <x:c r="A504" s="12" t="str">
        <x:v>NEED-0194</x:v>
      </x:c>
      <x:c r="B504" s="12" t="str">
        <x:v>RSP-0503</x:v>
      </x:c>
      <x:c r="C504" s="12" t="str">
        <x:v>Proposed to address</x:v>
      </x:c>
      <x:c r="D504" s="12" t="str">
        <x:v>Unknown</x:v>
      </x:c>
    </x:row>
    <x:row r="505">
      <x:c r="A505" s="12" t="str">
        <x:v>NEED-0175</x:v>
      </x:c>
      <x:c r="B505" s="12" t="str">
        <x:v>RSP-0504</x:v>
      </x:c>
      <x:c r="C505" s="12" t="str">
        <x:v>Proposed to address</x:v>
      </x:c>
      <x:c r="D505" s="12" t="str">
        <x:v>Unknown</x:v>
      </x:c>
    </x:row>
    <x:row r="506">
      <x:c r="A506" s="12" t="str">
        <x:v>NEED-0074</x:v>
      </x:c>
      <x:c r="B506" s="12" t="str">
        <x:v>RSP-0505</x:v>
      </x:c>
      <x:c r="C506" s="12" t="str">
        <x:v>Proposed to address</x:v>
      </x:c>
      <x:c r="D506" s="12" t="str">
        <x:v>Unknown</x:v>
      </x:c>
    </x:row>
    <x:row r="507">
      <x:c r="A507" s="12" t="str">
        <x:v>NEED-0040</x:v>
      </x:c>
      <x:c r="B507" s="12" t="str">
        <x:v>RSP-0506</x:v>
      </x:c>
      <x:c r="C507" s="12" t="str">
        <x:v>Proposed to address</x:v>
      </x:c>
      <x:c r="D507" s="12" t="str">
        <x:v>Unknown</x:v>
      </x:c>
    </x:row>
    <x:row r="508">
      <x:c r="A508" s="12" t="str">
        <x:v>NEED-0007</x:v>
      </x:c>
      <x:c r="B508" s="12" t="str">
        <x:v>RSP-0507</x:v>
      </x:c>
      <x:c r="C508" s="12" t="str">
        <x:v>Proposed to address</x:v>
      </x:c>
      <x:c r="D508" s="12" t="str">
        <x:v>Unknown</x:v>
      </x:c>
    </x:row>
    <x:row r="509">
      <x:c r="A509" s="12" t="str">
        <x:v>NEED-0028</x:v>
      </x:c>
      <x:c r="B509" s="12" t="str">
        <x:v>RSP-0508</x:v>
      </x:c>
      <x:c r="C509" s="12" t="str">
        <x:v>Proposed to address</x:v>
      </x:c>
      <x:c r="D509" s="12" t="str">
        <x:v>Unknown</x:v>
      </x:c>
    </x:row>
    <x:row r="510">
      <x:c r="A510" s="12" t="str">
        <x:v>NEED-0005</x:v>
      </x:c>
      <x:c r="B510" s="12" t="str">
        <x:v>RSP-0509</x:v>
      </x:c>
      <x:c r="C510" s="12" t="str">
        <x:v>Proposed to address</x:v>
      </x:c>
      <x:c r="D510" s="12" t="str">
        <x:v>Unknown</x:v>
      </x:c>
    </x:row>
    <x:row r="511">
      <x:c r="A511" s="12" t="str">
        <x:v>NEED-0087</x:v>
      </x:c>
      <x:c r="B511" s="12" t="str">
        <x:v>RSP-0510</x:v>
      </x:c>
      <x:c r="C511" s="12" t="str">
        <x:v>Proposed to address</x:v>
      </x:c>
      <x:c r="D511" s="12" t="str">
        <x:v>Unknown</x:v>
      </x:c>
    </x:row>
    <x:row r="512">
      <x:c r="A512" s="12" t="str">
        <x:v>NEED-0117</x:v>
      </x:c>
      <x:c r="B512" s="12" t="str">
        <x:v>RSP-0511</x:v>
      </x:c>
      <x:c r="C512" s="12" t="str">
        <x:v>Proposed to address</x:v>
      </x:c>
      <x:c r="D512" s="12" t="str">
        <x:v>Unknown</x:v>
      </x:c>
    </x:row>
    <x:row r="513">
      <x:c r="A513" s="12" t="str">
        <x:v>NEED-0001</x:v>
      </x:c>
      <x:c r="B513" s="12" t="str">
        <x:v>RSP-0512</x:v>
      </x:c>
      <x:c r="C513" s="12" t="str">
        <x:v>Proposed to address</x:v>
      </x:c>
      <x:c r="D513" s="12" t="str">
        <x:v>Unknown</x:v>
      </x:c>
    </x:row>
    <x:row r="514">
      <x:c r="A514" s="12" t="str">
        <x:v>NEED-0119</x:v>
      </x:c>
      <x:c r="B514" s="12" t="str">
        <x:v>RSP-0513</x:v>
      </x:c>
      <x:c r="C514" s="12" t="str">
        <x:v>Proposed to address</x:v>
      </x:c>
      <x:c r="D514" s="12" t="str">
        <x:v>Unknown</x:v>
      </x:c>
    </x:row>
    <x:row r="515">
      <x:c r="A515" s="12" t="str">
        <x:v>NEED-0176</x:v>
      </x:c>
      <x:c r="B515" s="12" t="str">
        <x:v>RSP-0514</x:v>
      </x:c>
      <x:c r="C515" s="12" t="str">
        <x:v>Proposed to address</x:v>
      </x:c>
      <x:c r="D515" s="12" t="str">
        <x:v>Unknown</x:v>
      </x:c>
    </x:row>
    <x:row r="516">
      <x:c r="A516" s="12" t="str">
        <x:v>NEED-0086</x:v>
      </x:c>
      <x:c r="B516" s="12" t="str">
        <x:v>RSP-0515</x:v>
      </x:c>
      <x:c r="C516" s="12" t="str">
        <x:v>Proposed to address</x:v>
      </x:c>
      <x:c r="D516" s="12" t="str">
        <x:v>Unknown</x:v>
      </x:c>
    </x:row>
    <x:row r="517">
      <x:c r="A517" s="12" t="str">
        <x:v>NEED-0114</x:v>
      </x:c>
      <x:c r="B517" s="12" t="str">
        <x:v>RSP-0516</x:v>
      </x:c>
      <x:c r="C517" s="12" t="str">
        <x:v>Proposed to address</x:v>
      </x:c>
      <x:c r="D517" s="12" t="str">
        <x:v>Unknown</x:v>
      </x:c>
    </x:row>
    <x:row r="518">
      <x:c r="A518" s="12" t="str">
        <x:v>NEED-0126</x:v>
      </x:c>
      <x:c r="B518" s="12" t="str">
        <x:v>RSP-0517</x:v>
      </x:c>
      <x:c r="C518" s="12" t="str">
        <x:v>Proposed to address</x:v>
      </x:c>
      <x:c r="D518" s="12" t="str">
        <x:v>Unknown</x:v>
      </x:c>
    </x:row>
    <x:row r="519">
      <x:c r="A519" s="12" t="str">
        <x:v>NEED-0092</x:v>
      </x:c>
      <x:c r="B519" s="12" t="str">
        <x:v>RSP-0518</x:v>
      </x:c>
      <x:c r="C519" s="12" t="str">
        <x:v>Proposed to address</x:v>
      </x:c>
      <x:c r="D519" s="12" t="str">
        <x:v>Unknown</x:v>
      </x:c>
    </x:row>
    <x:row r="520">
      <x:c r="A520" s="12" t="str">
        <x:v>NEED-0200</x:v>
      </x:c>
      <x:c r="B520" s="12" t="str">
        <x:v>RSP-0519</x:v>
      </x:c>
      <x:c r="C520" s="12" t="str">
        <x:v>Proposed to address</x:v>
      </x:c>
      <x:c r="D520" s="12" t="str">
        <x:v>Unknown</x:v>
      </x:c>
    </x:row>
    <x:row r="521">
      <x:c r="A521" s="12" t="str">
        <x:v>NEED-0176</x:v>
      </x:c>
      <x:c r="B521" s="12" t="str">
        <x:v>RSP-0520</x:v>
      </x:c>
      <x:c r="C521" s="12" t="str">
        <x:v>Proposed to address</x:v>
      </x:c>
      <x:c r="D521" s="12" t="str">
        <x:v>Unknown</x:v>
      </x:c>
    </x:row>
    <x:row r="522">
      <x:c r="A522" s="12" t="str">
        <x:v>NEED-0117</x:v>
      </x:c>
      <x:c r="B522" s="12" t="str">
        <x:v>RSP-0521</x:v>
      </x:c>
      <x:c r="C522" s="12" t="str">
        <x:v>Proposed to address</x:v>
      </x:c>
      <x:c r="D522" s="12" t="str">
        <x:v>Unknown</x:v>
      </x:c>
    </x:row>
    <x:row r="523">
      <x:c r="A523" s="12" t="str">
        <x:v>NEED-0182</x:v>
      </x:c>
      <x:c r="B523" s="12" t="str">
        <x:v>RSP-0522</x:v>
      </x:c>
      <x:c r="C523" s="12" t="str">
        <x:v>Proposed to address</x:v>
      </x:c>
      <x:c r="D523" s="12" t="str">
        <x:v>Unknown</x:v>
      </x:c>
    </x:row>
    <x:row r="524">
      <x:c r="A524" s="12" t="str">
        <x:v>NEED-0072</x:v>
      </x:c>
      <x:c r="B524" s="12" t="str">
        <x:v>RSP-0523</x:v>
      </x:c>
      <x:c r="C524" s="12" t="str">
        <x:v>Proposed to address</x:v>
      </x:c>
      <x:c r="D524" s="12" t="str">
        <x:v>Unknown</x:v>
      </x:c>
    </x:row>
    <x:row r="525">
      <x:c r="A525" s="12" t="str">
        <x:v>NEED-0176</x:v>
      </x:c>
      <x:c r="B525" s="12" t="str">
        <x:v>RSP-0524</x:v>
      </x:c>
      <x:c r="C525" s="12" t="str">
        <x:v>Proposed to address</x:v>
      </x:c>
      <x:c r="D525" s="12" t="str">
        <x:v>Unknown</x:v>
      </x:c>
    </x:row>
    <x:row r="526">
      <x:c r="A526" s="12" t="str">
        <x:v>NEED-0127</x:v>
      </x:c>
      <x:c r="B526" s="12" t="str">
        <x:v>RSP-0525</x:v>
      </x:c>
      <x:c r="C526" s="12" t="str">
        <x:v>Proposed to address</x:v>
      </x:c>
      <x:c r="D526" s="12" t="str">
        <x:v>Unknown</x:v>
      </x:c>
    </x:row>
    <x:row r="527">
      <x:c r="A527" s="12" t="str">
        <x:v>NEED-0001</x:v>
      </x:c>
      <x:c r="B527" s="12" t="str">
        <x:v>RSP-0526</x:v>
      </x:c>
      <x:c r="C527" s="12" t="str">
        <x:v>Proposed to address</x:v>
      </x:c>
      <x:c r="D527" s="12" t="str">
        <x:v>Unknown</x:v>
      </x:c>
    </x:row>
    <x:row r="528">
      <x:c r="A528" s="12" t="str">
        <x:v>NEED-0127</x:v>
      </x:c>
      <x:c r="B528" s="12" t="str">
        <x:v>RSP-0527</x:v>
      </x:c>
      <x:c r="C528" s="12" t="str">
        <x:v>Proposed to address</x:v>
      </x:c>
      <x:c r="D528" s="12" t="str">
        <x:v>Unknown</x:v>
      </x:c>
    </x:row>
    <x:row r="529">
      <x:c r="A529" s="12" t="str">
        <x:v>NEED-0017</x:v>
      </x:c>
      <x:c r="B529" s="12" t="str">
        <x:v>RSP-0528</x:v>
      </x:c>
      <x:c r="C529" s="12" t="str">
        <x:v>Proposed to address</x:v>
      </x:c>
      <x:c r="D529" s="12" t="str">
        <x:v>Unknown</x:v>
      </x:c>
    </x:row>
    <x:row r="530">
      <x:c r="A530" s="12" t="str">
        <x:v>NEED-0019</x:v>
      </x:c>
      <x:c r="B530" s="12" t="str">
        <x:v>RSP-0529</x:v>
      </x:c>
      <x:c r="C530" s="12" t="str">
        <x:v>Proposed to address</x:v>
      </x:c>
      <x:c r="D530" s="12" t="str">
        <x:v>Unknown</x:v>
      </x:c>
    </x:row>
    <x:row r="531">
      <x:c r="A531" s="12" t="str">
        <x:v>NEED-0010</x:v>
      </x:c>
      <x:c r="B531" s="12" t="str">
        <x:v>RSP-0530</x:v>
      </x:c>
      <x:c r="C531" s="12" t="str">
        <x:v>Proposed to address</x:v>
      </x:c>
      <x:c r="D531" s="12" t="str">
        <x:v>Unknown</x:v>
      </x:c>
    </x:row>
    <x:row r="532">
      <x:c r="A532" s="12" t="str">
        <x:v>NEED-0119</x:v>
      </x:c>
      <x:c r="B532" s="12" t="str">
        <x:v>RSP-0531</x:v>
      </x:c>
      <x:c r="C532" s="12" t="str">
        <x:v>Proposed to address</x:v>
      </x:c>
      <x:c r="D532" s="12" t="str">
        <x:v>Unknown</x:v>
      </x:c>
    </x:row>
    <x:row r="533">
      <x:c r="A533" s="12" t="str">
        <x:v>NEED-0215</x:v>
      </x:c>
      <x:c r="B533" s="12" t="str">
        <x:v>RSP-0532</x:v>
      </x:c>
      <x:c r="C533" s="12" t="str">
        <x:v>Proposed to address</x:v>
      </x:c>
      <x:c r="D533" s="12" t="str">
        <x:v>Unknown</x:v>
      </x:c>
    </x:row>
    <x:row r="534">
      <x:c r="A534" s="12" t="str">
        <x:v>NEED-0019</x:v>
      </x:c>
      <x:c r="B534" s="12" t="str">
        <x:v>RSP-0533</x:v>
      </x:c>
      <x:c r="C534" s="12" t="str">
        <x:v>Proposed to address</x:v>
      </x:c>
      <x:c r="D534" s="12" t="str">
        <x:v>Unknown</x:v>
      </x:c>
    </x:row>
    <x:row r="535">
      <x:c r="A535" s="12" t="str">
        <x:v>NEED-0010</x:v>
      </x:c>
      <x:c r="B535" s="12" t="str">
        <x:v>RSP-0534</x:v>
      </x:c>
      <x:c r="C535" s="12" t="str">
        <x:v>Proposed to address</x:v>
      </x:c>
      <x:c r="D535" s="12" t="str">
        <x:v>Unknown</x:v>
      </x:c>
    </x:row>
    <x:row r="536">
      <x:c r="A536" s="12" t="str">
        <x:v>NEED-0126</x:v>
      </x:c>
      <x:c r="B536" s="12" t="str">
        <x:v>RSP-0535</x:v>
      </x:c>
      <x:c r="C536" s="12" t="str">
        <x:v>Proposed to address</x:v>
      </x:c>
      <x:c r="D536" s="12" t="str">
        <x:v>Unknown</x:v>
      </x:c>
    </x:row>
    <x:row r="537">
      <x:c r="A537" s="12" t="str">
        <x:v>NEED-0147</x:v>
      </x:c>
      <x:c r="B537" s="12" t="str">
        <x:v>RSP-0536</x:v>
      </x:c>
      <x:c r="C537" s="12" t="str">
        <x:v>Proposed to address</x:v>
      </x:c>
      <x:c r="D537" s="12" t="str">
        <x:v>Unknown</x:v>
      </x:c>
    </x:row>
    <x:row r="538">
      <x:c r="A538" s="12" t="str">
        <x:v>NEED-0022</x:v>
      </x:c>
      <x:c r="B538" s="12" t="str">
        <x:v>RSP-0537</x:v>
      </x:c>
      <x:c r="C538" s="12" t="str">
        <x:v>Proposed to address</x:v>
      </x:c>
      <x:c r="D538" s="12" t="str">
        <x:v>Unknown</x:v>
      </x:c>
    </x:row>
    <x:row r="539">
      <x:c r="A539" s="12" t="str">
        <x:v>NEED-0105</x:v>
      </x:c>
      <x:c r="B539" s="12" t="str">
        <x:v>RSP-0538</x:v>
      </x:c>
      <x:c r="C539" s="12" t="str">
        <x:v>Proposed to address</x:v>
      </x:c>
      <x:c r="D539" s="12" t="str">
        <x:v>Unknown</x:v>
      </x:c>
    </x:row>
    <x:row r="540">
      <x:c r="A540" s="12" t="str">
        <x:v>NEED-0057</x:v>
      </x:c>
      <x:c r="B540" s="12" t="str">
        <x:v>RSP-0539</x:v>
      </x:c>
      <x:c r="C540" s="12" t="str">
        <x:v>Proposed to address</x:v>
      </x:c>
      <x:c r="D540" s="12" t="str">
        <x:v>Unknown</x:v>
      </x:c>
    </x:row>
    <x:row r="541">
      <x:c r="A541" s="12" t="str">
        <x:v>NEED-0127</x:v>
      </x:c>
      <x:c r="B541" s="12" t="str">
        <x:v>RSP-0540</x:v>
      </x:c>
      <x:c r="C541" s="12" t="str">
        <x:v>Proposed to address</x:v>
      </x:c>
      <x:c r="D541" s="12" t="str">
        <x:v>Unknown</x:v>
      </x:c>
    </x:row>
    <x:row r="542">
      <x:c r="A542" s="12" t="str">
        <x:v>NEED-0127</x:v>
      </x:c>
      <x:c r="B542" s="12" t="str">
        <x:v>RSP-0541</x:v>
      </x:c>
      <x:c r="C542" s="12" t="str">
        <x:v>Proposed to address</x:v>
      </x:c>
      <x:c r="D542" s="12" t="str">
        <x:v>Unknown</x:v>
      </x:c>
    </x:row>
    <x:row r="543">
      <x:c r="A543" s="12" t="str">
        <x:v>NEED-0072</x:v>
      </x:c>
      <x:c r="B543" s="12" t="str">
        <x:v>RSP-0542</x:v>
      </x:c>
      <x:c r="C543" s="12" t="str">
        <x:v>Proposed to address</x:v>
      </x:c>
      <x:c r="D543" s="12" t="str">
        <x:v>Unknown</x:v>
      </x:c>
    </x:row>
    <x:row r="544">
      <x:c r="A544" s="12" t="str">
        <x:v>NEED-0072</x:v>
      </x:c>
      <x:c r="B544" s="12" t="str">
        <x:v>RSP-0543</x:v>
      </x:c>
      <x:c r="C544" s="12" t="str">
        <x:v>Proposed to address</x:v>
      </x:c>
      <x:c r="D544" s="12" t="str">
        <x:v>Unknown</x:v>
      </x:c>
    </x:row>
    <x:row r="545">
      <x:c r="A545" s="12" t="str">
        <x:v>NEED-0121</x:v>
      </x:c>
      <x:c r="B545" s="12" t="str">
        <x:v>RSP-0544</x:v>
      </x:c>
      <x:c r="C545" s="12" t="str">
        <x:v>Proposed to address</x:v>
      </x:c>
      <x:c r="D545" s="12" t="str">
        <x:v>Unknown</x:v>
      </x:c>
    </x:row>
    <x:row r="546">
      <x:c r="A546" s="12" t="str">
        <x:v>NEED-0121</x:v>
      </x:c>
      <x:c r="B546" s="12" t="str">
        <x:v>RSP-0545</x:v>
      </x:c>
      <x:c r="C546" s="12" t="str">
        <x:v>Proposed to address</x:v>
      </x:c>
      <x:c r="D546" s="12" t="str">
        <x:v>Unknown</x:v>
      </x:c>
    </x:row>
    <x:row r="547">
      <x:c r="A547" s="12" t="str">
        <x:v>NEED-0121</x:v>
      </x:c>
      <x:c r="B547" s="12" t="str">
        <x:v>RSP-0546</x:v>
      </x:c>
      <x:c r="C547" s="12" t="str">
        <x:v>Proposed to address</x:v>
      </x:c>
      <x:c r="D547" s="12" t="str">
        <x:v>Unknown</x:v>
      </x:c>
    </x:row>
    <x:row r="548">
      <x:c r="A548" s="12" t="str">
        <x:v>NEED-0072</x:v>
      </x:c>
      <x:c r="B548" s="12" t="str">
        <x:v>RSP-0547</x:v>
      </x:c>
      <x:c r="C548" s="12" t="str">
        <x:v>Proposed to address</x:v>
      </x:c>
      <x:c r="D548" s="12" t="str">
        <x:v>Unknown</x:v>
      </x:c>
    </x:row>
    <x:row r="549">
      <x:c r="A549" s="12" t="str">
        <x:v>NEED-0121</x:v>
      </x:c>
      <x:c r="B549" s="12" t="str">
        <x:v>RSP-0548</x:v>
      </x:c>
      <x:c r="C549" s="12" t="str">
        <x:v>Proposed to address</x:v>
      </x:c>
      <x:c r="D549" s="12" t="str">
        <x:v>Unknown</x:v>
      </x:c>
    </x:row>
    <x:row r="550">
      <x:c r="A550" s="12" t="str">
        <x:v>NEED-0121</x:v>
      </x:c>
      <x:c r="B550" s="12" t="str">
        <x:v>RSP-0549</x:v>
      </x:c>
      <x:c r="C550" s="12" t="str">
        <x:v>Proposed to address</x:v>
      </x:c>
      <x:c r="D550" s="12" t="str">
        <x:v>Unknown</x:v>
      </x:c>
    </x:row>
    <x:row r="551">
      <x:c r="A551" s="12" t="str">
        <x:v>NEED-0072</x:v>
      </x:c>
      <x:c r="B551" s="12" t="str">
        <x:v>RSP-0550</x:v>
      </x:c>
      <x:c r="C551" s="12" t="str">
        <x:v>Proposed to address</x:v>
      </x:c>
      <x:c r="D551" s="12" t="str">
        <x:v>Unknown</x:v>
      </x:c>
    </x:row>
    <x:row r="552">
      <x:c r="A552" s="12" t="str">
        <x:v>NEED-0218</x:v>
      </x:c>
      <x:c r="B552" s="12" t="str">
        <x:v>RSP-0551</x:v>
      </x:c>
      <x:c r="C552" s="12" t="str">
        <x:v>Proposed to address</x:v>
      </x:c>
      <x:c r="D552" s="12" t="str">
        <x:v>Unknown</x:v>
      </x:c>
    </x:row>
    <x:row r="553">
      <x:c r="A553" s="12" t="str">
        <x:v>NEED-0030</x:v>
      </x:c>
      <x:c r="B553" s="12" t="str">
        <x:v>RSP-0552</x:v>
      </x:c>
      <x:c r="C553" s="12" t="str">
        <x:v>Proposed to address</x:v>
      </x:c>
      <x:c r="D553" s="12" t="str">
        <x:v>Unknown</x:v>
      </x:c>
    </x:row>
    <x:row r="554">
      <x:c r="A554" s="12" t="str">
        <x:v>NEED-0121</x:v>
      </x:c>
      <x:c r="B554" s="12" t="str">
        <x:v>RSP-0553</x:v>
      </x:c>
      <x:c r="C554" s="12" t="str">
        <x:v>Proposed to address</x:v>
      </x:c>
      <x:c r="D554" s="12" t="str">
        <x:v>Unknown</x:v>
      </x:c>
    </x:row>
    <x:row r="555">
      <x:c r="A555" s="12" t="str">
        <x:v>NEED-0120</x:v>
      </x:c>
      <x:c r="B555" s="12" t="str">
        <x:v>RSP-0554</x:v>
      </x:c>
      <x:c r="C555" s="12" t="str">
        <x:v>Proposed to address</x:v>
      </x:c>
      <x:c r="D555" s="12" t="str">
        <x:v>Unknown</x:v>
      </x:c>
    </x:row>
    <x:row r="556">
      <x:c r="A556" s="12" t="str">
        <x:v>NEED-0057</x:v>
      </x:c>
      <x:c r="B556" s="12" t="str">
        <x:v>RSP-0555</x:v>
      </x:c>
      <x:c r="C556" s="12" t="str">
        <x:v>Proposed to address</x:v>
      </x:c>
      <x:c r="D556" s="12" t="str">
        <x:v>Unknown</x:v>
      </x:c>
    </x:row>
    <x:row r="557">
      <x:c r="A557" s="12" t="str">
        <x:v>NEED-0121</x:v>
      </x:c>
      <x:c r="B557" s="12" t="str">
        <x:v>RSP-0556</x:v>
      </x:c>
      <x:c r="C557" s="12" t="str">
        <x:v>Proposed to address</x:v>
      </x:c>
      <x:c r="D557" s="12" t="str">
        <x:v>Unknown</x:v>
      </x:c>
    </x:row>
    <x:row r="558">
      <x:c r="A558" s="12" t="str">
        <x:v>NEED-0165</x:v>
      </x:c>
      <x:c r="B558" s="12" t="str">
        <x:v>RSP-0557</x:v>
      </x:c>
      <x:c r="C558" s="12" t="str">
        <x:v>Proposed to address</x:v>
      </x:c>
      <x:c r="D558" s="12" t="str">
        <x:v>Unknown</x:v>
      </x:c>
    </x:row>
    <x:row r="559">
      <x:c r="A559" s="12" t="str">
        <x:v>NEED-0059</x:v>
      </x:c>
      <x:c r="B559" s="12" t="str">
        <x:v>RSP-0558</x:v>
      </x:c>
      <x:c r="C559" s="12" t="str">
        <x:v>Proposed to address</x:v>
      </x:c>
      <x:c r="D559" s="12" t="str">
        <x:v>Unknown</x:v>
      </x:c>
    </x:row>
    <x:row r="560">
      <x:c r="A560" s="12" t="str">
        <x:v>NEED-0047</x:v>
      </x:c>
      <x:c r="B560" s="12" t="str">
        <x:v>RSP-0559</x:v>
      </x:c>
      <x:c r="C560" s="12" t="str">
        <x:v>Proposed to address</x:v>
      </x:c>
      <x:c r="D560" s="12" t="str">
        <x:v>Unknown</x:v>
      </x:c>
    </x:row>
    <x:row r="561">
      <x:c r="A561" s="12" t="str">
        <x:v>NEED-0122</x:v>
      </x:c>
      <x:c r="B561" s="12" t="str">
        <x:v>RSP-0560</x:v>
      </x:c>
      <x:c r="C561" s="12" t="str">
        <x:v>Proposed to address</x:v>
      </x:c>
      <x:c r="D561" s="12" t="str">
        <x:v>Unknown</x:v>
      </x:c>
    </x:row>
  </x:sheetData>
  <x:pageMargins left="0.7" right="0.7" top="0.75" bottom="0.75" header="0.3" footer="0.3"/>
  <x:tableParts count="1">
    <x:tablePart xmlns:r="http://schemas.openxmlformats.org/officeDocument/2006/relationships" r:id="R6b493d9ea14c42be"/>
  </x:tableParts>
</x:worksheet>
</file>

<file path=xl/worksheets/sheet11.xml><?xml version="1.0" encoding="utf-8"?>
<x:worksheet xmlns:x="http://schemas.openxmlformats.org/spreadsheetml/2006/main">
  <x:sheetFormatPr defaultRowHeight="15"/>
  <x:cols>
    <x:col min="1" max="1" width="28" hidden="0" customWidth="1"/>
    <x:col min="2" max="2" width="95" hidden="0" customWidth="1"/>
  </x:cols>
  <x:sheetData>
    <x:row r="1">
      <x:c r="A1" s="20" t="str">
        <x:v>UWG Community Needs Prototype</x:v>
      </x:c>
      <x:c r="B1" s="20" t="str"/>
    </x:row>
    <x:row r="2">
      <x:c r="A2" s="12" t="str">
        <x:v>Prototype purpose</x:v>
      </x:c>
      <x:c r="B2" s="12" t="str">
        <x:v>Link 1,025 extracted UWG statements from 2021–2024 to draft canonical community needs so repeated signals can be counted across years, DAACs, communities, and capabilities.</x:v>
      </x:c>
    </x:row>
    <x:row r="3">
      <x:c r="A3" s="12" t="str">
        <x:v>Important limitation</x:v>
      </x:c>
      <x:c r="B3" s="12" t="str">
        <x:v>The 220 canonical needs and evidence links were produced with automated text clustering and keyword rules. They are draft hypotheses, not final validated merges. Review higher-signal needs first.</x:v>
      </x:c>
    </x:row>
    <x:row r="4">
      <x:c r="A4" s="12" t="str">
        <x:v>Recommended review order</x:v>
      </x:c>
      <x:c r="B4" s="12" t="str">
        <x:v>1) Sort Needs by Signal Score; 2) inspect linked Evidence; 3) edit the canonical need; 4) split or merge clusters; 5) set Human Reviewed to Yes; 6) add desired outcome, priority, owner, and response coverage.</x:v>
      </x:c>
    </x:row>
    <x:row r="5">
      <x:c r="A5" s="28" t="str">
        <x:v>Entity / Sheet</x:v>
      </x:c>
      <x:c r="B5" s="28" t="str">
        <x:v>Purpose</x:v>
      </x:c>
    </x:row>
    <x:row r="6">
      <x:c r="A6" s="12" t="str">
        <x:v>Needs</x:v>
      </x:c>
      <x:c r="B6" s="12" t="str">
        <x:v>One row per draft canonical underlying need.</x:v>
      </x:c>
    </x:row>
    <x:row r="7">
      <x:c r="A7" s="12" t="str">
        <x:v>Evidence</x:v>
      </x:c>
      <x:c r="B7" s="12" t="str">
        <x:v>One row per extracted recommendation, action, suggestion, finding, issue, or concern.</x:v>
      </x:c>
    </x:row>
    <x:row r="8">
      <x:c r="A8" s="12" t="str">
        <x:v>Sources</x:v>
      </x:c>
      <x:c r="B8" s="12" t="str">
        <x:v>One row per annual report.</x:v>
      </x:c>
    </x:row>
    <x:row r="9">
      <x:c r="A9" s="12" t="str">
        <x:v>Communities</x:v>
      </x:c>
      <x:c r="B9" s="12" t="str">
        <x:v>Controlled list of affected or expressing user communities.</x:v>
      </x:c>
    </x:row>
    <x:row r="10">
      <x:c r="A10" s="12" t="str">
        <x:v>Need_Community</x:v>
      </x:c>
      <x:c r="B10" s="12" t="str">
        <x:v>Many-to-many links between needs and communities.</x:v>
      </x:c>
    </x:row>
    <x:row r="11">
      <x:c r="A11" s="12" t="str">
        <x:v>Capabilities</x:v>
      </x:c>
      <x:c r="B11" s="12" t="str">
        <x:v>Functional Earthdata capabilities related to the need.</x:v>
      </x:c>
    </x:row>
    <x:row r="12">
      <x:c r="A12" s="12" t="str">
        <x:v>Need_Capability</x:v>
      </x:c>
      <x:c r="B12" s="12" t="str">
        <x:v>Many-to-many links between needs and capabilities.</x:v>
      </x:c>
    </x:row>
    <x:row r="13">
      <x:c r="A13" s="12" t="str">
        <x:v>Responses</x:v>
      </x:c>
      <x:c r="B13" s="12" t="str">
        <x:v>Action items extracted from the reports as candidate responses.</x:v>
      </x:c>
    </x:row>
    <x:row r="14">
      <x:c r="A14" s="12" t="str">
        <x:v>Need_Response</x:v>
      </x:c>
      <x:c r="B14" s="12" t="str">
        <x:v>Links between needs and actions intended to address them.</x:v>
      </x:c>
    </x:row>
    <x:row r="15">
      <x:c r="A15" s="12" t="str">
        <x:v>Signal Score</x:v>
      </x:c>
      <x:c r="B15" s="12" t="str">
        <x:v>Prototype score using evidence volume, source diversity, organization diversity, community diversity, and persistence across years. It is intended for ranking, not as a definitive priority score.</x:v>
      </x:c>
    </x:row>
    <x:row r="16">
      <x:c r="A16" s="12" t="str">
        <x:v>Canonical need pattern</x:v>
      </x:c>
      <x:c r="B16" s="12" t="str">
        <x:v>[User/community] needs [capability] so that [desired outcome].</x:v>
      </x:c>
    </x:row>
    <x:row r="17">
      <x:c r="A17" s="12" t="str">
        <x:v>Matching approach</x:v>
      </x:c>
      <x:c r="B17" s="12" t="str">
        <x:v>Text was normalized, grouped within broad topic categories using TF-IDF latent semantic analysis and hierarchical clustering, then linked to communities and capabilities with keyword rules.</x:v>
      </x:c>
    </x:row>
  </x:sheetData>
  <x:mergeCells>
    <x:mergeCell ref="A1:B1"/>
  </x:mergeCell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x:c r="A1" s="6" t="str">
        <x:v>Lifecycle Status</x:v>
      </x:c>
      <x:c r="B1" s="6" t="str">
        <x:v>Priority</x:v>
      </x:c>
      <x:c r="C1" s="6" t="str">
        <x:v>Human Reviewed</x:v>
      </x:c>
      <x:c r="D1" s="6" t="str">
        <x:v>Evidence Strength</x:v>
      </x:c>
      <x:c r="E1" s="6" t="str">
        <x:v>Trend</x:v>
      </x:c>
    </x:row>
    <x:row r="2">
      <x:c r="A2" t="str">
        <x:v>Candidate</x:v>
      </x:c>
      <x:c r="B2" t="str">
        <x:v>Unassigned</x:v>
      </x:c>
      <x:c r="C2" t="str">
        <x:v>No</x:v>
      </x:c>
      <x:c r="D2" t="str">
        <x:v>High</x:v>
      </x:c>
      <x:c r="E2" t="str">
        <x:v>Single-year signal</x:v>
      </x:c>
    </x:row>
    <x:row r="3">
      <x:c r="A3" t="str">
        <x:v>Validated</x:v>
      </x:c>
      <x:c r="B3" t="str">
        <x:v>Critical</x:v>
      </x:c>
      <x:c r="C3" t="str">
        <x:v>Yes</x:v>
      </x:c>
      <x:c r="D3" t="str">
        <x:v>Medium</x:v>
      </x:c>
      <x:c r="E3" t="str">
        <x:v>Recurring</x:v>
      </x:c>
    </x:row>
    <x:row r="4">
      <x:c r="A4" t="str">
        <x:v>Planned</x:v>
      </x:c>
      <x:c r="B4" t="str">
        <x:v>High</x:v>
      </x:c>
      <x:c r="D4" t="str">
        <x:v>Low</x:v>
      </x:c>
      <x:c r="E4" t="str">
        <x:v>Increasing</x:v>
      </x:c>
    </x:row>
    <x:row r="5">
      <x:c r="A5" t="str">
        <x:v>In Progress</x:v>
      </x:c>
      <x:c r="B5" t="str">
        <x:v>Medium</x:v>
      </x:c>
      <x:c r="E5" t="str">
        <x:v>Stable</x:v>
      </x:c>
    </x:row>
    <x:row r="6">
      <x:c r="A6" t="str">
        <x:v>Implemented</x:v>
      </x:c>
      <x:c r="B6" t="str">
        <x:v>Low</x:v>
      </x:c>
      <x:c r="E6" t="str">
        <x:v>Decreasing</x:v>
      </x:c>
    </x:row>
    <x:row r="7">
      <x:c r="A7" t="str">
        <x:v>Deferred</x:v>
      </x:c>
    </x:row>
    <x:row r="8">
      <x:c r="A8" t="str">
        <x:v>Rejected</x:v>
      </x:c>
    </x:row>
    <x:row r="9">
      <x:c r="A9" t="str">
        <x:v>Duplicate</x:v>
      </x:c>
    </x:row>
  </x:sheetData>
  <x:pageMargins left="0.7" right="0.7" top="0.75" bottom="0.75" header="0.3" footer="0.3"/>
</x:worksheet>
</file>